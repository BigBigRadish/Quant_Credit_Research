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BFagan\Quant_Research_and_Development\Credit\Cross_Currency_Basis_Swap\"/>
    </mc:Choice>
  </mc:AlternateContent>
  <bookViews>
    <workbookView xWindow="360" yWindow="240" windowWidth="18780" windowHeight="11445"/>
  </bookViews>
  <sheets>
    <sheet name="Cross_currency" sheetId="1" r:id="rId1"/>
  </sheets>
  <functionGroups builtInGroupCount="18"/>
  <definedNames>
    <definedName name="bondID">Cross_currency!$B$6</definedName>
    <definedName name="ISpread">Cross_currency!$AN$17</definedName>
    <definedName name="recovery">Cross_currency!$Q$17</definedName>
    <definedName name="recovery_bond">Cross_currency!$Q$18</definedName>
  </definedNames>
  <calcPr calcId="162913"/>
</workbook>
</file>

<file path=xl/calcChain.xml><?xml version="1.0" encoding="utf-8"?>
<calcChain xmlns="http://schemas.openxmlformats.org/spreadsheetml/2006/main">
  <c r="BA142" i="1" l="1"/>
  <c r="BA141" i="1"/>
  <c r="BA140" i="1"/>
  <c r="BA139" i="1"/>
  <c r="BA138" i="1"/>
  <c r="BA137" i="1"/>
  <c r="BA136" i="1"/>
  <c r="BG135" i="1"/>
  <c r="BA135" i="1"/>
  <c r="BM134" i="1"/>
  <c r="BG134" i="1"/>
  <c r="BA134" i="1"/>
  <c r="AU134" i="1"/>
  <c r="BM133" i="1"/>
  <c r="BG133" i="1"/>
  <c r="BA133" i="1"/>
  <c r="AU133" i="1"/>
  <c r="BM132" i="1"/>
  <c r="BG132" i="1"/>
  <c r="BA132" i="1"/>
  <c r="AU132" i="1"/>
  <c r="BM131" i="1"/>
  <c r="BG131" i="1"/>
  <c r="BA131" i="1"/>
  <c r="AU131" i="1"/>
  <c r="BM130" i="1"/>
  <c r="BG130" i="1"/>
  <c r="BA130" i="1"/>
  <c r="AU130" i="1"/>
  <c r="BM129" i="1"/>
  <c r="BG129" i="1"/>
  <c r="BA129" i="1"/>
  <c r="AU129" i="1"/>
  <c r="BM128" i="1"/>
  <c r="BG128" i="1"/>
  <c r="BA128" i="1"/>
  <c r="AU128" i="1"/>
  <c r="AI128" i="1"/>
  <c r="BM127" i="1"/>
  <c r="BG127" i="1"/>
  <c r="BA127" i="1"/>
  <c r="AU127" i="1"/>
  <c r="AO127" i="1"/>
  <c r="AI127" i="1"/>
  <c r="AC127" i="1"/>
  <c r="BM126" i="1"/>
  <c r="BG126" i="1"/>
  <c r="BA126" i="1"/>
  <c r="AU126" i="1"/>
  <c r="AO126" i="1"/>
  <c r="AI126" i="1"/>
  <c r="AC126" i="1"/>
  <c r="BM125" i="1"/>
  <c r="BG125" i="1"/>
  <c r="BA125" i="1"/>
  <c r="AU125" i="1"/>
  <c r="AO125" i="1"/>
  <c r="AI125" i="1"/>
  <c r="AC125" i="1"/>
  <c r="BM124" i="1"/>
  <c r="BG124" i="1"/>
  <c r="BA124" i="1"/>
  <c r="AU124" i="1"/>
  <c r="AO124" i="1"/>
  <c r="AI124" i="1"/>
  <c r="AC124" i="1"/>
  <c r="BM123" i="1"/>
  <c r="BG123" i="1"/>
  <c r="BA123" i="1"/>
  <c r="AU123" i="1"/>
  <c r="AO123" i="1"/>
  <c r="AI123" i="1"/>
  <c r="AC123" i="1"/>
  <c r="BM122" i="1"/>
  <c r="BG122" i="1"/>
  <c r="BA122" i="1"/>
  <c r="AU122" i="1"/>
  <c r="AO122" i="1"/>
  <c r="AI122" i="1"/>
  <c r="AC122" i="1"/>
  <c r="BM121" i="1"/>
  <c r="BG121" i="1"/>
  <c r="BA121" i="1"/>
  <c r="AU121" i="1"/>
  <c r="AO121" i="1"/>
  <c r="AI121" i="1"/>
  <c r="AC121" i="1"/>
  <c r="BM120" i="1"/>
  <c r="BG120" i="1"/>
  <c r="BA120" i="1"/>
  <c r="AU120" i="1"/>
  <c r="AO120" i="1"/>
  <c r="AI120" i="1"/>
  <c r="AC120" i="1"/>
  <c r="BM119" i="1"/>
  <c r="BG119" i="1"/>
  <c r="BA119" i="1"/>
  <c r="AU119" i="1"/>
  <c r="AO119" i="1"/>
  <c r="AI119" i="1"/>
  <c r="AC119" i="1"/>
  <c r="BM118" i="1"/>
  <c r="BG118" i="1"/>
  <c r="BA118" i="1"/>
  <c r="AU118" i="1"/>
  <c r="AO118" i="1"/>
  <c r="AI118" i="1"/>
  <c r="AC118" i="1"/>
  <c r="BM117" i="1"/>
  <c r="BG117" i="1"/>
  <c r="BA117" i="1"/>
  <c r="AU117" i="1"/>
  <c r="AO117" i="1"/>
  <c r="AI117" i="1"/>
  <c r="AC117" i="1"/>
  <c r="BM116" i="1"/>
  <c r="BG116" i="1"/>
  <c r="BA116" i="1"/>
  <c r="AU116" i="1"/>
  <c r="AO116" i="1"/>
  <c r="AI116" i="1"/>
  <c r="AC116" i="1"/>
  <c r="BM115" i="1"/>
  <c r="BG115" i="1"/>
  <c r="BA115" i="1"/>
  <c r="AU115" i="1"/>
  <c r="AO115" i="1"/>
  <c r="AI115" i="1"/>
  <c r="AC115" i="1"/>
  <c r="BM114" i="1"/>
  <c r="BG114" i="1"/>
  <c r="BA114" i="1"/>
  <c r="AU114" i="1"/>
  <c r="AO114" i="1"/>
  <c r="AI114" i="1"/>
  <c r="AC114" i="1"/>
  <c r="BM113" i="1"/>
  <c r="BG113" i="1"/>
  <c r="BA113" i="1"/>
  <c r="AU113" i="1"/>
  <c r="AO113" i="1"/>
  <c r="AI113" i="1"/>
  <c r="AC113" i="1"/>
  <c r="BM112" i="1"/>
  <c r="BG112" i="1"/>
  <c r="BA112" i="1"/>
  <c r="AU112" i="1"/>
  <c r="AO112" i="1"/>
  <c r="AI112" i="1"/>
  <c r="AC112" i="1"/>
  <c r="BM111" i="1"/>
  <c r="BG111" i="1"/>
  <c r="BA111" i="1"/>
  <c r="AU111" i="1"/>
  <c r="AO111" i="1"/>
  <c r="AI111" i="1"/>
  <c r="AC111" i="1"/>
  <c r="AG76" i="1"/>
  <c r="AG75" i="1"/>
  <c r="AG74" i="1"/>
  <c r="AG73" i="1"/>
  <c r="AG72" i="1"/>
  <c r="AG71" i="1"/>
  <c r="AG70" i="1"/>
  <c r="AG69" i="1"/>
  <c r="AG68" i="1"/>
  <c r="AG67" i="1"/>
  <c r="AG66" i="1"/>
  <c r="AG65" i="1"/>
  <c r="AV110" i="1"/>
  <c r="AD110" i="1"/>
  <c r="AJ110" i="1"/>
  <c r="BN110" i="1"/>
  <c r="AP110" i="1"/>
  <c r="BB110" i="1"/>
  <c r="AL56" i="1"/>
  <c r="BG108" i="1"/>
  <c r="BH110" i="1" s="1"/>
  <c r="BA108" i="1"/>
  <c r="AK56" i="1"/>
  <c r="AJ56" i="1"/>
  <c r="AO108" i="1"/>
  <c r="BM108" i="1"/>
  <c r="AI108" i="1"/>
  <c r="AC108" i="1"/>
  <c r="AU108" i="1"/>
  <c r="AM56" i="1" l="1"/>
  <c r="AO56" i="1"/>
  <c r="AN56" i="1"/>
  <c r="AJ54" i="1"/>
  <c r="AL55" i="1"/>
  <c r="AK55" i="1"/>
  <c r="AK54" i="1"/>
  <c r="AL54" i="1"/>
  <c r="AJ55" i="1"/>
  <c r="AJ57" i="1" l="1"/>
  <c r="AL57" i="1"/>
  <c r="AK57" i="1"/>
  <c r="AK58" i="1" s="1"/>
  <c r="AK59" i="1" s="1"/>
  <c r="AI67" i="1" s="1"/>
  <c r="AI73" i="1" s="1"/>
  <c r="AL58" i="1" l="1"/>
  <c r="AL59" i="1" s="1"/>
  <c r="AI68" i="1" s="1"/>
  <c r="AO57" i="1"/>
  <c r="AO58" i="1" s="1"/>
  <c r="AO59" i="1" s="1"/>
  <c r="AI76" i="1" s="1"/>
  <c r="AN57" i="1"/>
  <c r="AN58" i="1" s="1"/>
  <c r="AN59" i="1" s="1"/>
  <c r="AI72" i="1" s="1"/>
  <c r="AJ58" i="1"/>
  <c r="AJ59" i="1" s="1"/>
  <c r="AI66" i="1" s="1"/>
  <c r="AI69" i="1" s="1"/>
  <c r="AM57" i="1"/>
  <c r="AM58" i="1" s="1"/>
  <c r="AM59" i="1" s="1"/>
  <c r="AI71" i="1" s="1"/>
  <c r="AI74" i="1" s="1"/>
  <c r="AJ47" i="1"/>
  <c r="AL47" i="1"/>
  <c r="AK47" i="1"/>
  <c r="AM47" i="1" l="1"/>
  <c r="AN47" i="1"/>
  <c r="AO47" i="1"/>
  <c r="AJ45" i="1"/>
  <c r="AL46" i="1"/>
  <c r="AJ46" i="1"/>
  <c r="AL45" i="1"/>
  <c r="AK45" i="1"/>
  <c r="AK46" i="1"/>
  <c r="AJ48" i="1" l="1"/>
  <c r="AK48" i="1"/>
  <c r="AK49" i="1" s="1"/>
  <c r="AK50" i="1" s="1"/>
  <c r="AL48" i="1"/>
  <c r="AL49" i="1" l="1"/>
  <c r="AL50" i="1" s="1"/>
  <c r="AH68" i="1" s="1"/>
  <c r="AN48" i="1"/>
  <c r="AN49" i="1" s="1"/>
  <c r="AN50" i="1" s="1"/>
  <c r="AH72" i="1" s="1"/>
  <c r="AO48" i="1"/>
  <c r="AO49" i="1" s="1"/>
  <c r="AO50" i="1" s="1"/>
  <c r="AH76" i="1" s="1"/>
  <c r="AH73" i="1"/>
  <c r="AH67" i="1"/>
  <c r="AJ49" i="1"/>
  <c r="AJ50" i="1" s="1"/>
  <c r="AM48" i="1"/>
  <c r="AM49" i="1" s="1"/>
  <c r="AM50" i="1" s="1"/>
  <c r="AH69" i="1" l="1"/>
  <c r="AH66" i="1"/>
  <c r="AH74" i="1"/>
  <c r="AH71" i="1"/>
  <c r="BR32" i="1"/>
  <c r="BQ32" i="1"/>
  <c r="BP32" i="1"/>
  <c r="BO32" i="1"/>
  <c r="BN32" i="1"/>
  <c r="BM32" i="1"/>
  <c r="BL32" i="1"/>
  <c r="BK32" i="1"/>
  <c r="BJ32" i="1"/>
  <c r="BI32" i="1"/>
  <c r="BH32" i="1"/>
  <c r="BG32" i="1"/>
  <c r="AL31" i="1"/>
  <c r="AJ31" i="1"/>
  <c r="BI23" i="1"/>
  <c r="BH23" i="1"/>
  <c r="BG23" i="1"/>
  <c r="BF23" i="1"/>
  <c r="BE21" i="1"/>
  <c r="BE20" i="1" l="1"/>
  <c r="BE19" i="1" l="1"/>
  <c r="BE18" i="1" l="1"/>
  <c r="AF18" i="1"/>
  <c r="AE18" i="1"/>
  <c r="AD18" i="1"/>
  <c r="BE17" i="1"/>
  <c r="AJ18" i="1"/>
  <c r="AN18" i="1"/>
  <c r="AN17" i="1" l="1"/>
  <c r="AF17" i="1"/>
  <c r="AE17" i="1"/>
  <c r="AD17" i="1"/>
  <c r="BE16" i="1"/>
  <c r="AJ17" i="1"/>
  <c r="AH17" i="1"/>
  <c r="AI17" i="1"/>
  <c r="AI18" i="1" l="1"/>
  <c r="AH18" i="1"/>
  <c r="AH34" i="1"/>
  <c r="AH33" i="1"/>
  <c r="AH32" i="1"/>
  <c r="AH31" i="1"/>
  <c r="AF16" i="1"/>
  <c r="AE16" i="1"/>
  <c r="AD16" i="1"/>
  <c r="BE15" i="1"/>
  <c r="AH16" i="1"/>
  <c r="AJ16" i="1"/>
  <c r="AI16" i="1"/>
  <c r="AF15" i="1" l="1"/>
  <c r="AE15" i="1"/>
  <c r="AD15" i="1"/>
  <c r="BE14" i="1"/>
  <c r="AI15" i="1"/>
  <c r="AH15" i="1"/>
  <c r="AJ15" i="1"/>
  <c r="AF14" i="1" l="1"/>
  <c r="AE14" i="1"/>
  <c r="AD14" i="1"/>
  <c r="BE13" i="1"/>
  <c r="AJ14" i="1"/>
  <c r="AI14" i="1"/>
  <c r="AH14" i="1"/>
  <c r="AN14" i="1"/>
  <c r="AF13" i="1" l="1"/>
  <c r="AE13" i="1"/>
  <c r="AD13" i="1"/>
  <c r="BE12" i="1"/>
  <c r="AJ13" i="1"/>
  <c r="AI13" i="1"/>
  <c r="AH13" i="1"/>
  <c r="AN13" i="1"/>
  <c r="AF12" i="1" l="1"/>
  <c r="AE12" i="1"/>
  <c r="AD12" i="1"/>
  <c r="BE11" i="1"/>
  <c r="AJ12" i="1"/>
  <c r="AH12" i="1"/>
  <c r="AI12" i="1"/>
  <c r="AN12" i="1"/>
  <c r="B13" i="1" l="1"/>
  <c r="AF11" i="1"/>
  <c r="AE11" i="1"/>
  <c r="AD11" i="1"/>
  <c r="B11" i="1"/>
  <c r="BE10" i="1"/>
  <c r="AJ11" i="1"/>
  <c r="AH11" i="1"/>
  <c r="AI11" i="1"/>
  <c r="H16" i="1" l="1"/>
  <c r="F16" i="1"/>
  <c r="E16" i="1"/>
  <c r="G16" i="1"/>
  <c r="H15" i="1"/>
  <c r="F15" i="1"/>
  <c r="E15" i="1"/>
  <c r="G15" i="1"/>
  <c r="AF10" i="1"/>
  <c r="AE10" i="1"/>
  <c r="AD10" i="1"/>
  <c r="A10" i="1"/>
  <c r="BE9" i="1"/>
  <c r="AI10" i="1"/>
  <c r="AJ10" i="1"/>
  <c r="AN10" i="1"/>
  <c r="AH10" i="1"/>
  <c r="AF9" i="1" l="1"/>
  <c r="AE9" i="1"/>
  <c r="AD9" i="1"/>
  <c r="BE8" i="1"/>
  <c r="AJ9" i="1"/>
  <c r="AN9" i="1"/>
  <c r="AH9" i="1"/>
  <c r="AI9" i="1"/>
  <c r="AN15" i="1" l="1"/>
  <c r="AF8" i="1"/>
  <c r="AE8" i="1"/>
  <c r="AD8" i="1"/>
  <c r="BE7" i="1"/>
  <c r="AN26" i="1"/>
  <c r="AI8" i="1"/>
  <c r="AL26" i="1"/>
  <c r="AN8" i="1"/>
  <c r="AK26" i="1"/>
  <c r="AK24" i="1"/>
  <c r="AL24" i="1"/>
  <c r="AJ8" i="1"/>
  <c r="AM26" i="1"/>
  <c r="AM24" i="1"/>
  <c r="AH8" i="1"/>
  <c r="AK34" i="1" l="1"/>
  <c r="AK31" i="1"/>
  <c r="AK37" i="1" s="1"/>
  <c r="AK33" i="1"/>
  <c r="AK32" i="1"/>
  <c r="AI32" i="1"/>
  <c r="AI31" i="1"/>
  <c r="AI34" i="1"/>
  <c r="AI33" i="1"/>
  <c r="E12" i="1"/>
  <c r="H12" i="1"/>
  <c r="G12" i="1"/>
  <c r="F12" i="1"/>
  <c r="AJ34" i="1"/>
  <c r="AJ33" i="1"/>
  <c r="AJ32" i="1"/>
  <c r="B14" i="1"/>
  <c r="AQ7" i="1"/>
  <c r="AN7" i="1"/>
  <c r="AJ7" i="1"/>
  <c r="AI7" i="1"/>
  <c r="AH7" i="1"/>
  <c r="AM25" i="1"/>
  <c r="AN6" i="1"/>
  <c r="AS7" i="1"/>
  <c r="AR7" i="1"/>
  <c r="AU7" i="1"/>
  <c r="AK25" i="1"/>
  <c r="AT7" i="1"/>
  <c r="AL25" i="1"/>
  <c r="AL34" i="1" l="1"/>
  <c r="AK40" i="1" s="1"/>
  <c r="AL33" i="1"/>
  <c r="AK39" i="1" s="1"/>
  <c r="AL32" i="1"/>
  <c r="AK38" i="1" s="1"/>
  <c r="AI40" i="1"/>
  <c r="AI37" i="1"/>
  <c r="AI38" i="1"/>
  <c r="AI39" i="1"/>
  <c r="B16" i="1"/>
  <c r="BB7" i="1"/>
  <c r="BA7" i="1"/>
  <c r="AZ7" i="1"/>
  <c r="AY7" i="1"/>
  <c r="AQ8" i="1"/>
  <c r="AR8" i="1"/>
  <c r="AS8" i="1"/>
  <c r="AT8" i="1"/>
  <c r="AU8" i="1"/>
  <c r="AN5" i="1"/>
  <c r="E7" i="1" l="1" a="1"/>
  <c r="H7" i="1" s="1"/>
  <c r="E6" i="1" a="1"/>
  <c r="F6" i="1" s="1"/>
  <c r="B15" i="1"/>
  <c r="BB8" i="1"/>
  <c r="BI7" i="1" s="1"/>
  <c r="BA8" i="1"/>
  <c r="AZ8" i="1"/>
  <c r="BG7" i="1" s="1"/>
  <c r="AY8" i="1"/>
  <c r="BF7" i="1" s="1"/>
  <c r="AQ9" i="1"/>
  <c r="F18" i="1"/>
  <c r="E18" i="1"/>
  <c r="G18" i="1"/>
  <c r="H18" i="1"/>
  <c r="G17" i="1"/>
  <c r="F17" i="1"/>
  <c r="H17" i="1"/>
  <c r="E17" i="1"/>
  <c r="AU9" i="1"/>
  <c r="AS9" i="1"/>
  <c r="AT9" i="1"/>
  <c r="AR9" i="1"/>
  <c r="G7" i="1" l="1"/>
  <c r="E6" i="1"/>
  <c r="F7" i="1"/>
  <c r="H6" i="1"/>
  <c r="G6" i="1"/>
  <c r="E7" i="1"/>
  <c r="BB9" i="1"/>
  <c r="BA9" i="1"/>
  <c r="AZ9" i="1"/>
  <c r="AY9" i="1"/>
  <c r="BH7" i="1"/>
  <c r="AQ10" i="1"/>
  <c r="AR10" i="1"/>
  <c r="AT10" i="1"/>
  <c r="AU10" i="1"/>
  <c r="AS10" i="1"/>
  <c r="BB10" i="1" l="1"/>
  <c r="BI8" i="1" s="1"/>
  <c r="BA10" i="1"/>
  <c r="BH8" i="1" s="1"/>
  <c r="AZ10" i="1"/>
  <c r="BG8" i="1" s="1"/>
  <c r="AY10" i="1"/>
  <c r="AQ11" i="1"/>
  <c r="AU11" i="1"/>
  <c r="AT11" i="1"/>
  <c r="AS11" i="1"/>
  <c r="AR11" i="1"/>
  <c r="BB11" i="1" l="1"/>
  <c r="BA11" i="1"/>
  <c r="AZ11" i="1"/>
  <c r="AY11" i="1"/>
  <c r="BF8" i="1"/>
  <c r="AQ12" i="1"/>
  <c r="AU12" i="1"/>
  <c r="AR12" i="1"/>
  <c r="AS12" i="1"/>
  <c r="AT12" i="1"/>
  <c r="BB12" i="1" l="1"/>
  <c r="BI9" i="1" s="1"/>
  <c r="BA12" i="1"/>
  <c r="AZ12" i="1"/>
  <c r="BG9" i="1" s="1"/>
  <c r="AY12" i="1"/>
  <c r="AQ13" i="1"/>
  <c r="AU13" i="1"/>
  <c r="AS13" i="1"/>
  <c r="AR13" i="1"/>
  <c r="AT13" i="1"/>
  <c r="BB13" i="1" l="1"/>
  <c r="BA13" i="1"/>
  <c r="AZ13" i="1"/>
  <c r="AY13" i="1"/>
  <c r="BF9" i="1"/>
  <c r="AQ14" i="1"/>
  <c r="BH9" i="1"/>
  <c r="AS14" i="1"/>
  <c r="AT14" i="1"/>
  <c r="AU14" i="1"/>
  <c r="AR14" i="1"/>
  <c r="BB14" i="1" l="1"/>
  <c r="BI10" i="1" s="1"/>
  <c r="BA14" i="1"/>
  <c r="BH10" i="1" s="1"/>
  <c r="AZ14" i="1"/>
  <c r="AY14" i="1"/>
  <c r="BF10" i="1" s="1"/>
  <c r="AQ15" i="1"/>
  <c r="AS15" i="1"/>
  <c r="AU15" i="1"/>
  <c r="AR15" i="1"/>
  <c r="AT15" i="1"/>
  <c r="BB15" i="1" l="1"/>
  <c r="BA15" i="1"/>
  <c r="AZ15" i="1"/>
  <c r="AY15" i="1"/>
  <c r="BG10" i="1"/>
  <c r="AQ16" i="1"/>
  <c r="AU16" i="1"/>
  <c r="AR16" i="1"/>
  <c r="AS16" i="1"/>
  <c r="AT16" i="1"/>
  <c r="BB16" i="1" l="1"/>
  <c r="BI11" i="1" s="1"/>
  <c r="BA16" i="1"/>
  <c r="BH11" i="1" s="1"/>
  <c r="AZ16" i="1"/>
  <c r="BG11" i="1" s="1"/>
  <c r="AY16" i="1"/>
  <c r="BF11" i="1" s="1"/>
  <c r="AQ17" i="1"/>
  <c r="AT17" i="1"/>
  <c r="AU17" i="1"/>
  <c r="AS17" i="1"/>
  <c r="AR17" i="1"/>
  <c r="BB17" i="1" l="1"/>
  <c r="BA17" i="1"/>
  <c r="AZ17" i="1"/>
  <c r="AY17" i="1"/>
  <c r="AQ18" i="1"/>
  <c r="AU18" i="1"/>
  <c r="AT18" i="1"/>
  <c r="AS18" i="1"/>
  <c r="AR18" i="1"/>
  <c r="BB18" i="1" l="1"/>
  <c r="BI12" i="1" s="1"/>
  <c r="BA18" i="1"/>
  <c r="BH12" i="1" s="1"/>
  <c r="AZ18" i="1"/>
  <c r="BG12" i="1" s="1"/>
  <c r="AY18" i="1"/>
  <c r="BF12" i="1" s="1"/>
  <c r="AQ19" i="1"/>
  <c r="AU19" i="1"/>
  <c r="AR19" i="1"/>
  <c r="AT19" i="1"/>
  <c r="AS19" i="1"/>
  <c r="BB19" i="1" l="1"/>
  <c r="BA19" i="1"/>
  <c r="AZ19" i="1"/>
  <c r="AY19" i="1"/>
  <c r="AQ20" i="1"/>
  <c r="AU20" i="1"/>
  <c r="AS20" i="1"/>
  <c r="AT20" i="1"/>
  <c r="AR20" i="1"/>
  <c r="BB20" i="1" l="1"/>
  <c r="BI13" i="1" s="1"/>
  <c r="BA20" i="1"/>
  <c r="BH13" i="1" s="1"/>
  <c r="AZ20" i="1"/>
  <c r="BG13" i="1" s="1"/>
  <c r="AY20" i="1"/>
  <c r="BF13" i="1" s="1"/>
  <c r="AQ21" i="1"/>
  <c r="AT21" i="1"/>
  <c r="AR21" i="1"/>
  <c r="AS21" i="1"/>
  <c r="AU21" i="1"/>
  <c r="BB21" i="1" l="1"/>
  <c r="BA21" i="1"/>
  <c r="AZ21" i="1"/>
  <c r="AY21" i="1"/>
  <c r="AQ22" i="1"/>
  <c r="AS22" i="1"/>
  <c r="AT22" i="1"/>
  <c r="AU22" i="1"/>
  <c r="AR22" i="1"/>
  <c r="BB22" i="1" l="1"/>
  <c r="BI14" i="1" s="1"/>
  <c r="BA22" i="1"/>
  <c r="BH14" i="1" s="1"/>
  <c r="AZ22" i="1"/>
  <c r="BG14" i="1" s="1"/>
  <c r="AY22" i="1"/>
  <c r="BF14" i="1" s="1"/>
  <c r="AQ23" i="1"/>
  <c r="AS23" i="1"/>
  <c r="AT23" i="1"/>
  <c r="AR23" i="1"/>
  <c r="AU23" i="1"/>
  <c r="BB23" i="1" l="1"/>
  <c r="BA23" i="1"/>
  <c r="AZ23" i="1"/>
  <c r="AY23" i="1"/>
  <c r="AQ24" i="1"/>
  <c r="AU24" i="1"/>
  <c r="AS24" i="1"/>
  <c r="AT24" i="1"/>
  <c r="AR24" i="1"/>
  <c r="BB24" i="1" l="1"/>
  <c r="BI15" i="1" s="1"/>
  <c r="BA24" i="1"/>
  <c r="BH15" i="1" s="1"/>
  <c r="AZ24" i="1"/>
  <c r="BG15" i="1" s="1"/>
  <c r="AY24" i="1"/>
  <c r="BF15" i="1" s="1"/>
  <c r="AQ25" i="1"/>
  <c r="AT25" i="1"/>
  <c r="AR25" i="1"/>
  <c r="AS25" i="1"/>
  <c r="AU25" i="1"/>
  <c r="BB25" i="1" l="1"/>
  <c r="BA25" i="1"/>
  <c r="AZ25" i="1"/>
  <c r="AY25" i="1"/>
  <c r="AQ26" i="1"/>
  <c r="AS26" i="1"/>
  <c r="AR26" i="1"/>
  <c r="AU26" i="1"/>
  <c r="AT26" i="1"/>
  <c r="BB26" i="1" l="1"/>
  <c r="BI16" i="1" s="1"/>
  <c r="BA26" i="1"/>
  <c r="BH16" i="1" s="1"/>
  <c r="AZ26" i="1"/>
  <c r="BG16" i="1" s="1"/>
  <c r="AY26" i="1"/>
  <c r="BF16" i="1" s="1"/>
  <c r="AQ27" i="1"/>
  <c r="AR27" i="1"/>
  <c r="AS27" i="1"/>
  <c r="AU27" i="1"/>
  <c r="AT27" i="1"/>
  <c r="BB27" i="1" l="1"/>
  <c r="BA27" i="1"/>
  <c r="AZ27" i="1"/>
  <c r="AY27" i="1"/>
  <c r="AQ28" i="1"/>
  <c r="AU28" i="1"/>
  <c r="AT28" i="1"/>
  <c r="AR28" i="1"/>
  <c r="AS28" i="1"/>
  <c r="BB28" i="1" l="1"/>
  <c r="BA28" i="1"/>
  <c r="AZ28" i="1"/>
  <c r="AY28" i="1"/>
  <c r="AQ29" i="1"/>
  <c r="AU29" i="1"/>
  <c r="AS29" i="1"/>
  <c r="AR29" i="1"/>
  <c r="AT29" i="1"/>
  <c r="BB29" i="1" l="1"/>
  <c r="BA29" i="1"/>
  <c r="AZ29" i="1"/>
  <c r="AY29" i="1"/>
  <c r="AQ30" i="1"/>
  <c r="AU30" i="1"/>
  <c r="AS30" i="1"/>
  <c r="AT30" i="1"/>
  <c r="AR30" i="1"/>
  <c r="BB30" i="1" l="1"/>
  <c r="BA30" i="1"/>
  <c r="AZ30" i="1"/>
  <c r="AY30" i="1"/>
  <c r="AQ31" i="1"/>
  <c r="AR31" i="1"/>
  <c r="AU31" i="1"/>
  <c r="AT31" i="1"/>
  <c r="AS31" i="1"/>
  <c r="BB31" i="1" l="1"/>
  <c r="BA31" i="1"/>
  <c r="AZ31" i="1"/>
  <c r="AY31" i="1"/>
  <c r="AQ32" i="1"/>
  <c r="AS32" i="1"/>
  <c r="AR32" i="1"/>
  <c r="AU32" i="1"/>
  <c r="AT32" i="1"/>
  <c r="BB32" i="1" l="1"/>
  <c r="BA32" i="1"/>
  <c r="AZ32" i="1"/>
  <c r="AY32" i="1"/>
  <c r="AQ33" i="1"/>
  <c r="AU33" i="1"/>
  <c r="AT33" i="1"/>
  <c r="AS33" i="1"/>
  <c r="AR33" i="1"/>
  <c r="BB33" i="1" l="1"/>
  <c r="BA33" i="1"/>
  <c r="AZ33" i="1"/>
  <c r="AY33" i="1"/>
  <c r="AQ34" i="1"/>
  <c r="AU34" i="1"/>
  <c r="AS34" i="1"/>
  <c r="AR34" i="1"/>
  <c r="AT34" i="1"/>
  <c r="BB34" i="1" l="1"/>
  <c r="BA34" i="1"/>
  <c r="AZ34" i="1"/>
  <c r="AY34" i="1"/>
  <c r="AQ35" i="1"/>
  <c r="AU35" i="1"/>
  <c r="AT35" i="1"/>
  <c r="AR35" i="1"/>
  <c r="AS35" i="1"/>
  <c r="BB35" i="1" l="1"/>
  <c r="BA35" i="1"/>
  <c r="AZ35" i="1"/>
  <c r="AY35" i="1"/>
  <c r="AQ36" i="1"/>
  <c r="AU36" i="1"/>
  <c r="AR36" i="1"/>
  <c r="AT36" i="1"/>
  <c r="AS36" i="1"/>
  <c r="BB36" i="1" l="1"/>
  <c r="BI17" i="1" s="1"/>
  <c r="BA36" i="1"/>
  <c r="BH17" i="1" s="1"/>
  <c r="AZ36" i="1"/>
  <c r="BG17" i="1" s="1"/>
  <c r="AY36" i="1"/>
  <c r="BF17" i="1" s="1"/>
  <c r="AQ37" i="1"/>
  <c r="AU37" i="1"/>
  <c r="AS37" i="1"/>
  <c r="AR37" i="1"/>
  <c r="AT37" i="1"/>
  <c r="BB37" i="1" l="1"/>
  <c r="BA37" i="1"/>
  <c r="AZ37" i="1"/>
  <c r="AY37" i="1"/>
  <c r="AQ38" i="1"/>
  <c r="AU38" i="1"/>
  <c r="AT38" i="1"/>
  <c r="AR38" i="1"/>
  <c r="AS38" i="1"/>
  <c r="BB38" i="1" l="1"/>
  <c r="BA38" i="1"/>
  <c r="AZ38" i="1"/>
  <c r="AY38" i="1"/>
  <c r="AQ39" i="1"/>
  <c r="AU39" i="1"/>
  <c r="AS39" i="1"/>
  <c r="AT39" i="1"/>
  <c r="AR39" i="1"/>
  <c r="BB39" i="1" l="1"/>
  <c r="BA39" i="1"/>
  <c r="AZ39" i="1"/>
  <c r="AY39" i="1"/>
  <c r="AQ40" i="1"/>
  <c r="AU40" i="1"/>
  <c r="AS40" i="1"/>
  <c r="AT40" i="1"/>
  <c r="AR40" i="1"/>
  <c r="BB40" i="1" l="1"/>
  <c r="BA40" i="1"/>
  <c r="AZ40" i="1"/>
  <c r="AY40" i="1"/>
  <c r="AQ41" i="1"/>
  <c r="AU41" i="1"/>
  <c r="AS41" i="1"/>
  <c r="AR41" i="1"/>
  <c r="AT41" i="1"/>
  <c r="BB41" i="1" l="1"/>
  <c r="BA41" i="1"/>
  <c r="AZ41" i="1"/>
  <c r="AY41" i="1"/>
  <c r="AQ42" i="1"/>
  <c r="AR42" i="1"/>
  <c r="AT42" i="1"/>
  <c r="AU42" i="1"/>
  <c r="AS42" i="1"/>
  <c r="BB42" i="1" l="1"/>
  <c r="BA42" i="1"/>
  <c r="AZ42" i="1"/>
  <c r="AY42" i="1"/>
  <c r="AQ43" i="1"/>
  <c r="AU43" i="1"/>
  <c r="AS43" i="1"/>
  <c r="AT43" i="1"/>
  <c r="AR43" i="1"/>
  <c r="BB43" i="1" l="1"/>
  <c r="BA43" i="1"/>
  <c r="AZ43" i="1"/>
  <c r="AY43" i="1"/>
  <c r="AQ44" i="1"/>
  <c r="AU44" i="1"/>
  <c r="AR44" i="1"/>
  <c r="AS44" i="1"/>
  <c r="AT44" i="1"/>
  <c r="BB44" i="1" l="1"/>
  <c r="BA44" i="1"/>
  <c r="AZ44" i="1"/>
  <c r="AY44" i="1"/>
  <c r="AQ45" i="1"/>
  <c r="AU45" i="1"/>
  <c r="AT45" i="1"/>
  <c r="AS45" i="1"/>
  <c r="AR45" i="1"/>
  <c r="BB45" i="1" l="1"/>
  <c r="BA45" i="1"/>
  <c r="AZ45" i="1"/>
  <c r="AY45" i="1"/>
  <c r="AQ46" i="1"/>
  <c r="AU46" i="1"/>
  <c r="AS46" i="1"/>
  <c r="AR46" i="1"/>
  <c r="AT46" i="1"/>
  <c r="BB46" i="1" l="1"/>
  <c r="BI18" i="1" s="1"/>
  <c r="BA46" i="1"/>
  <c r="BH18" i="1" s="1"/>
  <c r="AZ46" i="1"/>
  <c r="BG18" i="1" s="1"/>
  <c r="AY46" i="1"/>
  <c r="BF18" i="1" s="1"/>
  <c r="AQ47" i="1"/>
  <c r="AU47" i="1"/>
  <c r="AS47" i="1"/>
  <c r="AT47" i="1"/>
  <c r="AR47" i="1"/>
  <c r="BB47" i="1" l="1"/>
  <c r="BA47" i="1"/>
  <c r="AZ47" i="1"/>
  <c r="AY47" i="1"/>
  <c r="AQ48" i="1"/>
  <c r="AS48" i="1"/>
  <c r="AU48" i="1"/>
  <c r="AR48" i="1"/>
  <c r="AT48" i="1"/>
  <c r="BB48" i="1" l="1"/>
  <c r="BA48" i="1"/>
  <c r="AZ48" i="1"/>
  <c r="AY48" i="1"/>
  <c r="AQ49" i="1"/>
  <c r="AU49" i="1"/>
  <c r="AS49" i="1"/>
  <c r="AT49" i="1"/>
  <c r="AR49" i="1"/>
  <c r="BB49" i="1" l="1"/>
  <c r="BA49" i="1"/>
  <c r="AZ49" i="1"/>
  <c r="AY49" i="1"/>
  <c r="AQ50" i="1"/>
  <c r="AR50" i="1"/>
  <c r="AU50" i="1"/>
  <c r="AT50" i="1"/>
  <c r="AS50" i="1"/>
  <c r="BB50" i="1" l="1"/>
  <c r="BA50" i="1"/>
  <c r="AZ50" i="1"/>
  <c r="AY50" i="1"/>
  <c r="AQ51" i="1"/>
  <c r="AU51" i="1"/>
  <c r="AT51" i="1"/>
  <c r="AS51" i="1"/>
  <c r="AR51" i="1"/>
  <c r="BB51" i="1" l="1"/>
  <c r="BA51" i="1"/>
  <c r="AZ51" i="1"/>
  <c r="AY51" i="1"/>
  <c r="AQ52" i="1"/>
  <c r="AU52" i="1"/>
  <c r="AS52" i="1"/>
  <c r="AT52" i="1"/>
  <c r="AR52" i="1"/>
  <c r="BB52" i="1" l="1"/>
  <c r="BA52" i="1"/>
  <c r="AZ52" i="1"/>
  <c r="AY52" i="1"/>
  <c r="AQ53" i="1"/>
  <c r="AU53" i="1"/>
  <c r="AS53" i="1"/>
  <c r="AT53" i="1"/>
  <c r="AR53" i="1"/>
  <c r="BB53" i="1" l="1"/>
  <c r="BA53" i="1"/>
  <c r="AZ53" i="1"/>
  <c r="AY53" i="1"/>
  <c r="AQ54" i="1"/>
  <c r="AR54" i="1"/>
  <c r="AU54" i="1"/>
  <c r="AT54" i="1"/>
  <c r="AS54" i="1"/>
  <c r="BB54" i="1" l="1"/>
  <c r="BA54" i="1"/>
  <c r="AZ54" i="1"/>
  <c r="AY54" i="1"/>
  <c r="AQ55" i="1"/>
  <c r="AU55" i="1"/>
  <c r="AR55" i="1"/>
  <c r="AT55" i="1"/>
  <c r="AS55" i="1"/>
  <c r="BB55" i="1" l="1"/>
  <c r="BA55" i="1"/>
  <c r="AZ55" i="1"/>
  <c r="AY55" i="1"/>
  <c r="AQ56" i="1"/>
  <c r="AU56" i="1"/>
  <c r="AS56" i="1"/>
  <c r="AT56" i="1"/>
  <c r="AR56" i="1"/>
  <c r="BB56" i="1" l="1"/>
  <c r="BI19" i="1" s="1"/>
  <c r="BA56" i="1"/>
  <c r="BH19" i="1" s="1"/>
  <c r="AZ56" i="1"/>
  <c r="BG19" i="1" s="1"/>
  <c r="AY56" i="1"/>
  <c r="BF19" i="1" s="1"/>
  <c r="AQ57" i="1"/>
  <c r="AU57" i="1"/>
  <c r="AS57" i="1"/>
  <c r="AR57" i="1"/>
  <c r="AT57" i="1"/>
  <c r="BB57" i="1" l="1"/>
  <c r="BA57" i="1"/>
  <c r="AZ57" i="1"/>
  <c r="AY57" i="1"/>
  <c r="AQ58" i="1"/>
  <c r="AR58" i="1"/>
  <c r="AS58" i="1"/>
  <c r="AU58" i="1"/>
  <c r="AT58" i="1"/>
  <c r="BB58" i="1" l="1"/>
  <c r="BA58" i="1"/>
  <c r="AZ58" i="1"/>
  <c r="AY58" i="1"/>
  <c r="AQ59" i="1"/>
  <c r="AU59" i="1"/>
  <c r="AR59" i="1"/>
  <c r="AS59" i="1"/>
  <c r="AT59" i="1"/>
  <c r="BB59" i="1" l="1"/>
  <c r="BA59" i="1"/>
  <c r="AZ59" i="1"/>
  <c r="AY59" i="1"/>
  <c r="AQ60" i="1"/>
  <c r="AU60" i="1"/>
  <c r="AS60" i="1"/>
  <c r="AT60" i="1"/>
  <c r="AR60" i="1"/>
  <c r="BB60" i="1" l="1"/>
  <c r="BA60" i="1"/>
  <c r="AZ60" i="1"/>
  <c r="AY60" i="1"/>
  <c r="AQ61" i="1"/>
  <c r="AU61" i="1"/>
  <c r="AR61" i="1"/>
  <c r="AS61" i="1"/>
  <c r="AT61" i="1"/>
  <c r="BB61" i="1" l="1"/>
  <c r="BA61" i="1"/>
  <c r="AZ61" i="1"/>
  <c r="AY61" i="1"/>
  <c r="AQ62" i="1"/>
  <c r="AR62" i="1"/>
  <c r="AU62" i="1"/>
  <c r="AS62" i="1"/>
  <c r="AT62" i="1"/>
  <c r="BB62" i="1" l="1"/>
  <c r="BA62" i="1"/>
  <c r="AZ62" i="1"/>
  <c r="AY62" i="1"/>
  <c r="AQ63" i="1"/>
  <c r="AU63" i="1"/>
  <c r="AT63" i="1"/>
  <c r="AS63" i="1"/>
  <c r="AR63" i="1"/>
  <c r="BB63" i="1" l="1"/>
  <c r="BA63" i="1"/>
  <c r="AZ63" i="1"/>
  <c r="AY63" i="1"/>
  <c r="AQ64" i="1"/>
  <c r="AU64" i="1"/>
  <c r="AR64" i="1"/>
  <c r="AT64" i="1"/>
  <c r="AS64" i="1"/>
  <c r="BB64" i="1" l="1"/>
  <c r="BA64" i="1"/>
  <c r="AZ64" i="1"/>
  <c r="AY64" i="1"/>
  <c r="AQ65" i="1"/>
  <c r="AU65" i="1"/>
  <c r="AT65" i="1"/>
  <c r="AR65" i="1"/>
  <c r="AS65" i="1"/>
  <c r="BB65" i="1" l="1"/>
  <c r="BA65" i="1"/>
  <c r="AZ65" i="1"/>
  <c r="AY65" i="1"/>
  <c r="AQ66" i="1"/>
  <c r="AU66" i="1"/>
  <c r="AT66" i="1"/>
  <c r="AR66" i="1"/>
  <c r="AS66" i="1"/>
  <c r="BB66" i="1" l="1"/>
  <c r="BI20" i="1" s="1"/>
  <c r="BA66" i="1"/>
  <c r="BH20" i="1" s="1"/>
  <c r="AZ66" i="1"/>
  <c r="BG20" i="1" s="1"/>
  <c r="AY66" i="1"/>
  <c r="BF20" i="1" s="1"/>
  <c r="AQ67" i="1"/>
  <c r="AS67" i="1"/>
  <c r="AZ67" i="1" s="1"/>
  <c r="AR67" i="1"/>
  <c r="AY67" i="1" s="1"/>
  <c r="AT67" i="1"/>
  <c r="BA67" i="1" s="1"/>
  <c r="AU67" i="1"/>
  <c r="BB67" i="1" l="1"/>
  <c r="AQ68" i="1"/>
  <c r="AU68" i="1"/>
  <c r="BB68" i="1" l="1"/>
  <c r="AQ69" i="1"/>
  <c r="AS68" i="1"/>
  <c r="AZ68" i="1" s="1"/>
  <c r="AT68" i="1"/>
  <c r="BA68" i="1" s="1"/>
  <c r="AR68" i="1"/>
  <c r="AY68" i="1" s="1"/>
  <c r="AU69" i="1"/>
  <c r="BB69" i="1" l="1"/>
  <c r="AQ70" i="1"/>
  <c r="AR69" i="1"/>
  <c r="AY69" i="1" s="1"/>
  <c r="AT69" i="1"/>
  <c r="BA69" i="1" s="1"/>
  <c r="AS69" i="1"/>
  <c r="AZ69" i="1" s="1"/>
  <c r="AU70" i="1"/>
  <c r="BB70" i="1" l="1"/>
  <c r="AQ71" i="1"/>
  <c r="AS70" i="1"/>
  <c r="AZ70" i="1" s="1"/>
  <c r="AT70" i="1"/>
  <c r="BA70" i="1" s="1"/>
  <c r="AR70" i="1"/>
  <c r="AY70" i="1" s="1"/>
  <c r="AU71" i="1"/>
  <c r="BB71" i="1" l="1"/>
  <c r="AQ72" i="1"/>
  <c r="AS71" i="1"/>
  <c r="AZ71" i="1" s="1"/>
  <c r="AT71" i="1"/>
  <c r="BA71" i="1" s="1"/>
  <c r="AR71" i="1"/>
  <c r="AY71" i="1" s="1"/>
  <c r="AU72" i="1"/>
  <c r="BB72" i="1" l="1"/>
  <c r="AQ73" i="1"/>
  <c r="AR72" i="1"/>
  <c r="AY72" i="1" s="1"/>
  <c r="AT72" i="1"/>
  <c r="BA72" i="1" s="1"/>
  <c r="AS72" i="1"/>
  <c r="AZ72" i="1" s="1"/>
  <c r="AU73" i="1"/>
  <c r="BB73" i="1" l="1"/>
  <c r="AQ74" i="1"/>
  <c r="AT73" i="1"/>
  <c r="BA73" i="1" s="1"/>
  <c r="AS73" i="1"/>
  <c r="AZ73" i="1" s="1"/>
  <c r="AR73" i="1"/>
  <c r="AY73" i="1" s="1"/>
  <c r="AU74" i="1"/>
  <c r="BB74" i="1" l="1"/>
  <c r="AQ75" i="1"/>
  <c r="AR74" i="1"/>
  <c r="AY74" i="1" s="1"/>
  <c r="AS74" i="1"/>
  <c r="AZ74" i="1" s="1"/>
  <c r="AT74" i="1"/>
  <c r="BA74" i="1" s="1"/>
  <c r="AU75" i="1"/>
  <c r="BB75" i="1" l="1"/>
  <c r="AQ76" i="1"/>
  <c r="AR75" i="1"/>
  <c r="AY75" i="1" s="1"/>
  <c r="AT75" i="1"/>
  <c r="BA75" i="1" s="1"/>
  <c r="AS75" i="1"/>
  <c r="AZ75" i="1" s="1"/>
  <c r="AU76" i="1"/>
  <c r="BB76" i="1" l="1"/>
  <c r="BI21" i="1" s="1"/>
  <c r="AQ77" i="1"/>
  <c r="AS76" i="1"/>
  <c r="AZ76" i="1" s="1"/>
  <c r="BG21" i="1" s="1"/>
  <c r="AT76" i="1"/>
  <c r="BA76" i="1" s="1"/>
  <c r="BH21" i="1" s="1"/>
  <c r="AR76" i="1"/>
  <c r="AY76" i="1" s="1"/>
  <c r="BF21" i="1" s="1"/>
  <c r="BI24" i="1"/>
  <c r="BF24" i="1"/>
  <c r="BH24" i="1"/>
  <c r="BG24" i="1"/>
  <c r="AU77" i="1"/>
  <c r="BO33" i="1" l="1"/>
  <c r="BR33" i="1"/>
  <c r="BQ33" i="1"/>
  <c r="BP33" i="1"/>
  <c r="BB77" i="1"/>
  <c r="BK33" i="1"/>
  <c r="BN33" i="1"/>
  <c r="BM33" i="1"/>
  <c r="BL33" i="1"/>
  <c r="BG33" i="1"/>
  <c r="BH33" i="1"/>
  <c r="BJ33" i="1"/>
  <c r="BI33" i="1"/>
  <c r="AT77" i="1"/>
  <c r="BA77" i="1" s="1"/>
  <c r="AS77" i="1"/>
  <c r="AZ77" i="1" s="1"/>
  <c r="AR77" i="1"/>
  <c r="AY77" i="1" s="1"/>
  <c r="AM34" i="1" l="1"/>
  <c r="AN34" i="1" s="1"/>
  <c r="AO34" i="1" s="1"/>
  <c r="AM31" i="1"/>
  <c r="AN31" i="1" s="1"/>
  <c r="AM33" i="1"/>
  <c r="AN33" i="1" s="1"/>
  <c r="AO33" i="1" s="1"/>
  <c r="AM32" i="1"/>
  <c r="AN32" i="1" s="1"/>
  <c r="AO32" i="1" s="1"/>
  <c r="E8" i="1" l="1" a="1"/>
  <c r="E8" i="1" s="1"/>
  <c r="AO31" i="1"/>
  <c r="E9" i="1" a="1"/>
  <c r="H8" i="1" l="1"/>
  <c r="F8" i="1"/>
  <c r="G8" i="1"/>
  <c r="H9" i="1"/>
  <c r="H11" i="1" s="1"/>
  <c r="H13" i="1" s="1"/>
  <c r="E9" i="1"/>
  <c r="E11" i="1" s="1"/>
  <c r="E13" i="1" s="1"/>
  <c r="G9" i="1"/>
  <c r="G11" i="1" s="1"/>
  <c r="G13" i="1" s="1"/>
  <c r="F9" i="1"/>
  <c r="F11" i="1" s="1"/>
  <c r="F13" i="1" s="1"/>
</calcChain>
</file>

<file path=xl/comments1.xml><?xml version="1.0" encoding="utf-8"?>
<comments xmlns="http://schemas.openxmlformats.org/spreadsheetml/2006/main">
  <authors>
    <author>Yuriy Shchuchinov</author>
  </authors>
  <commentList>
    <comment ref="A6" authorId="0" shapeId="0">
      <text>
        <r>
          <rPr>
            <b/>
            <sz val="8"/>
            <color indexed="81"/>
            <rFont val="Tahoma"/>
            <family val="2"/>
          </rPr>
          <t>Enter a "Corp" bond ID recognized by Bloomberg</t>
        </r>
      </text>
    </comment>
  </commentList>
</comments>
</file>

<file path=xl/sharedStrings.xml><?xml version="1.0" encoding="utf-8"?>
<sst xmlns="http://schemas.openxmlformats.org/spreadsheetml/2006/main" count="248" uniqueCount="97">
  <si>
    <t>Tenor</t>
  </si>
  <si>
    <t>Maturity</t>
  </si>
  <si>
    <t>Coupon</t>
  </si>
  <si>
    <t>Yield</t>
  </si>
  <si>
    <t>SETTLE_DT</t>
  </si>
  <si>
    <t>Price</t>
  </si>
  <si>
    <t>Value</t>
  </si>
  <si>
    <t>LONG_COMP_NAME</t>
  </si>
  <si>
    <t>Item</t>
  </si>
  <si>
    <t>SECURITY_NAME</t>
  </si>
  <si>
    <t>Bond tenor</t>
  </si>
  <si>
    <t>BBG tickers</t>
  </si>
  <si>
    <t>EUR</t>
  </si>
  <si>
    <t>JPY</t>
  </si>
  <si>
    <t>GBP</t>
  </si>
  <si>
    <t>Values</t>
  </si>
  <si>
    <t>3M vs 6M swaps</t>
  </si>
  <si>
    <t>Cross currency basis swap</t>
  </si>
  <si>
    <t>3M vs 6M swap</t>
  </si>
  <si>
    <t>YAS_ISPREAD</t>
  </si>
  <si>
    <t>USD</t>
  </si>
  <si>
    <t>I-Spread (bps)</t>
  </si>
  <si>
    <t>Tenor (years)</t>
  </si>
  <si>
    <t>Parameter</t>
  </si>
  <si>
    <t>Annuity</t>
  </si>
  <si>
    <t>PV for currency w/ XCCY swap</t>
  </si>
  <si>
    <t>Rows</t>
  </si>
  <si>
    <t>Sum</t>
  </si>
  <si>
    <t>Spread conversion factor</t>
  </si>
  <si>
    <t>YAS_BOND_PX</t>
  </si>
  <si>
    <t>Spread conversion (bps)</t>
  </si>
  <si>
    <t>Variable</t>
  </si>
  <si>
    <t>PX_BID_POINTS</t>
  </si>
  <si>
    <t>PX_ASK_POINTS</t>
  </si>
  <si>
    <t>PX_LAST</t>
  </si>
  <si>
    <t>3M hedging cost</t>
  </si>
  <si>
    <t>1M hedging cost</t>
  </si>
  <si>
    <t>annualized 3M hedging cost</t>
  </si>
  <si>
    <t>annualized 1M hedging cost</t>
  </si>
  <si>
    <t>Note: this spreadsheet requires Bloomberg, macros need to be enabled.</t>
  </si>
  <si>
    <t>Local currency swap rate (%)</t>
  </si>
  <si>
    <t>Yield, local currency, fully hedge (%)</t>
  </si>
  <si>
    <t>Df.Mid</t>
  </si>
  <si>
    <t>Term</t>
  </si>
  <si>
    <t>Discount factors</t>
  </si>
  <si>
    <t>Please run Bloomberg -&gt; Refresh Worksheet to ensure all data is updated</t>
  </si>
  <si>
    <t>Market.Mid</t>
  </si>
  <si>
    <t>XCCY</t>
  </si>
  <si>
    <t>3Mv6M</t>
  </si>
  <si>
    <t>Swap rate</t>
  </si>
  <si>
    <t>Bond</t>
  </si>
  <si>
    <t>Investor</t>
  </si>
  <si>
    <t>Factor</t>
  </si>
  <si>
    <t>CRNCY</t>
  </si>
  <si>
    <t>Equivalent</t>
  </si>
  <si>
    <t>xCCY swap</t>
  </si>
  <si>
    <t>3Mv6M swap</t>
  </si>
  <si>
    <t>Spread</t>
  </si>
  <si>
    <t>YAS_BOND_YLD</t>
  </si>
  <si>
    <t>ID</t>
  </si>
  <si>
    <t>Full FX hedge:</t>
  </si>
  <si>
    <t>Partial FX hedge (based on FX forwards):</t>
  </si>
  <si>
    <t>USD/EUR</t>
  </si>
  <si>
    <t>USD/GBP</t>
  </si>
  <si>
    <t>JPY/USD</t>
  </si>
  <si>
    <t>GBP/EUR</t>
  </si>
  <si>
    <t>JPY/EUR</t>
  </si>
  <si>
    <t>JPY/GBP</t>
  </si>
  <si>
    <t>EUR3M BGN Curncy</t>
  </si>
  <si>
    <t>GBP3M BGN Curncy</t>
  </si>
  <si>
    <t>JPY3M BGN Curncy</t>
  </si>
  <si>
    <t>EUR Curncy</t>
  </si>
  <si>
    <t>GBP BGN Curncy</t>
  </si>
  <si>
    <t>JPY BGN Curncy</t>
  </si>
  <si>
    <t>Forward</t>
  </si>
  <si>
    <t>3M:</t>
  </si>
  <si>
    <t>1M</t>
  </si>
  <si>
    <t>EUR1M BGN Curncy</t>
  </si>
  <si>
    <t>GBP1M BGN Curncy</t>
  </si>
  <si>
    <t>JPY1M BGN Curncy</t>
  </si>
  <si>
    <t>3M cost</t>
  </si>
  <si>
    <t>1M cost</t>
  </si>
  <si>
    <t>Bloomberg bond ID</t>
  </si>
  <si>
    <t>Bond valuation adjusted for FX hedging costs:</t>
  </si>
  <si>
    <t>Model inputs</t>
  </si>
  <si>
    <t>Bond currency</t>
  </si>
  <si>
    <t>Yield, hedged with 1M FX fwd (%)</t>
  </si>
  <si>
    <t>Yield, hedged with 3M FX fwd (%)</t>
  </si>
  <si>
    <t>1M FX fwd hedge cost, annualized (bps)</t>
  </si>
  <si>
    <t>3M FX fwd hedge cost, annualized (bps)</t>
  </si>
  <si>
    <t>BofAML Credit Strategy Research</t>
  </si>
  <si>
    <t>Govt G-Spread (bps)</t>
  </si>
  <si>
    <t>Libor I-Spread (bps)</t>
  </si>
  <si>
    <t>I-Spd final</t>
  </si>
  <si>
    <t>Instructions: enter Bloomberg ID for a bond in cell C7. The bond can be denominated in USD, EUR or GBP.</t>
  </si>
  <si>
    <t>Enter either I-Spread in cell C8 or G-Spread in cell C9. If left blank default Bloomberg pricing is used.</t>
  </si>
  <si>
    <t>US92343VER15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</si>
</sst>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5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£&quot;#,##0.00;\-&quot;£&quot;#,##0.00"/>
    <numFmt numFmtId="165" formatCode="&quot;£&quot;#,##0.00;[Red]\-&quot;£&quot;#,##0.00"/>
    <numFmt numFmtId="166" formatCode="_-* #,##0_-;\-* #,##0_-;_-* &quot;-&quot;_-;_-@_-"/>
    <numFmt numFmtId="167" formatCode="m/d/yyyy;@"/>
    <numFmt numFmtId="168" formatCode="&quot;$&quot;#,##0.000"/>
    <numFmt numFmtId="169" formatCode="0.000%"/>
    <numFmt numFmtId="170" formatCode="0.0"/>
    <numFmt numFmtId="171" formatCode="0.0%"/>
    <numFmt numFmtId="172" formatCode="#,##0.000"/>
    <numFmt numFmtId="173" formatCode="&quot;$&quot;#,##0.00"/>
    <numFmt numFmtId="174" formatCode="0000"/>
    <numFmt numFmtId="175" formatCode="#,##0.000_);[Red]\(#,##0.000\)"/>
    <numFmt numFmtId="176" formatCode="#,##0.0000_);[Red]\(#,##0.0000\)"/>
    <numFmt numFmtId="177" formatCode="_(&quot;$&quot;* #,##0.00000_);_(&quot;$&quot;* \(#,##0.00000\);_(&quot;$&quot;* &quot;-&quot;??_);_(@_)"/>
    <numFmt numFmtId="178" formatCode="&quot;€&quot;#,##0_);[Red]\(&quot;€&quot;#,##0\);&quot;-&quot;"/>
    <numFmt numFmtId="179" formatCode="0.0000%"/>
    <numFmt numFmtId="180" formatCode="0.000_)"/>
    <numFmt numFmtId="181" formatCode="0.00_);\(0.00\)"/>
    <numFmt numFmtId="182" formatCode="0.0_);\(0.0\)"/>
    <numFmt numFmtId="183" formatCode="0_);\(0\)"/>
    <numFmt numFmtId="184" formatCode="0.000_);\(0.000\)"/>
    <numFmt numFmtId="185" formatCode="mm/dd/yy"/>
    <numFmt numFmtId="186" formatCode="_([$€-2]* #,##0.00_);_([$€-2]* \(#,##0.00\);_([$€-2]* &quot;-&quot;??_)"/>
    <numFmt numFmtId="187" formatCode="ddd\ d\-mmm\-yy"/>
    <numFmt numFmtId="188" formatCode="0.00_)"/>
    <numFmt numFmtId="189" formatCode="mm\ dd\ yy"/>
    <numFmt numFmtId="190" formatCode="00,###"/>
    <numFmt numFmtId="191" formatCode="00###"/>
    <numFmt numFmtId="192" formatCode="[Blue]#,##0;[Red]\-#,##0"/>
    <numFmt numFmtId="193" formatCode="#,##0.0000"/>
    <numFmt numFmtId="194" formatCode="00###.00"/>
    <numFmt numFmtId="195" formatCode="_(* #,##0_);_(* \(#,##0\);_(* &quot;-&quot;??_);_(@_)"/>
    <numFmt numFmtId="196" formatCode="_(&quot;$&quot;* #,##0.0_);_(&quot;$&quot;* \(#,##0.0\);_(&quot;$&quot;* &quot;-&quot;??_);_(@_)"/>
    <numFmt numFmtId="197" formatCode="_(&quot;$&quot;* #,##0_);_(&quot;$&quot;* \(#,##0\);_(&quot;$&quot;* &quot;-&quot;??_);_(@_)"/>
    <numFmt numFmtId="198" formatCode="_(* #,##0.0_);_(* \(#,##0.0\);_(* &quot;-&quot;??_);_(@_)"/>
    <numFmt numFmtId="199" formatCode="_(* #,##0.0000_);_(* \(#,##0.0000\);_(* &quot;-&quot;??_);_(@_)"/>
    <numFmt numFmtId="200" formatCode="&quot;$&quot;#,##0;\(&quot;$&quot;#,##0\)"/>
    <numFmt numFmtId="201" formatCode="&quot;$&quot;#,##0.0;\(&quot;$&quot;#,##0.0\)"/>
    <numFmt numFmtId="202" formatCode="&quot;$&quot;#,##0.00;\(&quot;$&quot;#,##0.00\)"/>
    <numFmt numFmtId="203" formatCode="_ * #,##0_ ;_ * \-#,##0_ ;_ * &quot;-&quot;_ ;_ @_ "/>
    <numFmt numFmtId="204" formatCode="_ * #,##0.00_ ;_ * \-#,##0.00_ ;_ * &quot;-&quot;??_ ;_ @_ "/>
    <numFmt numFmtId="205" formatCode="d/m/yy"/>
    <numFmt numFmtId="206" formatCode="#,##0&quot;£&quot;_);[Red]\(#,##0&quot;£&quot;\)"/>
    <numFmt numFmtId="207" formatCode="0\ &quot;bps&quot;"/>
    <numFmt numFmtId="208" formatCode="m/yy"/>
    <numFmt numFmtId="209" formatCode="General_)"/>
    <numFmt numFmtId="210" formatCode="&quot;$&quot;#,##0"/>
    <numFmt numFmtId="211" formatCode="0.00\x"/>
    <numFmt numFmtId="212" formatCode="0&quot; bps&quot;"/>
    <numFmt numFmtId="213" formatCode="#,##0.0"/>
    <numFmt numFmtId="214" formatCode="#,##0.0_);\(#,##0.0\)"/>
    <numFmt numFmtId="215" formatCode="#,##0.0%;\(#,##0.0\)%"/>
    <numFmt numFmtId="216" formatCode="0.0\x"/>
    <numFmt numFmtId="217" formatCode="#,##0.0_);[Red]\(#,##0.0\)"/>
    <numFmt numFmtId="218" formatCode="&quot;$&quot;#,##0.0_);&quot;$&quot;\(#,##0.0\)"/>
    <numFmt numFmtId="219" formatCode="&quot;$&quot;#,##0.00_);&quot;$&quot;\(#,##0.00\)"/>
    <numFmt numFmtId="220" formatCode="0.0_)"/>
    <numFmt numFmtId="221" formatCode="&quot;$&quot;#,##0.0_);\(&quot;$&quot;#,##0.0\)"/>
    <numFmt numFmtId="222" formatCode="&quot;$&quot;#,##0.0_);[Red]\(&quot;$&quot;#,##0.0\)"/>
    <numFmt numFmtId="223" formatCode="00000"/>
    <numFmt numFmtId="224" formatCode="0.0&quot;x&quot;"/>
    <numFmt numFmtId="225" formatCode="#,##0;\(#,##0\)"/>
    <numFmt numFmtId="226" formatCode="#,##0.0;\(#,##0.0\)"/>
    <numFmt numFmtId="227" formatCode="#,##0.00;\(#,##0.00\)"/>
    <numFmt numFmtId="228" formatCode="_ * #,##0.00_)&quot;£&quot;_ ;_ * \(#,##0.00\)&quot;£&quot;_ ;_ * &quot;-&quot;??_)&quot;£&quot;_ ;_ @_ "/>
    <numFmt numFmtId="229" formatCode="0.000000"/>
    <numFmt numFmtId="230" formatCode="0.000"/>
  </numFmts>
  <fonts count="120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8"/>
      <color indexed="9"/>
      <name val="Arial"/>
      <family val="2"/>
    </font>
    <font>
      <sz val="8"/>
      <name val="Arial Narrow"/>
      <family val="2"/>
    </font>
    <font>
      <sz val="8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6"/>
      <color indexed="24"/>
      <name val="Arial"/>
      <family val="2"/>
    </font>
    <font>
      <b/>
      <sz val="14"/>
      <color indexed="24"/>
      <name val="Arial"/>
      <family val="2"/>
    </font>
    <font>
      <u/>
      <sz val="10"/>
      <color indexed="12"/>
      <name val="Arial"/>
      <family val="2"/>
    </font>
    <font>
      <sz val="8"/>
      <name val="Times New Roman"/>
      <family val="1"/>
    </font>
    <font>
      <sz val="10"/>
      <name val="Arial"/>
      <family val="2"/>
    </font>
    <font>
      <sz val="10"/>
      <name val="Courier"/>
      <family val="3"/>
    </font>
    <font>
      <sz val="10"/>
      <name val="Helv"/>
      <family val="2"/>
    </font>
    <font>
      <sz val="11"/>
      <color indexed="10"/>
      <name val="–¾’©"/>
      <charset val="128"/>
    </font>
    <font>
      <sz val="11"/>
      <color indexed="8"/>
      <name val="Calibri"/>
      <family val="2"/>
    </font>
    <font>
      <sz val="10"/>
      <name val="Times New Roman"/>
      <family val="1"/>
    </font>
    <font>
      <sz val="11"/>
      <color indexed="9"/>
      <name val="Calibri"/>
      <family val="2"/>
    </font>
    <font>
      <sz val="10"/>
      <name val="CG Times (WN)"/>
    </font>
    <font>
      <sz val="8"/>
      <color indexed="16"/>
      <name val="Helv"/>
    </font>
    <font>
      <sz val="8"/>
      <color indexed="12"/>
      <name val="Helv"/>
    </font>
    <font>
      <sz val="12"/>
      <name val="¹ÙÅÁÃ¼"/>
      <family val="1"/>
      <charset val="129"/>
    </font>
    <font>
      <sz val="11"/>
      <color indexed="20"/>
      <name val="Calibri"/>
      <family val="2"/>
    </font>
    <font>
      <sz val="10"/>
      <name val="Times New Roman"/>
      <family val="1"/>
    </font>
    <font>
      <sz val="8"/>
      <color indexed="12"/>
      <name val="Tms Rmn"/>
    </font>
    <font>
      <sz val="12"/>
      <name val="Tms Rmn"/>
    </font>
    <font>
      <sz val="10"/>
      <name val="Palatino"/>
    </font>
    <font>
      <b/>
      <sz val="8"/>
      <color indexed="15"/>
      <name val="ZapfDingbats"/>
    </font>
    <font>
      <b/>
      <sz val="10"/>
      <name val="Arial"/>
      <family val="2"/>
    </font>
    <font>
      <b/>
      <sz val="11"/>
      <color indexed="52"/>
      <name val="Calibri"/>
      <family val="2"/>
    </font>
    <font>
      <b/>
      <sz val="10"/>
      <name val="Helv"/>
    </font>
    <font>
      <sz val="10"/>
      <color indexed="14"/>
      <name val="Times New Roman"/>
      <family val="1"/>
    </font>
    <font>
      <i/>
      <sz val="9"/>
      <name val="Times New Roman"/>
      <family val="1"/>
    </font>
    <font>
      <b/>
      <sz val="11"/>
      <color indexed="9"/>
      <name val="Calibri"/>
      <family val="2"/>
    </font>
    <font>
      <sz val="10"/>
      <name val="Helv"/>
    </font>
    <font>
      <sz val="11"/>
      <name val="Tms Rmn"/>
    </font>
    <font>
      <sz val="8"/>
      <name val="Palatino"/>
      <family val="1"/>
    </font>
    <font>
      <sz val="10"/>
      <name val="MS Sans Serif"/>
      <family val="2"/>
    </font>
    <font>
      <i/>
      <sz val="6"/>
      <name val="Helv"/>
    </font>
    <font>
      <sz val="10"/>
      <name val="Book Antiqua"/>
      <family val="1"/>
    </font>
    <font>
      <b/>
      <sz val="16"/>
      <color indexed="16"/>
      <name val="Helv"/>
    </font>
    <font>
      <b/>
      <sz val="10"/>
      <name val="Times New Roman"/>
      <family val="1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i/>
      <sz val="10"/>
      <name val="Arial"/>
      <family val="2"/>
    </font>
    <font>
      <i/>
      <sz val="11"/>
      <color indexed="23"/>
      <name val="Calibri"/>
      <family val="2"/>
    </font>
    <font>
      <sz val="12"/>
      <name val="Times New Roman"/>
      <family val="1"/>
    </font>
    <font>
      <sz val="8"/>
      <name val="Palatino"/>
    </font>
    <font>
      <b/>
      <sz val="10"/>
      <name val="Palatino"/>
    </font>
    <font>
      <sz val="10"/>
      <color indexed="12"/>
      <name val="Times New Roman"/>
      <family val="1"/>
    </font>
    <font>
      <sz val="11"/>
      <color indexed="26"/>
      <name val="Calibri"/>
      <family val="2"/>
    </font>
    <font>
      <b/>
      <sz val="10"/>
      <name val="Arial"/>
      <family val="2"/>
    </font>
    <font>
      <sz val="6"/>
      <color indexed="16"/>
      <name val="Palatino"/>
      <family val="1"/>
    </font>
    <font>
      <b/>
      <sz val="12"/>
      <name val="Arial"/>
      <family val="2"/>
    </font>
    <font>
      <b/>
      <sz val="15"/>
      <color indexed="15"/>
      <name val="Calibri"/>
      <family val="2"/>
    </font>
    <font>
      <sz val="18"/>
      <name val="Helvetica-Black"/>
    </font>
    <font>
      <i/>
      <sz val="14"/>
      <name val="Palatino"/>
      <family val="1"/>
    </font>
    <font>
      <b/>
      <sz val="11"/>
      <color indexed="15"/>
      <name val="Calibri"/>
      <family val="2"/>
    </font>
    <font>
      <sz val="8"/>
      <color indexed="17"/>
      <name val="Arial"/>
      <family val="2"/>
    </font>
    <font>
      <sz val="10"/>
      <color indexed="12"/>
      <name val="MS Sans Serif"/>
      <family val="2"/>
    </font>
    <font>
      <sz val="10"/>
      <color indexed="12"/>
      <name val="MS Sans Serif"/>
      <family val="2"/>
    </font>
    <font>
      <i/>
      <sz val="10"/>
      <name val="Arial"/>
      <family val="2"/>
    </font>
    <font>
      <b/>
      <i/>
      <sz val="10"/>
      <name val="Times New Roman"/>
      <family val="1"/>
    </font>
    <font>
      <b/>
      <sz val="8"/>
      <color indexed="14"/>
      <name val="Arial"/>
      <family val="2"/>
    </font>
    <font>
      <sz val="14"/>
      <name val="Times New Roman"/>
      <family val="1"/>
    </font>
    <font>
      <sz val="16"/>
      <name val="Times New Roman"/>
      <family val="1"/>
    </font>
    <font>
      <sz val="11"/>
      <color indexed="52"/>
      <name val="Calibri"/>
      <family val="2"/>
    </font>
    <font>
      <b/>
      <sz val="8"/>
      <name val="Arial"/>
      <family val="2"/>
    </font>
    <font>
      <sz val="8"/>
      <color indexed="8"/>
      <name val="Helv"/>
    </font>
    <font>
      <sz val="8"/>
      <color indexed="18"/>
      <name val="Arial"/>
      <family val="2"/>
    </font>
    <font>
      <b/>
      <sz val="11"/>
      <name val="Helv"/>
    </font>
    <font>
      <sz val="11"/>
      <color indexed="60"/>
      <name val="Calibri"/>
      <family val="2"/>
    </font>
    <font>
      <b/>
      <sz val="11"/>
      <color indexed="39"/>
      <name val="Arial"/>
      <family val="2"/>
    </font>
    <font>
      <sz val="7"/>
      <name val="Small Fonts"/>
      <family val="2"/>
    </font>
    <font>
      <b/>
      <i/>
      <sz val="16"/>
      <name val="Helv"/>
    </font>
    <font>
      <sz val="10"/>
      <color indexed="8"/>
      <name val="MS Sans Serif"/>
      <family val="2"/>
    </font>
    <font>
      <i/>
      <sz val="10"/>
      <name val="Helv"/>
    </font>
    <font>
      <sz val="11"/>
      <name val="‚l‚r –¾’©"/>
      <charset val="128"/>
    </font>
    <font>
      <b/>
      <sz val="10"/>
      <color indexed="22"/>
      <name val="Arial"/>
      <family val="2"/>
    </font>
    <font>
      <b/>
      <sz val="9"/>
      <name val="Arial"/>
      <family val="2"/>
    </font>
    <font>
      <sz val="8"/>
      <color indexed="72"/>
      <name val="Arial"/>
      <family val="2"/>
    </font>
    <font>
      <sz val="10"/>
      <name val="Arial Narrow"/>
      <family val="2"/>
    </font>
    <font>
      <sz val="10"/>
      <color indexed="16"/>
      <name val="Helvetica-Black"/>
    </font>
    <font>
      <sz val="10"/>
      <color indexed="10"/>
      <name val="Times New Roman"/>
      <family val="1"/>
    </font>
    <font>
      <sz val="9"/>
      <name val="Arial"/>
      <family val="2"/>
    </font>
    <font>
      <b/>
      <sz val="10"/>
      <name val="MS Sans Serif"/>
      <family val="2"/>
    </font>
    <font>
      <b/>
      <i/>
      <sz val="8"/>
      <name val="Helv"/>
    </font>
    <font>
      <sz val="8"/>
      <color indexed="10"/>
      <name val="Helv"/>
    </font>
    <font>
      <sz val="8"/>
      <color indexed="18"/>
      <name val="Helvetica"/>
      <family val="2"/>
    </font>
    <font>
      <b/>
      <i/>
      <sz val="8"/>
      <name val="Times New Roman"/>
      <family val="1"/>
    </font>
    <font>
      <i/>
      <sz val="9"/>
      <color indexed="50"/>
      <name val="Times New Roman"/>
      <family val="1"/>
    </font>
    <font>
      <sz val="10"/>
      <name val="Tms Rmn"/>
    </font>
    <font>
      <sz val="10"/>
      <color indexed="9"/>
      <name val="Arial"/>
      <family val="2"/>
    </font>
    <font>
      <b/>
      <sz val="18"/>
      <name val="Times New Roman"/>
      <family val="1"/>
    </font>
    <font>
      <b/>
      <sz val="9"/>
      <name val="Palatino"/>
      <family val="1"/>
    </font>
    <font>
      <sz val="9"/>
      <color indexed="21"/>
      <name val="Helvetica-Black"/>
    </font>
    <font>
      <sz val="9"/>
      <name val="Helvetica-Black"/>
    </font>
    <font>
      <sz val="7"/>
      <name val="Palatino"/>
      <family val="1"/>
    </font>
    <font>
      <b/>
      <sz val="14"/>
      <name val="Palatino"/>
    </font>
    <font>
      <b/>
      <sz val="12"/>
      <name val="Palatino"/>
    </font>
    <font>
      <b/>
      <i/>
      <sz val="20"/>
      <name val="Arial"/>
      <family val="2"/>
    </font>
    <font>
      <b/>
      <i/>
      <sz val="12"/>
      <name val="Galliard BT"/>
      <family val="1"/>
    </font>
    <font>
      <b/>
      <sz val="20"/>
      <name val="Palatino"/>
    </font>
    <font>
      <b/>
      <sz val="12"/>
      <name val="Times New Roman"/>
      <family val="1"/>
    </font>
    <font>
      <sz val="8"/>
      <name val="Helv"/>
    </font>
    <font>
      <sz val="10"/>
      <color indexed="23"/>
      <name val="Times New Roman"/>
      <family val="1"/>
    </font>
    <font>
      <u/>
      <sz val="8"/>
      <name val="Times New Roman"/>
      <family val="1"/>
    </font>
    <font>
      <b/>
      <sz val="8"/>
      <name val="Times New Roman"/>
      <family val="1"/>
    </font>
    <font>
      <b/>
      <sz val="10"/>
      <color indexed="10"/>
      <name val="Times New Roman"/>
      <family val="1"/>
    </font>
    <font>
      <sz val="11"/>
      <color indexed="10"/>
      <name val="Calibri"/>
      <family val="2"/>
    </font>
    <font>
      <b/>
      <sz val="8"/>
      <color indexed="81"/>
      <name val="Tahoma"/>
      <family val="2"/>
    </font>
    <font>
      <sz val="12"/>
      <color theme="1"/>
      <name val="Calibri"/>
      <family val="2"/>
      <scheme val="minor"/>
    </font>
    <font>
      <b/>
      <i/>
      <u/>
      <sz val="8"/>
      <name val="Arial"/>
      <family val="2"/>
    </font>
    <font>
      <u/>
      <sz val="8"/>
      <color indexed="12"/>
      <name val="Arial"/>
      <family val="2"/>
    </font>
    <font>
      <i/>
      <sz val="8"/>
      <name val="Arial"/>
      <family val="2"/>
    </font>
  </fonts>
  <fills count="46">
    <fill>
      <patternFill patternType="none"/>
    </fill>
    <fill>
      <patternFill patternType="gray125"/>
    </fill>
    <fill>
      <patternFill patternType="solid">
        <fgColor indexed="40"/>
      </patternFill>
    </fill>
    <fill>
      <patternFill patternType="solid">
        <fgColor indexed="14"/>
      </patternFill>
    </fill>
    <fill>
      <patternFill patternType="solid">
        <fgColor indexed="4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28"/>
      </patternFill>
    </fill>
    <fill>
      <patternFill patternType="solid">
        <fgColor indexed="49"/>
      </patternFill>
    </fill>
    <fill>
      <patternFill patternType="solid">
        <fgColor indexed="11"/>
      </patternFill>
    </fill>
    <fill>
      <patternFill patternType="solid">
        <fgColor indexed="61"/>
      </patternFill>
    </fill>
    <fill>
      <patternFill patternType="solid">
        <fgColor indexed="44"/>
      </patternFill>
    </fill>
    <fill>
      <patternFill patternType="solid">
        <fgColor indexed="31"/>
      </patternFill>
    </fill>
    <fill>
      <patternFill patternType="solid">
        <fgColor indexed="53"/>
      </patternFill>
    </fill>
    <fill>
      <patternFill patternType="solid">
        <fgColor indexed="18"/>
        <bgColor indexed="16"/>
      </patternFill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22"/>
        <bgColor indexed="64"/>
      </patternFill>
    </fill>
    <fill>
      <patternFill patternType="solid">
        <fgColor indexed="13"/>
      </patternFill>
    </fill>
    <fill>
      <patternFill patternType="gray0625">
        <fgColor indexed="13"/>
        <bgColor indexed="43"/>
      </patternFill>
    </fill>
    <fill>
      <patternFill patternType="solid">
        <fgColor indexed="5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2"/>
        <bgColor indexed="22"/>
      </patternFill>
    </fill>
    <fill>
      <patternFill patternType="solid">
        <fgColor indexed="1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mediumGray">
        <fgColor indexed="22"/>
      </patternFill>
    </fill>
    <fill>
      <patternFill patternType="solid">
        <fgColor indexed="4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2"/>
      </patternFill>
    </fill>
    <fill>
      <patternFill patternType="solid">
        <fgColor indexed="4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1"/>
      </bottom>
      <diagonal/>
    </border>
    <border>
      <left style="thin">
        <color indexed="64"/>
      </left>
      <right style="thin">
        <color indexed="9"/>
      </right>
      <top style="thin">
        <color indexed="23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28"/>
      </left>
      <right style="thin">
        <color indexed="28"/>
      </right>
      <top style="thin">
        <color indexed="28"/>
      </top>
      <bottom style="thin">
        <color indexed="28"/>
      </bottom>
      <diagonal/>
    </border>
    <border>
      <left style="thin">
        <color indexed="64"/>
      </left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/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35">
    <xf numFmtId="0" fontId="0" fillId="0" borderId="0"/>
    <xf numFmtId="0" fontId="6" fillId="0" borderId="0">
      <alignment horizontal="left" wrapText="1"/>
    </xf>
    <xf numFmtId="200" fontId="15" fillId="0" borderId="0">
      <alignment horizontal="right"/>
    </xf>
    <xf numFmtId="201" fontId="15" fillId="0" borderId="0">
      <alignment horizontal="right"/>
    </xf>
    <xf numFmtId="202" fontId="15" fillId="0" borderId="0">
      <alignment horizontal="right"/>
    </xf>
    <xf numFmtId="0" fontId="6" fillId="0" borderId="0" applyNumberFormat="0" applyFill="0" applyBorder="0" applyAlignment="0" applyProtection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 applyNumberFormat="0" applyFill="0" applyBorder="0" applyAlignment="0" applyProtection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 applyNumberFormat="0" applyFill="0" applyBorder="0" applyAlignment="0" applyProtection="0">
      <alignment horizontal="left" wrapText="1"/>
    </xf>
    <xf numFmtId="0" fontId="6" fillId="0" borderId="0" applyNumberFormat="0" applyFill="0" applyBorder="0" applyAlignment="0" applyProtection="0">
      <alignment horizontal="left" wrapText="1"/>
    </xf>
    <xf numFmtId="0" fontId="6" fillId="0" borderId="0" applyNumberFormat="0" applyFill="0" applyBorder="0" applyAlignment="0" applyProtection="0">
      <alignment horizontal="left" wrapText="1"/>
    </xf>
    <xf numFmtId="0" fontId="6" fillId="0" borderId="0" applyNumberFormat="0" applyFill="0" applyBorder="0" applyAlignment="0" applyProtection="0">
      <alignment horizontal="left" wrapText="1"/>
    </xf>
    <xf numFmtId="0" fontId="6" fillId="0" borderId="0" applyNumberFormat="0" applyFill="0" applyBorder="0" applyAlignment="0" applyProtection="0">
      <alignment horizontal="left" wrapText="1"/>
    </xf>
    <xf numFmtId="0" fontId="6" fillId="0" borderId="0" applyNumberFormat="0" applyFill="0" applyBorder="0" applyAlignment="0" applyProtection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16" fillId="0" borderId="0">
      <alignment horizontal="left" wrapText="1"/>
    </xf>
    <xf numFmtId="0" fontId="6" fillId="0" borderId="0" applyNumberFormat="0" applyFill="0" applyBorder="0" applyAlignment="0" applyProtection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10" fillId="0" borderId="0">
      <alignment horizontal="left"/>
    </xf>
    <xf numFmtId="0" fontId="10" fillId="0" borderId="0">
      <alignment horizontal="left" wrapText="1"/>
    </xf>
    <xf numFmtId="0" fontId="10" fillId="0" borderId="0">
      <alignment horizontal="left"/>
    </xf>
    <xf numFmtId="0" fontId="6" fillId="0" borderId="0">
      <alignment horizontal="left" wrapText="1"/>
    </xf>
    <xf numFmtId="0" fontId="17" fillId="0" borderId="0">
      <alignment vertical="center"/>
    </xf>
    <xf numFmtId="0" fontId="6" fillId="0" borderId="0">
      <alignment horizontal="left" wrapText="1"/>
    </xf>
    <xf numFmtId="0" fontId="6" fillId="0" borderId="0" applyNumberFormat="0" applyFill="0" applyBorder="0" applyAlignment="0" applyProtection="0">
      <alignment horizontal="left" wrapText="1"/>
    </xf>
    <xf numFmtId="0" fontId="6" fillId="0" borderId="0" applyNumberFormat="0" applyFill="0" applyBorder="0" applyAlignment="0" applyProtection="0">
      <alignment horizontal="left" wrapText="1"/>
    </xf>
    <xf numFmtId="0" fontId="6" fillId="0" borderId="0" applyNumberFormat="0" applyFill="0" applyBorder="0" applyAlignment="0" applyProtection="0">
      <alignment horizontal="left" wrapText="1"/>
    </xf>
    <xf numFmtId="0" fontId="6" fillId="0" borderId="0" applyNumberFormat="0" applyFill="0" applyBorder="0" applyAlignment="0" applyProtection="0">
      <alignment horizontal="left" wrapText="1"/>
    </xf>
    <xf numFmtId="0" fontId="6" fillId="0" borderId="0">
      <alignment horizontal="left" wrapText="1"/>
    </xf>
    <xf numFmtId="0" fontId="16" fillId="0" borderId="0">
      <alignment horizontal="left" wrapText="1"/>
    </xf>
    <xf numFmtId="0" fontId="6" fillId="0" borderId="0" applyNumberFormat="0" applyFill="0" applyBorder="0" applyAlignment="0" applyProtection="0">
      <alignment horizontal="left" wrapText="1"/>
    </xf>
    <xf numFmtId="0" fontId="6" fillId="0" borderId="0" applyNumberFormat="0" applyFill="0" applyBorder="0" applyAlignment="0" applyProtection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 applyNumberFormat="0" applyFill="0" applyBorder="0" applyAlignment="0" applyProtection="0">
      <alignment horizontal="left" wrapText="1"/>
    </xf>
    <xf numFmtId="0" fontId="6" fillId="0" borderId="0">
      <alignment horizontal="left" wrapText="1"/>
    </xf>
    <xf numFmtId="0" fontId="6" fillId="0" borderId="0" applyNumberFormat="0" applyFill="0" applyBorder="0" applyAlignment="0" applyProtection="0">
      <alignment horizontal="left" wrapText="1"/>
    </xf>
    <xf numFmtId="0" fontId="6" fillId="0" borderId="0">
      <alignment horizontal="left" wrapText="1"/>
    </xf>
    <xf numFmtId="0" fontId="6" fillId="0" borderId="0" applyNumberFormat="0" applyFill="0" applyBorder="0" applyAlignment="0" applyProtection="0">
      <alignment horizontal="left" wrapText="1"/>
    </xf>
    <xf numFmtId="0" fontId="6" fillId="0" borderId="0">
      <alignment horizontal="left" wrapText="1"/>
    </xf>
    <xf numFmtId="0" fontId="6" fillId="0" borderId="0" applyNumberFormat="0" applyFill="0" applyBorder="0" applyAlignment="0" applyProtection="0">
      <alignment horizontal="left" wrapText="1"/>
    </xf>
    <xf numFmtId="0" fontId="6" fillId="0" borderId="0">
      <alignment horizontal="left" wrapText="1"/>
    </xf>
    <xf numFmtId="0" fontId="18" fillId="0" borderId="0"/>
    <xf numFmtId="0" fontId="6" fillId="0" borderId="0" applyNumberFormat="0" applyFill="0" applyBorder="0" applyAlignment="0" applyProtection="0">
      <alignment horizontal="left" wrapText="1"/>
    </xf>
    <xf numFmtId="0" fontId="6" fillId="0" borderId="0">
      <alignment horizontal="left" wrapText="1"/>
    </xf>
    <xf numFmtId="0" fontId="6" fillId="0" borderId="0" applyNumberFormat="0" applyFill="0" applyBorder="0" applyAlignment="0" applyProtection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 applyNumberFormat="0" applyFill="0" applyBorder="0" applyAlignment="0" applyProtection="0">
      <alignment horizontal="left" wrapText="1"/>
    </xf>
    <xf numFmtId="0" fontId="16" fillId="0" borderId="0">
      <alignment horizontal="left" wrapText="1"/>
    </xf>
    <xf numFmtId="0" fontId="6" fillId="0" borderId="0">
      <alignment horizontal="left" wrapText="1"/>
    </xf>
    <xf numFmtId="0" fontId="6" fillId="0" borderId="0" applyNumberFormat="0" applyFill="0" applyBorder="0" applyAlignment="0" applyProtection="0">
      <alignment horizontal="left" wrapText="1"/>
    </xf>
    <xf numFmtId="0" fontId="6" fillId="0" borderId="0" applyNumberFormat="0" applyFill="0" applyBorder="0" applyAlignment="0" applyProtection="0">
      <alignment horizontal="left" wrapText="1"/>
    </xf>
    <xf numFmtId="0" fontId="6" fillId="0" borderId="0" applyNumberFormat="0" applyFill="0" applyBorder="0" applyAlignment="0" applyProtection="0">
      <alignment horizontal="left" wrapText="1"/>
    </xf>
    <xf numFmtId="0" fontId="6" fillId="0" borderId="0">
      <alignment horizontal="left" wrapText="1"/>
    </xf>
    <xf numFmtId="0" fontId="6" fillId="0" borderId="0" applyNumberFormat="0" applyFill="0" applyBorder="0" applyAlignment="0" applyProtection="0">
      <alignment horizontal="left" wrapText="1"/>
    </xf>
    <xf numFmtId="0" fontId="16" fillId="0" borderId="0">
      <alignment horizontal="left" wrapText="1"/>
    </xf>
    <xf numFmtId="0" fontId="6" fillId="0" borderId="0" applyNumberFormat="0" applyFill="0" applyBorder="0" applyAlignment="0" applyProtection="0">
      <alignment horizontal="left" wrapText="1"/>
    </xf>
    <xf numFmtId="0" fontId="6" fillId="0" borderId="0" applyNumberFormat="0" applyFill="0" applyBorder="0" applyAlignment="0" applyProtection="0">
      <alignment horizontal="left" wrapText="1"/>
    </xf>
    <xf numFmtId="0" fontId="16" fillId="0" borderId="0">
      <alignment horizontal="left" wrapText="1"/>
    </xf>
    <xf numFmtId="0" fontId="6" fillId="0" borderId="0" applyNumberFormat="0" applyFill="0" applyBorder="0" applyAlignment="0" applyProtection="0">
      <alignment horizontal="left" wrapText="1"/>
    </xf>
    <xf numFmtId="0" fontId="16" fillId="0" borderId="0">
      <alignment horizontal="left" wrapText="1"/>
    </xf>
    <xf numFmtId="0" fontId="6" fillId="0" borderId="0" applyNumberFormat="0" applyFill="0" applyBorder="0" applyAlignment="0" applyProtection="0">
      <alignment horizontal="left" wrapText="1"/>
    </xf>
    <xf numFmtId="0" fontId="6" fillId="0" borderId="0" applyNumberFormat="0" applyFill="0" applyBorder="0" applyAlignment="0" applyProtection="0">
      <alignment horizontal="left" wrapText="1"/>
    </xf>
    <xf numFmtId="0" fontId="6" fillId="0" borderId="0" applyNumberFormat="0" applyFill="0" applyBorder="0" applyAlignment="0" applyProtection="0">
      <alignment horizontal="left" wrapText="1"/>
    </xf>
    <xf numFmtId="0" fontId="16" fillId="0" borderId="0">
      <alignment horizontal="left" wrapText="1"/>
    </xf>
    <xf numFmtId="0" fontId="16" fillId="0" borderId="0">
      <alignment horizontal="left" wrapText="1"/>
    </xf>
    <xf numFmtId="0" fontId="16" fillId="0" borderId="0">
      <alignment horizontal="left" wrapText="1"/>
    </xf>
    <xf numFmtId="0" fontId="16" fillId="0" borderId="0">
      <alignment horizontal="left" wrapText="1"/>
    </xf>
    <xf numFmtId="0" fontId="16" fillId="0" borderId="0">
      <alignment horizontal="left" wrapText="1"/>
    </xf>
    <xf numFmtId="0" fontId="16" fillId="0" borderId="0">
      <alignment horizontal="left" wrapText="1"/>
    </xf>
    <xf numFmtId="0" fontId="16" fillId="0" borderId="0">
      <alignment horizontal="left" wrapText="1"/>
    </xf>
    <xf numFmtId="0" fontId="16" fillId="0" borderId="0">
      <alignment horizontal="left" wrapText="1"/>
    </xf>
    <xf numFmtId="0" fontId="6" fillId="0" borderId="0" applyNumberFormat="0" applyFill="0" applyBorder="0" applyAlignment="0" applyProtection="0">
      <alignment horizontal="left" wrapText="1"/>
    </xf>
    <xf numFmtId="0" fontId="16" fillId="0" borderId="0">
      <alignment horizontal="left" wrapText="1"/>
    </xf>
    <xf numFmtId="0" fontId="16" fillId="0" borderId="0">
      <alignment horizontal="left" wrapText="1"/>
    </xf>
    <xf numFmtId="0" fontId="16" fillId="0" borderId="0">
      <alignment horizontal="left" wrapText="1"/>
    </xf>
    <xf numFmtId="0" fontId="16" fillId="0" borderId="0">
      <alignment horizontal="left" wrapText="1"/>
    </xf>
    <xf numFmtId="0" fontId="16" fillId="0" borderId="0">
      <alignment horizontal="left" wrapText="1"/>
    </xf>
    <xf numFmtId="0" fontId="16" fillId="0" borderId="0">
      <alignment horizontal="left" wrapText="1"/>
    </xf>
    <xf numFmtId="0" fontId="6" fillId="0" borderId="0" applyNumberFormat="0" applyFill="0" applyBorder="0" applyAlignment="0" applyProtection="0">
      <alignment horizontal="left" wrapText="1"/>
    </xf>
    <xf numFmtId="0" fontId="6" fillId="0" borderId="0" applyNumberFormat="0" applyFill="0" applyBorder="0" applyAlignment="0" applyProtection="0">
      <alignment horizontal="left" wrapText="1"/>
    </xf>
    <xf numFmtId="0" fontId="6" fillId="0" borderId="0" applyNumberFormat="0" applyFill="0" applyBorder="0" applyAlignment="0" applyProtection="0">
      <alignment horizontal="left" wrapText="1"/>
    </xf>
    <xf numFmtId="0" fontId="6" fillId="0" borderId="0" applyNumberFormat="0" applyFill="0" applyBorder="0" applyAlignment="0" applyProtection="0">
      <alignment horizontal="left" wrapText="1"/>
    </xf>
    <xf numFmtId="0" fontId="6" fillId="0" borderId="0" applyNumberFormat="0" applyFill="0" applyBorder="0" applyAlignment="0" applyProtection="0">
      <alignment horizontal="left" wrapText="1"/>
    </xf>
    <xf numFmtId="0" fontId="16" fillId="0" borderId="0">
      <alignment horizontal="left" wrapText="1"/>
    </xf>
    <xf numFmtId="0" fontId="16" fillId="0" borderId="0">
      <alignment horizontal="left" wrapText="1"/>
    </xf>
    <xf numFmtId="0" fontId="16" fillId="0" borderId="0">
      <alignment horizontal="left" wrapText="1"/>
    </xf>
    <xf numFmtId="0" fontId="6" fillId="0" borderId="0" applyNumberFormat="0" applyFill="0" applyBorder="0" applyAlignment="0" applyProtection="0">
      <alignment horizontal="left" wrapText="1"/>
    </xf>
    <xf numFmtId="0" fontId="10" fillId="0" borderId="0">
      <alignment horizontal="left"/>
    </xf>
    <xf numFmtId="0" fontId="6" fillId="0" borderId="0">
      <alignment horizontal="left" wrapText="1"/>
    </xf>
    <xf numFmtId="0" fontId="16" fillId="0" borderId="0">
      <alignment horizontal="left" wrapText="1"/>
    </xf>
    <xf numFmtId="0" fontId="6" fillId="0" borderId="0">
      <alignment horizontal="left" wrapText="1"/>
    </xf>
    <xf numFmtId="0" fontId="6" fillId="0" borderId="0">
      <alignment horizontal="left" wrapText="1"/>
    </xf>
    <xf numFmtId="0" fontId="6" fillId="0" borderId="0">
      <alignment vertical="top"/>
    </xf>
    <xf numFmtId="0" fontId="19" fillId="0" borderId="0"/>
    <xf numFmtId="174" fontId="6" fillId="0" borderId="0" applyFont="0" applyFill="0" applyBorder="0" applyAlignment="0" applyProtection="0">
      <alignment vertical="top"/>
    </xf>
    <xf numFmtId="0" fontId="20" fillId="2" borderId="0" applyNumberFormat="0" applyBorder="0" applyAlignment="0" applyProtection="0"/>
    <xf numFmtId="0" fontId="20" fillId="3" borderId="0" applyNumberFormat="0" applyBorder="0" applyAlignment="0" applyProtection="0"/>
    <xf numFmtId="0" fontId="20" fillId="4" borderId="0" applyNumberFormat="0" applyBorder="0" applyAlignment="0" applyProtection="0"/>
    <xf numFmtId="0" fontId="20" fillId="2" borderId="0" applyNumberFormat="0" applyBorder="0" applyAlignment="0" applyProtection="0"/>
    <xf numFmtId="0" fontId="20" fillId="5" borderId="0" applyNumberFormat="0" applyBorder="0" applyAlignment="0" applyProtection="0"/>
    <xf numFmtId="0" fontId="20" fillId="6" borderId="0" applyNumberFormat="0" applyBorder="0" applyAlignment="0" applyProtection="0"/>
    <xf numFmtId="40" fontId="21" fillId="0" borderId="0" applyFont="0" applyFill="0" applyBorder="0" applyAlignment="0" applyProtection="0">
      <alignment vertical="top"/>
    </xf>
    <xf numFmtId="175" fontId="21" fillId="0" borderId="0" applyFont="0" applyFill="0" applyBorder="0" applyAlignment="0" applyProtection="0">
      <alignment vertical="top"/>
    </xf>
    <xf numFmtId="0" fontId="20" fillId="7" borderId="0" applyNumberFormat="0" applyBorder="0" applyAlignment="0" applyProtection="0"/>
    <xf numFmtId="0" fontId="20" fillId="3" borderId="0" applyNumberFormat="0" applyBorder="0" applyAlignment="0" applyProtection="0"/>
    <xf numFmtId="0" fontId="20" fillId="4" borderId="0" applyNumberFormat="0" applyBorder="0" applyAlignment="0" applyProtection="0"/>
    <xf numFmtId="0" fontId="20" fillId="7" borderId="0" applyNumberFormat="0" applyBorder="0" applyAlignment="0" applyProtection="0"/>
    <xf numFmtId="0" fontId="20" fillId="8" borderId="0" applyNumberFormat="0" applyBorder="0" applyAlignment="0" applyProtection="0"/>
    <xf numFmtId="0" fontId="20" fillId="6" borderId="0" applyNumberFormat="0" applyBorder="0" applyAlignment="0" applyProtection="0"/>
    <xf numFmtId="176" fontId="21" fillId="0" borderId="0" applyFont="0" applyFill="0" applyBorder="0" applyAlignment="0" applyProtection="0">
      <alignment vertical="top"/>
    </xf>
    <xf numFmtId="0" fontId="22" fillId="8" borderId="0" applyNumberFormat="0" applyBorder="0" applyAlignment="0" applyProtection="0"/>
    <xf numFmtId="0" fontId="22" fillId="3" borderId="0" applyNumberFormat="0" applyBorder="0" applyAlignment="0" applyProtection="0"/>
    <xf numFmtId="0" fontId="22" fillId="4" borderId="0" applyNumberFormat="0" applyBorder="0" applyAlignment="0" applyProtection="0"/>
    <xf numFmtId="0" fontId="22" fillId="7" borderId="0" applyNumberFormat="0" applyBorder="0" applyAlignment="0" applyProtection="0"/>
    <xf numFmtId="0" fontId="22" fillId="8" borderId="0" applyNumberFormat="0" applyBorder="0" applyAlignment="0" applyProtection="0"/>
    <xf numFmtId="0" fontId="22" fillId="9" borderId="0" applyNumberFormat="0" applyBorder="0" applyAlignment="0" applyProtection="0"/>
    <xf numFmtId="177" fontId="6" fillId="0" borderId="0" applyFont="0" applyFill="0" applyBorder="0" applyAlignment="0" applyProtection="0">
      <alignment vertical="top"/>
    </xf>
    <xf numFmtId="1" fontId="23" fillId="0" borderId="0" applyFont="0" applyFill="0" applyBorder="0" applyProtection="0">
      <alignment horizontal="left" vertical="top"/>
    </xf>
    <xf numFmtId="0" fontId="22" fillId="10" borderId="0" applyNumberFormat="0" applyBorder="0" applyAlignment="0" applyProtection="0"/>
    <xf numFmtId="0" fontId="22" fillId="11" borderId="0" applyNumberFormat="0" applyBorder="0" applyAlignment="0" applyProtection="0"/>
    <xf numFmtId="0" fontId="22" fillId="4" borderId="0" applyNumberFormat="0" applyBorder="0" applyAlignment="0" applyProtection="0"/>
    <xf numFmtId="0" fontId="22" fillId="12" borderId="0" applyNumberFormat="0" applyBorder="0" applyAlignment="0" applyProtection="0"/>
    <xf numFmtId="0" fontId="22" fillId="8" borderId="0" applyNumberFormat="0" applyBorder="0" applyAlignment="0" applyProtection="0"/>
    <xf numFmtId="0" fontId="22" fillId="13" borderId="0" applyNumberFormat="0" applyBorder="0" applyAlignment="0" applyProtection="0"/>
    <xf numFmtId="0" fontId="16" fillId="0" borderId="0"/>
    <xf numFmtId="0" fontId="24" fillId="0" borderId="1" applyNumberFormat="0" applyFill="0" applyAlignment="0" applyProtection="0">
      <alignment horizontal="left"/>
    </xf>
    <xf numFmtId="0" fontId="15" fillId="0" borderId="0">
      <alignment horizontal="center" wrapText="1"/>
      <protection locked="0"/>
    </xf>
    <xf numFmtId="0" fontId="25" fillId="0" borderId="1">
      <protection hidden="1"/>
    </xf>
    <xf numFmtId="203" fontId="26" fillId="0" borderId="0" applyFont="0" applyFill="0" applyBorder="0" applyAlignment="0" applyProtection="0"/>
    <xf numFmtId="204" fontId="26" fillId="0" borderId="0" applyFont="0" applyFill="0" applyBorder="0" applyAlignment="0" applyProtection="0"/>
    <xf numFmtId="0" fontId="27" fillId="5" borderId="0" applyNumberFormat="0" applyBorder="0" applyAlignment="0" applyProtection="0"/>
    <xf numFmtId="178" fontId="28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14" borderId="0" applyNumberFormat="0" applyFont="0" applyBorder="0" applyAlignment="0" applyProtection="0">
      <alignment horizontal="center"/>
    </xf>
    <xf numFmtId="0" fontId="32" fillId="0" borderId="0">
      <alignment horizontal="right"/>
    </xf>
    <xf numFmtId="38" fontId="33" fillId="0" borderId="0" applyFont="0" applyBorder="0" applyAlignment="0">
      <alignment horizontal="centerContinuous"/>
    </xf>
    <xf numFmtId="0" fontId="26" fillId="0" borderId="0"/>
    <xf numFmtId="205" fontId="6" fillId="0" borderId="0" applyFill="0" applyBorder="0" applyAlignment="0"/>
    <xf numFmtId="0" fontId="34" fillId="15" borderId="2" applyNumberFormat="0" applyAlignment="0" applyProtection="0"/>
    <xf numFmtId="0" fontId="35" fillId="0" borderId="0"/>
    <xf numFmtId="38" fontId="36" fillId="0" borderId="0" applyNumberFormat="0" applyFill="0" applyBorder="0" applyAlignment="0" applyProtection="0">
      <alignment vertical="top"/>
    </xf>
    <xf numFmtId="179" fontId="37" fillId="0" borderId="0" applyNumberFormat="0" applyFill="0" applyBorder="0" applyAlignment="0" applyProtection="0">
      <alignment vertical="top"/>
    </xf>
    <xf numFmtId="0" fontId="38" fillId="16" borderId="3" applyNumberFormat="0" applyAlignment="0" applyProtection="0"/>
    <xf numFmtId="0" fontId="39" fillId="0" borderId="1" applyNumberFormat="0" applyBorder="0" applyAlignment="0" applyProtection="0">
      <alignment horizontal="left"/>
    </xf>
    <xf numFmtId="38" fontId="21" fillId="0" borderId="0" applyNumberFormat="0" applyFont="0" applyBorder="0" applyAlignment="0" applyProtection="0">
      <alignment vertical="top"/>
    </xf>
    <xf numFmtId="180" fontId="40" fillId="0" borderId="0"/>
    <xf numFmtId="180" fontId="40" fillId="0" borderId="0"/>
    <xf numFmtId="180" fontId="40" fillId="0" borderId="0"/>
    <xf numFmtId="180" fontId="40" fillId="0" borderId="0"/>
    <xf numFmtId="180" fontId="40" fillId="0" borderId="0"/>
    <xf numFmtId="180" fontId="40" fillId="0" borderId="0"/>
    <xf numFmtId="180" fontId="40" fillId="0" borderId="0"/>
    <xf numFmtId="180" fontId="40" fillId="0" borderId="0"/>
    <xf numFmtId="206" fontId="6" fillId="0" borderId="0" applyFont="0" applyFill="0" applyBorder="0" applyAlignment="0" applyProtection="0"/>
    <xf numFmtId="0" fontId="41" fillId="0" borderId="0" applyFont="0" applyFill="0" applyBorder="0" applyAlignment="0" applyProtection="0">
      <alignment horizontal="right"/>
    </xf>
    <xf numFmtId="0" fontId="41" fillId="0" borderId="0" applyFont="0" applyFill="0" applyBorder="0" applyAlignment="0" applyProtection="0">
      <alignment horizontal="right"/>
    </xf>
    <xf numFmtId="40" fontId="42" fillId="0" borderId="0" applyFont="0" applyFill="0" applyBorder="0" applyAlignment="0" applyProtection="0"/>
    <xf numFmtId="0" fontId="43" fillId="0" borderId="0"/>
    <xf numFmtId="10" fontId="6" fillId="0" borderId="0"/>
    <xf numFmtId="0" fontId="39" fillId="0" borderId="4"/>
    <xf numFmtId="0" fontId="21" fillId="0" borderId="0">
      <alignment horizontal="center"/>
    </xf>
    <xf numFmtId="205" fontId="6" fillId="0" borderId="0" applyFont="0" applyFill="0" applyBorder="0" applyAlignment="0" applyProtection="0"/>
    <xf numFmtId="8" fontId="44" fillId="0" borderId="0" applyBorder="0"/>
    <xf numFmtId="0" fontId="41" fillId="0" borderId="0" applyFont="0" applyFill="0" applyBorder="0" applyAlignment="0" applyProtection="0">
      <alignment horizontal="right"/>
    </xf>
    <xf numFmtId="0" fontId="41" fillId="0" borderId="0" applyFont="0" applyFill="0" applyBorder="0" applyAlignment="0" applyProtection="0">
      <alignment horizontal="right"/>
    </xf>
    <xf numFmtId="179" fontId="6" fillId="0" borderId="0" applyFont="0" applyFill="0" applyBorder="0" applyAlignment="0" applyProtection="0"/>
    <xf numFmtId="165" fontId="6" fillId="17" borderId="0" applyFont="0" applyBorder="0"/>
    <xf numFmtId="0" fontId="6" fillId="0" borderId="0" applyFont="0" applyFill="0" applyBorder="0" applyAlignment="0" applyProtection="0"/>
    <xf numFmtId="195" fontId="6" fillId="0" borderId="0" applyFont="0" applyFill="0" applyBorder="0" applyAlignment="0" applyProtection="0"/>
    <xf numFmtId="207" fontId="6" fillId="0" borderId="0" applyFont="0" applyFill="0" applyBorder="0" applyAlignment="0" applyProtection="0"/>
    <xf numFmtId="8" fontId="6" fillId="0" borderId="0" applyFont="0" applyFill="0" applyBorder="0" applyAlignment="0" applyProtection="0"/>
    <xf numFmtId="13" fontId="6" fillId="0" borderId="0" applyFont="0" applyFill="0" applyBorder="0" applyAlignment="0" applyProtection="0"/>
    <xf numFmtId="208" fontId="6" fillId="0" borderId="0" applyFont="0" applyFill="0" applyBorder="0" applyAlignment="0" applyProtection="0"/>
    <xf numFmtId="7" fontId="6" fillId="0" borderId="0" applyFont="0" applyFill="0" applyBorder="0" applyAlignment="0" applyProtection="0"/>
    <xf numFmtId="209" fontId="6" fillId="0" borderId="0" applyFont="0" applyFill="0" applyBorder="0" applyAlignment="0" applyProtection="0"/>
    <xf numFmtId="5" fontId="6" fillId="0" borderId="0" applyFont="0" applyFill="0" applyBorder="0" applyAlignment="0" applyProtection="0"/>
    <xf numFmtId="210" fontId="6" fillId="0" borderId="0" applyFont="0" applyFill="0" applyBorder="0" applyAlignment="0" applyProtection="0"/>
    <xf numFmtId="211" fontId="6" fillId="0" borderId="0" applyFont="0" applyFill="0" applyBorder="0" applyAlignment="0" applyProtection="0"/>
    <xf numFmtId="14" fontId="6" fillId="0" borderId="0" applyFont="0" applyFill="0" applyBorder="0" applyAlignment="0" applyProtection="0"/>
    <xf numFmtId="46" fontId="6" fillId="0" borderId="0" applyFont="0" applyFill="0" applyBorder="0" applyAlignment="0" applyProtection="0"/>
    <xf numFmtId="197" fontId="6" fillId="0" borderId="0" applyFont="0" applyFill="0" applyBorder="0" applyAlignment="0" applyProtection="0"/>
    <xf numFmtId="212" fontId="6" fillId="0" borderId="0" applyFont="0" applyFill="0" applyBorder="0" applyAlignment="0" applyProtection="0"/>
    <xf numFmtId="10" fontId="6" fillId="0" borderId="0" applyFont="0" applyFill="0" applyBorder="0" applyAlignment="0" applyProtection="0"/>
    <xf numFmtId="169" fontId="6" fillId="0" borderId="0" applyFont="0" applyFill="0" applyBorder="0" applyAlignment="0" applyProtection="0"/>
    <xf numFmtId="3" fontId="6" fillId="0" borderId="0" applyFont="0" applyFill="0" applyBorder="0" applyAlignment="0" applyProtection="0"/>
    <xf numFmtId="1" fontId="6" fillId="0" borderId="0" applyFont="0" applyFill="0" applyBorder="0" applyAlignment="0" applyProtection="0"/>
    <xf numFmtId="173" fontId="6" fillId="0" borderId="0" applyFont="0" applyFill="0" applyBorder="0" applyAlignment="0" applyProtection="0"/>
    <xf numFmtId="213" fontId="6" fillId="0" borderId="0" applyFont="0" applyFill="0" applyBorder="0" applyAlignment="0" applyProtection="0"/>
    <xf numFmtId="2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83" fontId="6" fillId="0" borderId="0" applyFont="0" applyFill="0" applyBorder="0" applyAlignment="0" applyProtection="0"/>
    <xf numFmtId="37" fontId="6" fillId="0" borderId="0" applyFont="0" applyFill="0" applyBorder="0" applyAlignment="0" applyProtection="0"/>
    <xf numFmtId="214" fontId="6" fillId="0" borderId="0" applyFont="0" applyFill="0" applyBorder="0" applyAlignment="0" applyProtection="0"/>
    <xf numFmtId="17" fontId="6" fillId="0" borderId="0" applyFont="0" applyFill="0" applyBorder="0" applyAlignment="0" applyProtection="0"/>
    <xf numFmtId="38" fontId="6" fillId="0" borderId="0" applyFont="0" applyFill="0" applyBorder="0" applyAlignment="0" applyProtection="0"/>
    <xf numFmtId="215" fontId="6" fillId="0" borderId="0" applyFont="0" applyFill="0" applyBorder="0" applyAlignment="0" applyProtection="0"/>
    <xf numFmtId="199" fontId="6" fillId="0" borderId="0" applyFont="0" applyFill="0" applyBorder="0" applyAlignment="0" applyProtection="0"/>
    <xf numFmtId="216" fontId="6" fillId="0" borderId="0" applyFont="0" applyFill="0" applyBorder="0" applyAlignment="0" applyProtection="0"/>
    <xf numFmtId="15" fontId="6" fillId="0" borderId="0" applyFont="0" applyFill="0" applyBorder="0" applyAlignment="0" applyProtection="0"/>
    <xf numFmtId="21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218" fontId="6" fillId="0" borderId="0" applyFont="0" applyFill="0" applyBorder="0" applyAlignment="0" applyProtection="0"/>
    <xf numFmtId="219" fontId="6" fillId="0" borderId="0" applyFont="0" applyFill="0" applyBorder="0" applyAlignment="0" applyProtection="0"/>
    <xf numFmtId="39" fontId="6" fillId="0" borderId="0" applyFont="0" applyFill="0" applyBorder="0" applyAlignment="0" applyProtection="0"/>
    <xf numFmtId="220" fontId="6" fillId="0" borderId="0" applyFont="0" applyFill="0" applyBorder="0" applyAlignment="0" applyProtection="0"/>
    <xf numFmtId="221" fontId="6" fillId="0" borderId="0" applyFont="0" applyFill="0" applyBorder="0" applyAlignment="0" applyProtection="0"/>
    <xf numFmtId="40" fontId="6" fillId="0" borderId="0" applyFont="0" applyFill="0" applyBorder="0" applyAlignment="0" applyProtection="0"/>
    <xf numFmtId="222" fontId="6" fillId="0" borderId="0" applyFont="0" applyFill="0" applyBorder="0" applyAlignment="0" applyProtection="0"/>
    <xf numFmtId="223" fontId="6" fillId="0" borderId="0" applyFont="0" applyFill="0" applyBorder="0" applyAlignment="0" applyProtection="0"/>
    <xf numFmtId="49" fontId="6" fillId="0" borderId="0" applyFont="0" applyFill="0" applyBorder="0" applyAlignment="0" applyProtection="0"/>
    <xf numFmtId="6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224" fontId="6" fillId="0" borderId="0" applyFont="0" applyFill="0" applyBorder="0" applyAlignment="0" applyProtection="0"/>
    <xf numFmtId="198" fontId="6" fillId="0" borderId="0" applyFont="0" applyFill="0" applyBorder="0" applyAlignment="0" applyProtection="0"/>
    <xf numFmtId="171" fontId="6" fillId="0" borderId="0" applyFont="0" applyFill="0" applyBorder="0" applyAlignment="0" applyProtection="0"/>
    <xf numFmtId="170" fontId="6" fillId="0" borderId="0" applyFont="0" applyFill="0" applyBorder="0" applyAlignment="0" applyProtection="0"/>
    <xf numFmtId="0" fontId="45" fillId="0" borderId="0">
      <alignment horizontal="right"/>
    </xf>
    <xf numFmtId="14" fontId="46" fillId="0" borderId="0"/>
    <xf numFmtId="0" fontId="41" fillId="0" borderId="0" applyFont="0" applyFill="0" applyBorder="0" applyAlignment="0" applyProtection="0"/>
    <xf numFmtId="208" fontId="15" fillId="0" borderId="0">
      <alignment horizontal="right"/>
    </xf>
    <xf numFmtId="14" fontId="47" fillId="0" borderId="0" applyFill="0" applyBorder="0" applyAlignment="0"/>
    <xf numFmtId="164" fontId="6" fillId="0" borderId="0" applyFont="0" applyFill="0" applyBorder="0" applyProtection="0">
      <alignment horizontal="centerContinuous"/>
    </xf>
    <xf numFmtId="181" fontId="6" fillId="0" borderId="0" applyFont="0" applyFill="0" applyBorder="0" applyProtection="0">
      <alignment horizontal="left" vertical="top"/>
    </xf>
    <xf numFmtId="14" fontId="6" fillId="0" borderId="0"/>
    <xf numFmtId="182" fontId="6" fillId="0" borderId="0" applyFont="0" applyFill="0" applyBorder="0" applyProtection="0">
      <alignment horizontal="left" vertical="top"/>
    </xf>
    <xf numFmtId="183" fontId="6" fillId="0" borderId="0" applyFont="0" applyFill="0" applyBorder="0" applyProtection="0">
      <alignment horizontal="left" vertical="top"/>
    </xf>
    <xf numFmtId="184" fontId="6" fillId="0" borderId="0" applyFont="0" applyFill="0" applyBorder="0" applyProtection="0">
      <alignment horizontal="left" vertical="top"/>
    </xf>
    <xf numFmtId="185" fontId="6" fillId="0" borderId="0" applyFont="0" applyFill="0" applyBorder="0" applyProtection="0">
      <alignment horizontal="left" vertical="top"/>
    </xf>
    <xf numFmtId="225" fontId="15" fillId="0" borderId="0">
      <alignment horizontal="right"/>
    </xf>
    <xf numFmtId="226" fontId="15" fillId="0" borderId="0">
      <alignment horizontal="right"/>
    </xf>
    <xf numFmtId="227" fontId="15" fillId="0" borderId="0">
      <alignment horizontal="right"/>
    </xf>
    <xf numFmtId="41" fontId="48" fillId="0" borderId="0" applyFont="0" applyFill="0" applyBorder="0" applyAlignment="0" applyProtection="0"/>
    <xf numFmtId="43" fontId="48" fillId="0" borderId="0" applyFont="0" applyFill="0" applyBorder="0" applyAlignment="0" applyProtection="0"/>
    <xf numFmtId="0" fontId="9" fillId="1" borderId="5"/>
    <xf numFmtId="15" fontId="49" fillId="0" borderId="0">
      <alignment horizontal="right"/>
    </xf>
    <xf numFmtId="0" fontId="47" fillId="0" borderId="0">
      <alignment horizontal="right"/>
    </xf>
    <xf numFmtId="0" fontId="41" fillId="0" borderId="6" applyNumberFormat="0" applyFont="0" applyFill="0" applyAlignment="0" applyProtection="0"/>
    <xf numFmtId="0" fontId="6" fillId="18" borderId="0"/>
    <xf numFmtId="206" fontId="6" fillId="0" borderId="0" applyFill="0" applyBorder="0" applyAlignment="0"/>
    <xf numFmtId="205" fontId="6" fillId="0" borderId="0" applyFill="0" applyBorder="0" applyAlignment="0"/>
    <xf numFmtId="206" fontId="6" fillId="0" borderId="0" applyFill="0" applyBorder="0" applyAlignment="0"/>
    <xf numFmtId="197" fontId="6" fillId="0" borderId="0" applyFill="0" applyBorder="0" applyAlignment="0"/>
    <xf numFmtId="205" fontId="6" fillId="0" borderId="0" applyFill="0" applyBorder="0" applyAlignment="0"/>
    <xf numFmtId="37" fontId="28" fillId="19" borderId="0" applyNumberFormat="0" applyBorder="0" applyAlignment="0">
      <protection locked="0"/>
    </xf>
    <xf numFmtId="186" fontId="6" fillId="0" borderId="0" applyFont="0" applyFill="0" applyBorder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38" fontId="15" fillId="0" borderId="0"/>
    <xf numFmtId="0" fontId="52" fillId="0" borderId="0"/>
    <xf numFmtId="0" fontId="53" fillId="0" borderId="0" applyNumberFormat="0" applyFill="0" applyBorder="0" applyAlignment="0" applyProtection="0"/>
    <xf numFmtId="38" fontId="54" fillId="0" borderId="0" applyNumberFormat="0" applyFill="0" applyBorder="0" applyAlignment="0" applyProtection="0">
      <alignment vertical="top"/>
    </xf>
    <xf numFmtId="0" fontId="55" fillId="4" borderId="0" applyNumberFormat="0" applyBorder="0" applyAlignment="0" applyProtection="0"/>
    <xf numFmtId="38" fontId="10" fillId="17" borderId="0" applyNumberFormat="0" applyBorder="0" applyAlignment="0" applyProtection="0"/>
    <xf numFmtId="0" fontId="56" fillId="20" borderId="7" applyAlignment="0" applyProtection="0"/>
    <xf numFmtId="0" fontId="41" fillId="0" borderId="0" applyFont="0" applyFill="0" applyBorder="0" applyAlignment="0" applyProtection="0">
      <alignment horizontal="right"/>
    </xf>
    <xf numFmtId="0" fontId="57" fillId="0" borderId="0" applyProtection="0">
      <alignment horizontal="right"/>
    </xf>
    <xf numFmtId="0" fontId="58" fillId="0" borderId="8" applyNumberFormat="0" applyAlignment="0" applyProtection="0">
      <alignment horizontal="left" vertical="center"/>
    </xf>
    <xf numFmtId="0" fontId="58" fillId="0" borderId="7">
      <alignment horizontal="left" vertical="center"/>
    </xf>
    <xf numFmtId="0" fontId="59" fillId="0" borderId="9" applyNumberFormat="0" applyFill="0" applyAlignment="0" applyProtection="0"/>
    <xf numFmtId="0" fontId="60" fillId="0" borderId="0" applyProtection="0">
      <alignment horizontal="left"/>
    </xf>
    <xf numFmtId="0" fontId="61" fillId="0" borderId="0" applyProtection="0">
      <alignment horizontal="left"/>
    </xf>
    <xf numFmtId="0" fontId="62" fillId="0" borderId="0" applyNumberFormat="0" applyFill="0" applyBorder="0" applyAlignment="0" applyProtection="0"/>
    <xf numFmtId="0" fontId="14" fillId="0" borderId="0" applyNumberFormat="0" applyFill="0" applyBorder="0" applyAlignment="0" applyProtection="0">
      <alignment vertical="top"/>
      <protection locked="0"/>
    </xf>
    <xf numFmtId="0" fontId="63" fillId="0" borderId="0"/>
    <xf numFmtId="187" fontId="64" fillId="0" borderId="10" applyNumberFormat="0" applyFill="0" applyAlignment="0">
      <alignment horizontal="center"/>
      <protection locked="0"/>
    </xf>
    <xf numFmtId="10" fontId="10" fillId="21" borderId="5" applyNumberFormat="0" applyBorder="0" applyAlignment="0" applyProtection="0"/>
    <xf numFmtId="2" fontId="65" fillId="0" borderId="11" applyNumberFormat="0" applyFill="0" applyBorder="0" applyAlignment="0">
      <alignment horizontal="center"/>
      <protection locked="0"/>
    </xf>
    <xf numFmtId="2" fontId="16" fillId="22" borderId="12" applyNumberFormat="0" applyBorder="0">
      <alignment horizontal="right" vertical="center"/>
    </xf>
    <xf numFmtId="15" fontId="66" fillId="23" borderId="13" applyNumberFormat="0" applyBorder="0">
      <alignment horizontal="right" vertical="center"/>
    </xf>
    <xf numFmtId="0" fontId="67" fillId="0" borderId="0"/>
    <xf numFmtId="0" fontId="68" fillId="0" borderId="1" applyNumberFormat="0" applyFill="0" applyBorder="0" applyAlignment="0" applyProtection="0"/>
    <xf numFmtId="38" fontId="51" fillId="0" borderId="0" applyNumberFormat="0" applyFill="0" applyBorder="0" applyAlignment="0" applyProtection="0">
      <alignment vertical="top"/>
    </xf>
    <xf numFmtId="38" fontId="69" fillId="0" borderId="0" applyNumberFormat="0" applyFill="0" applyBorder="0" applyAlignment="0" applyProtection="0">
      <alignment vertical="top"/>
    </xf>
    <xf numFmtId="38" fontId="70" fillId="0" borderId="0" applyNumberFormat="0" applyFill="0" applyBorder="0" applyAlignment="0" applyProtection="0">
      <alignment vertical="top"/>
    </xf>
    <xf numFmtId="38" fontId="15" fillId="0" borderId="0">
      <alignment horizontal="right"/>
    </xf>
    <xf numFmtId="206" fontId="6" fillId="0" borderId="0" applyFill="0" applyBorder="0" applyAlignment="0"/>
    <xf numFmtId="205" fontId="6" fillId="0" borderId="0" applyFill="0" applyBorder="0" applyAlignment="0"/>
    <xf numFmtId="38" fontId="21" fillId="17" borderId="0" applyNumberFormat="0" applyFont="0" applyBorder="0" applyAlignment="0" applyProtection="0">
      <alignment vertical="top"/>
    </xf>
    <xf numFmtId="38" fontId="21" fillId="24" borderId="0" applyNumberFormat="0" applyFont="0" applyBorder="0" applyAlignment="0" applyProtection="0">
      <alignment vertical="top"/>
    </xf>
    <xf numFmtId="206" fontId="6" fillId="0" borderId="0" applyFill="0" applyBorder="0" applyAlignment="0"/>
    <xf numFmtId="197" fontId="6" fillId="0" borderId="0" applyFill="0" applyBorder="0" applyAlignment="0"/>
    <xf numFmtId="205" fontId="6" fillId="0" borderId="0" applyFill="0" applyBorder="0" applyAlignment="0"/>
    <xf numFmtId="0" fontId="71" fillId="0" borderId="14" applyNumberFormat="0" applyFill="0" applyAlignment="0" applyProtection="0"/>
    <xf numFmtId="0" fontId="72" fillId="0" borderId="15"/>
    <xf numFmtId="0" fontId="9" fillId="0" borderId="0"/>
    <xf numFmtId="0" fontId="73" fillId="0" borderId="1">
      <alignment horizontal="left"/>
      <protection locked="0"/>
    </xf>
    <xf numFmtId="0" fontId="10" fillId="17" borderId="0" applyNumberFormat="0"/>
    <xf numFmtId="0" fontId="10" fillId="0" borderId="0"/>
    <xf numFmtId="0" fontId="74" fillId="0" borderId="16">
      <alignment horizontal="left"/>
    </xf>
    <xf numFmtId="0" fontId="47" fillId="0" borderId="17">
      <alignment horizontal="center"/>
    </xf>
    <xf numFmtId="166" fontId="6" fillId="0" borderId="0" applyFont="0" applyFill="0" applyBorder="0" applyAlignment="0" applyProtection="0"/>
    <xf numFmtId="41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75" fillId="0" borderId="18"/>
    <xf numFmtId="42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56" fillId="0" borderId="0" applyNumberFormat="0" applyFill="0" applyBorder="0" applyAlignment="0" applyProtection="0"/>
    <xf numFmtId="0" fontId="41" fillId="0" borderId="0" applyFont="0" applyFill="0" applyBorder="0" applyAlignment="0" applyProtection="0">
      <alignment horizontal="right"/>
    </xf>
    <xf numFmtId="0" fontId="76" fillId="6" borderId="0" applyNumberFormat="0" applyBorder="0" applyAlignment="0" applyProtection="0"/>
    <xf numFmtId="0" fontId="77" fillId="17" borderId="19" applyNumberFormat="0" applyFont="0" applyFill="0" applyAlignment="0" applyProtection="0">
      <alignment horizontal="center"/>
    </xf>
    <xf numFmtId="37" fontId="78" fillId="0" borderId="0"/>
    <xf numFmtId="188" fontId="79" fillId="0" borderId="0"/>
    <xf numFmtId="0" fontId="6" fillId="0" borderId="0"/>
    <xf numFmtId="0" fontId="6" fillId="0" borderId="0"/>
    <xf numFmtId="0" fontId="80" fillId="0" borderId="0"/>
    <xf numFmtId="0" fontId="6" fillId="6" borderId="20" applyNumberFormat="0" applyFont="0" applyAlignment="0" applyProtection="0"/>
    <xf numFmtId="0" fontId="81" fillId="0" borderId="1" applyNumberFormat="0" applyFill="0" applyBorder="0" applyAlignment="0" applyProtection="0">
      <alignment horizontal="left"/>
      <protection locked="0"/>
    </xf>
    <xf numFmtId="37" fontId="6" fillId="0" borderId="0"/>
    <xf numFmtId="40" fontId="82" fillId="0" borderId="0" applyFont="0" applyFill="0" applyBorder="0" applyAlignment="0" applyProtection="0"/>
    <xf numFmtId="38" fontId="82" fillId="0" borderId="0" applyFont="0" applyFill="0" applyBorder="0" applyAlignment="0" applyProtection="0"/>
    <xf numFmtId="0" fontId="83" fillId="25" borderId="21" applyNumberFormat="0" applyBorder="0" applyAlignment="0">
      <alignment horizontal="center"/>
      <protection hidden="1"/>
    </xf>
    <xf numFmtId="0" fontId="84" fillId="0" borderId="21" applyNumberFormat="0" applyBorder="0" applyAlignment="0">
      <alignment horizontal="center"/>
      <protection locked="0"/>
    </xf>
    <xf numFmtId="0" fontId="85" fillId="0" borderId="0">
      <alignment horizontal="left" vertical="top"/>
      <protection locked="0"/>
    </xf>
    <xf numFmtId="176" fontId="21" fillId="26" borderId="0" applyNumberFormat="0" applyFont="0" applyBorder="0" applyAlignment="0" applyProtection="0">
      <alignment vertical="top"/>
    </xf>
    <xf numFmtId="37" fontId="86" fillId="27" borderId="0" applyAlignment="0"/>
    <xf numFmtId="38" fontId="21" fillId="28" borderId="0" applyNumberFormat="0" applyFont="0" applyBorder="0" applyAlignment="0" applyProtection="0">
      <alignment vertical="top"/>
    </xf>
    <xf numFmtId="1" fontId="87" fillId="0" borderId="0" applyProtection="0">
      <alignment horizontal="right" vertical="center"/>
    </xf>
    <xf numFmtId="14" fontId="15" fillId="0" borderId="0">
      <alignment horizontal="center" wrapText="1"/>
      <protection locked="0"/>
    </xf>
    <xf numFmtId="196" fontId="6" fillId="0" borderId="0" applyFont="0" applyFill="0" applyBorder="0" applyAlignment="0" applyProtection="0"/>
    <xf numFmtId="228" fontId="6" fillId="0" borderId="0" applyFont="0" applyFill="0" applyBorder="0" applyAlignment="0" applyProtection="0"/>
    <xf numFmtId="10" fontId="6" fillId="0" borderId="0" applyFont="0" applyFill="0" applyBorder="0" applyAlignment="0" applyProtection="0"/>
    <xf numFmtId="171" fontId="15" fillId="0" borderId="0">
      <alignment horizontal="right"/>
    </xf>
    <xf numFmtId="10" fontId="15" fillId="0" borderId="0">
      <alignment horizontal="right"/>
    </xf>
    <xf numFmtId="9" fontId="15" fillId="0" borderId="0">
      <alignment horizontal="right"/>
    </xf>
    <xf numFmtId="9" fontId="42" fillId="0" borderId="0" applyFont="0" applyFill="0" applyBorder="0" applyAlignment="0" applyProtection="0"/>
    <xf numFmtId="10" fontId="42" fillId="0" borderId="0" applyFont="0" applyFill="0" applyBorder="0" applyAlignment="0" applyProtection="0"/>
    <xf numFmtId="189" fontId="6" fillId="0" borderId="0" applyFont="0" applyFill="0" applyBorder="0" applyAlignment="0" applyProtection="0"/>
    <xf numFmtId="190" fontId="6" fillId="0" borderId="0" applyFont="0" applyFill="0" applyBorder="0" applyAlignment="0" applyProtection="0"/>
    <xf numFmtId="191" fontId="6" fillId="0" borderId="0" applyFont="0" applyFill="0" applyBorder="0" applyAlignment="0" applyProtection="0">
      <alignment vertical="top"/>
    </xf>
    <xf numFmtId="192" fontId="6" fillId="0" borderId="0"/>
    <xf numFmtId="38" fontId="88" fillId="0" borderId="0" applyNumberFormat="0" applyFill="0" applyBorder="0" applyAlignment="0" applyProtection="0">
      <alignment vertical="top"/>
    </xf>
    <xf numFmtId="206" fontId="6" fillId="0" borderId="0" applyFill="0" applyBorder="0" applyAlignment="0"/>
    <xf numFmtId="205" fontId="6" fillId="0" borderId="0" applyFill="0" applyBorder="0" applyAlignment="0"/>
    <xf numFmtId="206" fontId="6" fillId="0" borderId="0" applyFill="0" applyBorder="0" applyAlignment="0"/>
    <xf numFmtId="197" fontId="6" fillId="0" borderId="0" applyFill="0" applyBorder="0" applyAlignment="0"/>
    <xf numFmtId="205" fontId="6" fillId="0" borderId="0" applyFill="0" applyBorder="0" applyAlignment="0"/>
    <xf numFmtId="39" fontId="89" fillId="0" borderId="5">
      <alignment horizontal="center"/>
    </xf>
    <xf numFmtId="0" fontId="42" fillId="0" borderId="0" applyNumberFormat="0" applyFont="0" applyFill="0" applyBorder="0" applyAlignment="0" applyProtection="0">
      <alignment horizontal="left"/>
    </xf>
    <xf numFmtId="15" fontId="42" fillId="0" borderId="0" applyFont="0" applyFill="0" applyBorder="0" applyAlignment="0" applyProtection="0"/>
    <xf numFmtId="4" fontId="42" fillId="0" borderId="0" applyFont="0" applyFill="0" applyBorder="0" applyAlignment="0" applyProtection="0"/>
    <xf numFmtId="0" fontId="90" fillId="0" borderId="18">
      <alignment horizontal="center"/>
    </xf>
    <xf numFmtId="3" fontId="42" fillId="0" borderId="0" applyFont="0" applyFill="0" applyBorder="0" applyAlignment="0" applyProtection="0"/>
    <xf numFmtId="0" fontId="42" fillId="29" borderId="0" applyNumberFormat="0" applyFont="0" applyBorder="0" applyAlignment="0" applyProtection="0"/>
    <xf numFmtId="0" fontId="91" fillId="0" borderId="22" applyBorder="0"/>
    <xf numFmtId="0" fontId="92" fillId="0" borderId="0"/>
    <xf numFmtId="3" fontId="93" fillId="0" borderId="23">
      <alignment horizontal="center"/>
      <protection locked="0"/>
    </xf>
    <xf numFmtId="38" fontId="94" fillId="0" borderId="0">
      <alignment horizontal="center"/>
    </xf>
    <xf numFmtId="38" fontId="95" fillId="30" borderId="0" applyNumberFormat="0" applyBorder="0" applyAlignment="0" applyProtection="0">
      <alignment vertical="top"/>
    </xf>
    <xf numFmtId="0" fontId="96" fillId="0" borderId="24"/>
    <xf numFmtId="0" fontId="97" fillId="31" borderId="0" applyNumberFormat="0" applyBorder="0" applyAlignment="0" applyProtection="0"/>
    <xf numFmtId="0" fontId="6" fillId="0" borderId="0" applyNumberFormat="0" applyFont="0" applyFill="0" applyBorder="0" applyAlignment="0" applyProtection="0"/>
    <xf numFmtId="0" fontId="97" fillId="31" borderId="0" applyNumberFormat="0" applyBorder="0" applyAlignment="0" applyProtection="0"/>
    <xf numFmtId="0" fontId="16" fillId="21" borderId="0" applyNumberFormat="0" applyAlignment="0" applyProtection="0"/>
    <xf numFmtId="3" fontId="16" fillId="0" borderId="0" applyNumberFormat="0" applyFont="0" applyFill="0" applyBorder="0" applyAlignment="0" applyProtection="0"/>
    <xf numFmtId="0" fontId="97" fillId="31" borderId="0" applyNumberFormat="0" applyBorder="0" applyAlignment="0" applyProtection="0"/>
    <xf numFmtId="0" fontId="16" fillId="21" borderId="0" applyNumberFormat="0" applyBorder="0" applyAlignment="0" applyProtection="0"/>
    <xf numFmtId="3" fontId="16" fillId="0" borderId="0" applyNumberFormat="0" applyFont="0" applyFill="0" applyBorder="0" applyAlignment="0" applyProtection="0"/>
    <xf numFmtId="0" fontId="16" fillId="32" borderId="0" applyNumberFormat="0" applyBorder="0" applyAlignment="0" applyProtection="0"/>
    <xf numFmtId="0" fontId="97" fillId="32" borderId="0" applyNumberFormat="0" applyBorder="0" applyAlignment="0" applyProtection="0"/>
    <xf numFmtId="3" fontId="16" fillId="0" borderId="0" applyNumberFormat="0" applyFont="0" applyFill="0" applyBorder="0" applyAlignment="0" applyProtection="0"/>
    <xf numFmtId="3" fontId="97" fillId="33" borderId="0" applyNumberFormat="0" applyBorder="0" applyAlignment="0" applyProtection="0"/>
    <xf numFmtId="3" fontId="97" fillId="33" borderId="0" applyNumberFormat="0" applyBorder="0" applyAlignment="0" applyProtection="0"/>
    <xf numFmtId="3" fontId="16" fillId="0" borderId="0" applyNumberFormat="0" applyFont="0" applyFill="0" applyBorder="0" applyAlignment="0" applyProtection="0"/>
    <xf numFmtId="3" fontId="97" fillId="34" borderId="0" applyNumberFormat="0" applyBorder="0" applyAlignment="0" applyProtection="0"/>
    <xf numFmtId="3" fontId="97" fillId="34" borderId="0" applyNumberFormat="0" applyBorder="0" applyAlignment="0" applyProtection="0"/>
    <xf numFmtId="0" fontId="6" fillId="0" borderId="0" applyFont="0" applyFill="0" applyBorder="0" applyAlignment="0" applyProtection="0"/>
    <xf numFmtId="3" fontId="6" fillId="17" borderId="0" applyFont="0" applyBorder="0" applyAlignment="0" applyProtection="0"/>
    <xf numFmtId="0" fontId="6" fillId="34" borderId="0" applyNumberFormat="0" applyFont="0" applyBorder="0" applyAlignment="0" applyProtection="0"/>
    <xf numFmtId="4" fontId="6" fillId="17" borderId="0" applyFont="0" applyBorder="0" applyAlignment="0" applyProtection="0"/>
    <xf numFmtId="196" fontId="6" fillId="0" borderId="0">
      <alignment horizontal="center"/>
    </xf>
    <xf numFmtId="0" fontId="75" fillId="0" borderId="0"/>
    <xf numFmtId="0" fontId="98" fillId="0" borderId="0"/>
    <xf numFmtId="37" fontId="23" fillId="0" borderId="25" applyNumberFormat="0" applyFont="0" applyFill="0" applyAlignment="0"/>
    <xf numFmtId="0" fontId="99" fillId="0" borderId="0" applyBorder="0" applyProtection="0">
      <alignment vertical="center"/>
    </xf>
    <xf numFmtId="0" fontId="99" fillId="0" borderId="26" applyBorder="0" applyProtection="0">
      <alignment horizontal="right" vertical="center"/>
    </xf>
    <xf numFmtId="0" fontId="100" fillId="35" borderId="0" applyBorder="0" applyProtection="0">
      <alignment horizontal="centerContinuous" vertical="center"/>
    </xf>
    <xf numFmtId="0" fontId="100" fillId="36" borderId="26" applyBorder="0" applyProtection="0">
      <alignment horizontal="centerContinuous" vertical="center"/>
    </xf>
    <xf numFmtId="0" fontId="101" fillId="0" borderId="0" applyFill="0" applyBorder="0" applyProtection="0">
      <alignment horizontal="left"/>
    </xf>
    <xf numFmtId="0" fontId="102" fillId="0" borderId="22" applyFill="0" applyBorder="0" applyProtection="0">
      <alignment horizontal="left" vertical="top"/>
    </xf>
    <xf numFmtId="2" fontId="16" fillId="37" borderId="27" applyNumberFormat="0" applyBorder="0">
      <alignment horizontal="right" vertical="center"/>
    </xf>
    <xf numFmtId="0" fontId="103" fillId="0" borderId="0"/>
    <xf numFmtId="49" fontId="47" fillId="0" borderId="0" applyFill="0" applyBorder="0" applyAlignment="0"/>
    <xf numFmtId="209" fontId="6" fillId="0" borderId="0" applyFill="0" applyBorder="0" applyAlignment="0"/>
    <xf numFmtId="209" fontId="6" fillId="0" borderId="0" applyFill="0" applyBorder="0" applyAlignment="0"/>
    <xf numFmtId="214" fontId="89" fillId="0" borderId="5">
      <alignment horizontal="center"/>
    </xf>
    <xf numFmtId="0" fontId="104" fillId="0" borderId="0"/>
    <xf numFmtId="20" fontId="21" fillId="0" borderId="0" applyFont="0" applyFill="0" applyBorder="0" applyAlignment="0" applyProtection="0">
      <alignment vertical="top"/>
    </xf>
    <xf numFmtId="21" fontId="21" fillId="0" borderId="0" applyFont="0" applyFill="0" applyBorder="0" applyAlignment="0" applyProtection="0">
      <alignment vertical="top"/>
    </xf>
    <xf numFmtId="0" fontId="105" fillId="0" borderId="0"/>
    <xf numFmtId="0" fontId="106" fillId="0" borderId="0"/>
    <xf numFmtId="0" fontId="107" fillId="0" borderId="0">
      <alignment horizontal="center"/>
    </xf>
    <xf numFmtId="38" fontId="108" fillId="17" borderId="0" applyAlignment="0">
      <alignment vertical="top" wrapText="1"/>
    </xf>
    <xf numFmtId="0" fontId="6" fillId="0" borderId="0" applyNumberFormat="0" applyFill="0" applyBorder="0" applyAlignment="0" applyProtection="0"/>
    <xf numFmtId="0" fontId="109" fillId="38" borderId="1"/>
    <xf numFmtId="37" fontId="23" fillId="0" borderId="28" applyNumberFormat="0" applyFont="0" applyFill="0" applyAlignment="0"/>
    <xf numFmtId="38" fontId="15" fillId="0" borderId="29">
      <alignment horizontal="right"/>
    </xf>
    <xf numFmtId="38" fontId="110" fillId="0" borderId="0" applyNumberFormat="0" applyFill="0" applyBorder="0" applyAlignment="0" applyProtection="0">
      <alignment vertical="top"/>
    </xf>
    <xf numFmtId="226" fontId="111" fillId="0" borderId="0">
      <alignment horizontal="right"/>
    </xf>
    <xf numFmtId="227" fontId="111" fillId="0" borderId="0">
      <alignment horizontal="right"/>
    </xf>
    <xf numFmtId="1" fontId="111" fillId="0" borderId="0">
      <alignment horizontal="left"/>
    </xf>
    <xf numFmtId="225" fontId="111" fillId="0" borderId="0">
      <alignment horizontal="right"/>
    </xf>
    <xf numFmtId="37" fontId="112" fillId="0" borderId="26">
      <alignment horizontal="center"/>
    </xf>
    <xf numFmtId="209" fontId="96" fillId="0" borderId="0"/>
    <xf numFmtId="42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38" fontId="113" fillId="26" borderId="0" applyNumberFormat="0" applyBorder="0" applyAlignment="0" applyProtection="0">
      <alignment vertical="top"/>
    </xf>
    <xf numFmtId="0" fontId="114" fillId="0" borderId="0" applyNumberFormat="0" applyFill="0" applyBorder="0" applyAlignment="0" applyProtection="0"/>
    <xf numFmtId="0" fontId="56" fillId="0" borderId="0">
      <alignment horizontal="left"/>
    </xf>
    <xf numFmtId="179" fontId="21" fillId="0" borderId="0" applyNumberFormat="0" applyFont="0" applyFill="0" applyBorder="0" applyProtection="0">
      <alignment vertical="top" wrapText="1"/>
    </xf>
    <xf numFmtId="193" fontId="21" fillId="0" borderId="0" applyFont="0" applyFill="0" applyBorder="0" applyAlignment="0" applyProtection="0"/>
    <xf numFmtId="14" fontId="28" fillId="0" borderId="0" applyFont="0" applyFill="0" applyBorder="0" applyProtection="0"/>
    <xf numFmtId="1" fontId="23" fillId="0" borderId="0" applyFont="0" applyFill="0" applyBorder="0" applyProtection="0">
      <alignment horizontal="right" vertical="top"/>
    </xf>
    <xf numFmtId="38" fontId="21" fillId="39" borderId="0" applyNumberFormat="0" applyFont="0" applyBorder="0" applyAlignment="0" applyProtection="0">
      <alignment horizontal="right" vertical="top"/>
    </xf>
    <xf numFmtId="194" fontId="6" fillId="0" borderId="0" applyFont="0" applyFill="0" applyBorder="0" applyAlignment="0" applyProtection="0">
      <alignment vertical="top" wrapText="1"/>
    </xf>
    <xf numFmtId="38" fontId="21" fillId="0" borderId="0" applyFont="0" applyFill="0" applyBorder="0" applyAlignment="0" applyProtection="0">
      <alignment horizontal="right" vertical="top"/>
    </xf>
    <xf numFmtId="0" fontId="116" fillId="0" borderId="0"/>
    <xf numFmtId="0" fontId="5" fillId="0" borderId="0"/>
    <xf numFmtId="9" fontId="6" fillId="0" borderId="0" applyFont="0" applyFill="0" applyBorder="0" applyAlignment="0" applyProtection="0"/>
    <xf numFmtId="0" fontId="4" fillId="0" borderId="0"/>
    <xf numFmtId="0" fontId="3" fillId="0" borderId="0"/>
    <xf numFmtId="0" fontId="2" fillId="0" borderId="0"/>
    <xf numFmtId="0" fontId="1" fillId="0" borderId="0"/>
  </cellStyleXfs>
  <cellXfs count="131">
    <xf numFmtId="0" fontId="0" fillId="0" borderId="0" xfId="0"/>
    <xf numFmtId="14" fontId="10" fillId="0" borderId="0" xfId="316" applyNumberFormat="1" applyFont="1" applyFill="1" applyBorder="1" applyAlignment="1">
      <alignment horizontal="center"/>
    </xf>
    <xf numFmtId="0" fontId="8" fillId="32" borderId="0" xfId="316" applyFont="1" applyFill="1" applyBorder="1" applyAlignment="1">
      <alignment horizontal="center"/>
    </xf>
    <xf numFmtId="0" fontId="9" fillId="0" borderId="0" xfId="0" applyFont="1"/>
    <xf numFmtId="0" fontId="9" fillId="0" borderId="0" xfId="0" applyFont="1" applyAlignment="1">
      <alignment horizontal="center"/>
    </xf>
    <xf numFmtId="0" fontId="9" fillId="40" borderId="5" xfId="0" applyFont="1" applyFill="1" applyBorder="1" applyAlignment="1">
      <alignment horizontal="center"/>
    </xf>
    <xf numFmtId="167" fontId="9" fillId="0" borderId="0" xfId="0" applyNumberFormat="1" applyFont="1"/>
    <xf numFmtId="3" fontId="9" fillId="0" borderId="0" xfId="0" applyNumberFormat="1" applyFont="1"/>
    <xf numFmtId="14" fontId="9" fillId="0" borderId="0" xfId="0" applyNumberFormat="1" applyFont="1"/>
    <xf numFmtId="0" fontId="9" fillId="0" borderId="0" xfId="0" applyFont="1" applyAlignment="1">
      <alignment horizontal="right"/>
    </xf>
    <xf numFmtId="0" fontId="12" fillId="0" borderId="0" xfId="0" applyFont="1" applyAlignment="1">
      <alignment horizontal="center" vertical="center"/>
    </xf>
    <xf numFmtId="0" fontId="0" fillId="0" borderId="0" xfId="0" applyAlignment="1"/>
    <xf numFmtId="0" fontId="7" fillId="41" borderId="30" xfId="316" applyFont="1" applyFill="1" applyBorder="1" applyAlignment="1"/>
    <xf numFmtId="0" fontId="7" fillId="41" borderId="31" xfId="316" applyFont="1" applyFill="1" applyBorder="1" applyAlignment="1">
      <alignment horizontal="center"/>
    </xf>
    <xf numFmtId="0" fontId="8" fillId="32" borderId="22" xfId="316" applyFont="1" applyFill="1" applyBorder="1" applyAlignment="1">
      <alignment horizontal="center"/>
    </xf>
    <xf numFmtId="0" fontId="8" fillId="32" borderId="32" xfId="316" applyFont="1" applyFill="1" applyBorder="1" applyAlignment="1">
      <alignment horizontal="center"/>
    </xf>
    <xf numFmtId="0" fontId="9" fillId="0" borderId="22" xfId="0" applyFont="1" applyBorder="1"/>
    <xf numFmtId="0" fontId="9" fillId="0" borderId="32" xfId="0" applyFont="1" applyBorder="1"/>
    <xf numFmtId="173" fontId="10" fillId="0" borderId="32" xfId="0" applyNumberFormat="1" applyFont="1" applyBorder="1" applyAlignment="1">
      <alignment horizontal="center"/>
    </xf>
    <xf numFmtId="0" fontId="9" fillId="0" borderId="22" xfId="0" applyFont="1" applyBorder="1" applyAlignment="1"/>
    <xf numFmtId="3" fontId="9" fillId="0" borderId="32" xfId="0" applyNumberFormat="1" applyFont="1" applyBorder="1" applyAlignment="1">
      <alignment horizontal="center"/>
    </xf>
    <xf numFmtId="0" fontId="9" fillId="0" borderId="0" xfId="0" applyFont="1" applyBorder="1"/>
    <xf numFmtId="3" fontId="9" fillId="0" borderId="0" xfId="0" applyNumberFormat="1" applyFont="1" applyBorder="1" applyAlignment="1">
      <alignment horizontal="center"/>
    </xf>
    <xf numFmtId="0" fontId="9" fillId="0" borderId="33" xfId="0" applyFont="1" applyBorder="1"/>
    <xf numFmtId="0" fontId="6" fillId="27" borderId="0" xfId="315" applyFill="1"/>
    <xf numFmtId="0" fontId="14" fillId="27" borderId="0" xfId="275" applyFill="1" applyAlignment="1" applyProtection="1"/>
    <xf numFmtId="173" fontId="9" fillId="0" borderId="0" xfId="0" applyNumberFormat="1" applyFont="1"/>
    <xf numFmtId="0" fontId="9" fillId="0" borderId="0" xfId="0" applyNumberFormat="1" applyFont="1"/>
    <xf numFmtId="49" fontId="9" fillId="40" borderId="5" xfId="0" applyNumberFormat="1" applyFont="1" applyFill="1" applyBorder="1" applyAlignment="1">
      <alignment horizontal="center"/>
    </xf>
    <xf numFmtId="171" fontId="9" fillId="0" borderId="0" xfId="0" applyNumberFormat="1" applyFont="1"/>
    <xf numFmtId="3" fontId="9" fillId="0" borderId="0" xfId="0" applyNumberFormat="1" applyFont="1" applyAlignment="1">
      <alignment horizontal="center"/>
    </xf>
    <xf numFmtId="4" fontId="9" fillId="0" borderId="0" xfId="0" applyNumberFormat="1" applyFont="1"/>
    <xf numFmtId="213" fontId="10" fillId="0" borderId="32" xfId="0" applyNumberFormat="1" applyFont="1" applyBorder="1" applyAlignment="1">
      <alignment horizontal="center"/>
    </xf>
    <xf numFmtId="4" fontId="9" fillId="42" borderId="0" xfId="0" applyNumberFormat="1" applyFont="1" applyFill="1"/>
    <xf numFmtId="0" fontId="11" fillId="0" borderId="0" xfId="0" applyFont="1" applyFill="1" applyBorder="1" applyAlignment="1"/>
    <xf numFmtId="0" fontId="7" fillId="41" borderId="25" xfId="316" applyFont="1" applyFill="1" applyBorder="1" applyAlignment="1"/>
    <xf numFmtId="0" fontId="7" fillId="41" borderId="25" xfId="316" applyFont="1" applyFill="1" applyBorder="1" applyAlignment="1">
      <alignment horizontal="center"/>
    </xf>
    <xf numFmtId="0" fontId="9" fillId="0" borderId="22" xfId="0" applyFont="1" applyFill="1" applyBorder="1" applyAlignment="1"/>
    <xf numFmtId="4" fontId="9" fillId="0" borderId="0" xfId="0" applyNumberFormat="1" applyFont="1" applyBorder="1" applyAlignment="1">
      <alignment horizontal="center"/>
    </xf>
    <xf numFmtId="0" fontId="9" fillId="0" borderId="0" xfId="0" applyFont="1" applyFill="1" applyBorder="1"/>
    <xf numFmtId="4" fontId="10" fillId="0" borderId="0" xfId="0" applyNumberFormat="1" applyFont="1" applyFill="1" applyBorder="1" applyAlignment="1">
      <alignment horizontal="center"/>
    </xf>
    <xf numFmtId="172" fontId="10" fillId="0" borderId="0" xfId="0" applyNumberFormat="1" applyFont="1" applyFill="1" applyBorder="1" applyAlignment="1">
      <alignment horizontal="center"/>
    </xf>
    <xf numFmtId="0" fontId="7" fillId="0" borderId="0" xfId="316" applyFont="1" applyFill="1" applyBorder="1" applyAlignment="1"/>
    <xf numFmtId="0" fontId="7" fillId="0" borderId="0" xfId="316" applyFont="1" applyFill="1" applyBorder="1" applyAlignment="1">
      <alignment horizontal="center"/>
    </xf>
    <xf numFmtId="0" fontId="8" fillId="0" borderId="0" xfId="316" applyFont="1" applyFill="1" applyBorder="1" applyAlignment="1">
      <alignment horizontal="center"/>
    </xf>
    <xf numFmtId="173" fontId="10" fillId="0" borderId="0" xfId="0" applyNumberFormat="1" applyFont="1" applyFill="1" applyBorder="1" applyAlignment="1">
      <alignment horizontal="center"/>
    </xf>
    <xf numFmtId="0" fontId="9" fillId="0" borderId="0" xfId="0" applyFont="1" applyFill="1"/>
    <xf numFmtId="3" fontId="9" fillId="0" borderId="0" xfId="316" applyNumberFormat="1" applyFont="1" applyFill="1" applyBorder="1" applyAlignment="1">
      <alignment horizontal="center"/>
    </xf>
    <xf numFmtId="3" fontId="9" fillId="0" borderId="0" xfId="0" applyNumberFormat="1" applyFont="1" applyFill="1" applyBorder="1" applyAlignment="1">
      <alignment horizontal="center"/>
    </xf>
    <xf numFmtId="0" fontId="9" fillId="0" borderId="0" xfId="0" applyFont="1" applyFill="1" applyBorder="1" applyAlignment="1">
      <alignment horizontal="right"/>
    </xf>
    <xf numFmtId="171" fontId="9" fillId="0" borderId="0" xfId="0" applyNumberFormat="1" applyFont="1" applyFill="1" applyBorder="1" applyAlignment="1">
      <alignment horizontal="center"/>
    </xf>
    <xf numFmtId="0" fontId="7" fillId="0" borderId="0" xfId="316" applyFont="1" applyFill="1" applyBorder="1" applyAlignment="1">
      <alignment horizontal="left"/>
    </xf>
    <xf numFmtId="0" fontId="9" fillId="0" borderId="0" xfId="316" applyFont="1" applyFill="1" applyBorder="1" applyAlignment="1">
      <alignment horizontal="center"/>
    </xf>
    <xf numFmtId="3" fontId="9" fillId="0" borderId="0" xfId="316" quotePrefix="1" applyNumberFormat="1" applyFont="1" applyFill="1" applyBorder="1" applyAlignment="1" applyProtection="1">
      <alignment horizontal="center"/>
      <protection locked="0"/>
    </xf>
    <xf numFmtId="171" fontId="9" fillId="0" borderId="0" xfId="316" quotePrefix="1" applyNumberFormat="1" applyFont="1" applyFill="1" applyBorder="1" applyAlignment="1" applyProtection="1">
      <alignment horizontal="center"/>
      <protection locked="0"/>
    </xf>
    <xf numFmtId="0" fontId="9" fillId="0" borderId="0" xfId="0" applyFont="1" applyFill="1" applyAlignment="1">
      <alignment horizontal="right"/>
    </xf>
    <xf numFmtId="14" fontId="9" fillId="0" borderId="0" xfId="0" applyNumberFormat="1" applyFont="1" applyFill="1"/>
    <xf numFmtId="167" fontId="9" fillId="0" borderId="0" xfId="0" applyNumberFormat="1" applyFont="1" applyFill="1"/>
    <xf numFmtId="0" fontId="9" fillId="0" borderId="0" xfId="0" applyNumberFormat="1" applyFont="1" applyFill="1"/>
    <xf numFmtId="10" fontId="10" fillId="0" borderId="32" xfId="0" applyNumberFormat="1" applyFont="1" applyBorder="1" applyAlignment="1">
      <alignment horizontal="center"/>
    </xf>
    <xf numFmtId="0" fontId="11" fillId="0" borderId="0" xfId="0" applyFont="1"/>
    <xf numFmtId="172" fontId="9" fillId="0" borderId="0" xfId="0" applyNumberFormat="1" applyFont="1" applyAlignment="1">
      <alignment horizontal="center"/>
    </xf>
    <xf numFmtId="0" fontId="9" fillId="0" borderId="0" xfId="0" applyFont="1" applyFill="1" applyAlignment="1">
      <alignment horizontal="center"/>
    </xf>
    <xf numFmtId="14" fontId="9" fillId="0" borderId="0" xfId="0" applyNumberFormat="1" applyFont="1" applyFill="1" applyAlignment="1"/>
    <xf numFmtId="14" fontId="10" fillId="0" borderId="0" xfId="0" applyNumberFormat="1" applyFont="1" applyFill="1" applyAlignment="1"/>
    <xf numFmtId="14" fontId="9" fillId="0" borderId="0" xfId="0" applyNumberFormat="1" applyFont="1" applyAlignment="1"/>
    <xf numFmtId="213" fontId="9" fillId="0" borderId="0" xfId="0" applyNumberFormat="1" applyFont="1" applyFill="1" applyAlignment="1">
      <alignment horizontal="center"/>
    </xf>
    <xf numFmtId="0" fontId="0" fillId="0" borderId="0" xfId="0" applyFill="1" applyBorder="1" applyAlignment="1"/>
    <xf numFmtId="168" fontId="9" fillId="0" borderId="0" xfId="0" applyNumberFormat="1" applyFont="1" applyAlignment="1">
      <alignment horizontal="center"/>
    </xf>
    <xf numFmtId="3" fontId="9" fillId="0" borderId="0" xfId="0" applyNumberFormat="1" applyFont="1" applyFill="1" applyBorder="1" applyAlignment="1"/>
    <xf numFmtId="0" fontId="9" fillId="0" borderId="0" xfId="0" applyFont="1" applyFill="1" applyBorder="1" applyAlignment="1"/>
    <xf numFmtId="4" fontId="9" fillId="0" borderId="0" xfId="0" applyNumberFormat="1" applyFont="1" applyFill="1" applyBorder="1" applyAlignment="1"/>
    <xf numFmtId="0" fontId="6" fillId="0" borderId="0" xfId="0" applyFont="1" applyFill="1" applyBorder="1" applyAlignment="1"/>
    <xf numFmtId="0" fontId="117" fillId="27" borderId="0" xfId="315" applyFont="1" applyFill="1"/>
    <xf numFmtId="0" fontId="9" fillId="27" borderId="0" xfId="315" applyFont="1" applyFill="1"/>
    <xf numFmtId="0" fontId="9" fillId="27" borderId="0" xfId="315" applyFont="1" applyFill="1" applyAlignment="1"/>
    <xf numFmtId="0" fontId="9" fillId="27" borderId="0" xfId="315" quotePrefix="1" applyFont="1" applyFill="1"/>
    <xf numFmtId="0" fontId="118" fillId="27" borderId="0" xfId="275" applyFont="1" applyFill="1" applyAlignment="1" applyProtection="1"/>
    <xf numFmtId="4" fontId="11" fillId="0" borderId="0" xfId="0" applyNumberFormat="1" applyFont="1" applyFill="1" applyBorder="1" applyAlignment="1">
      <alignment horizontal="center"/>
    </xf>
    <xf numFmtId="3" fontId="11" fillId="0" borderId="0" xfId="0" applyNumberFormat="1" applyFont="1" applyFill="1" applyBorder="1" applyAlignment="1">
      <alignment horizontal="center"/>
    </xf>
    <xf numFmtId="4" fontId="9" fillId="0" borderId="0" xfId="0" applyNumberFormat="1" applyFont="1" applyFill="1" applyBorder="1" applyAlignment="1">
      <alignment horizontal="center"/>
    </xf>
    <xf numFmtId="0" fontId="9" fillId="0" borderId="0" xfId="0" applyFont="1" applyAlignment="1"/>
    <xf numFmtId="213" fontId="9" fillId="0" borderId="0" xfId="0" applyNumberFormat="1" applyFont="1"/>
    <xf numFmtId="4" fontId="9" fillId="0" borderId="0" xfId="0" applyNumberFormat="1" applyFont="1" applyFill="1" applyBorder="1"/>
    <xf numFmtId="3" fontId="9" fillId="0" borderId="32" xfId="0" applyNumberFormat="1" applyFont="1" applyFill="1" applyBorder="1" applyAlignment="1">
      <alignment horizontal="center"/>
    </xf>
    <xf numFmtId="0" fontId="11" fillId="0" borderId="33" xfId="0" applyFont="1" applyFill="1" applyBorder="1" applyAlignment="1"/>
    <xf numFmtId="229" fontId="9" fillId="0" borderId="0" xfId="0" applyNumberFormat="1" applyFont="1"/>
    <xf numFmtId="229" fontId="9" fillId="0" borderId="0" xfId="0" applyNumberFormat="1" applyFont="1" applyFill="1"/>
    <xf numFmtId="172" fontId="9" fillId="0" borderId="0" xfId="0" applyNumberFormat="1" applyFont="1" applyFill="1" applyAlignment="1">
      <alignment horizontal="center"/>
    </xf>
    <xf numFmtId="4" fontId="9" fillId="0" borderId="0" xfId="0" applyNumberFormat="1" applyFont="1" applyFill="1"/>
    <xf numFmtId="0" fontId="11" fillId="42" borderId="0" xfId="0" applyFont="1" applyFill="1"/>
    <xf numFmtId="0" fontId="9" fillId="42" borderId="0" xfId="0" applyFont="1" applyFill="1"/>
    <xf numFmtId="230" fontId="9" fillId="0" borderId="0" xfId="0" applyNumberFormat="1" applyFont="1" applyFill="1"/>
    <xf numFmtId="230" fontId="9" fillId="0" borderId="0" xfId="0" applyNumberFormat="1" applyFont="1"/>
    <xf numFmtId="4" fontId="9" fillId="0" borderId="0" xfId="0" applyNumberFormat="1" applyFont="1" applyAlignment="1">
      <alignment horizontal="center"/>
    </xf>
    <xf numFmtId="0" fontId="9" fillId="0" borderId="0" xfId="0" applyNumberFormat="1" applyFont="1" applyAlignment="1">
      <alignment horizontal="center"/>
    </xf>
    <xf numFmtId="0" fontId="9" fillId="0" borderId="0" xfId="0" applyFont="1" applyFill="1" applyAlignment="1"/>
    <xf numFmtId="4" fontId="9" fillId="0" borderId="0" xfId="0" applyNumberFormat="1" applyFont="1" applyFill="1" applyAlignment="1">
      <alignment horizontal="center"/>
    </xf>
    <xf numFmtId="14" fontId="9" fillId="0" borderId="0" xfId="0" applyNumberFormat="1" applyFont="1" applyFill="1" applyAlignment="1">
      <alignment horizontal="center"/>
    </xf>
    <xf numFmtId="0" fontId="9" fillId="0" borderId="0" xfId="0" applyNumberFormat="1" applyFont="1" applyFill="1" applyAlignment="1">
      <alignment horizontal="center"/>
    </xf>
    <xf numFmtId="3" fontId="9" fillId="0" borderId="0" xfId="0" applyNumberFormat="1" applyFont="1" applyFill="1"/>
    <xf numFmtId="4" fontId="119" fillId="0" borderId="0" xfId="0" applyNumberFormat="1" applyFont="1" applyBorder="1" applyAlignment="1">
      <alignment horizontal="center"/>
    </xf>
    <xf numFmtId="4" fontId="119" fillId="0" borderId="32" xfId="0" applyNumberFormat="1" applyFont="1" applyBorder="1" applyAlignment="1">
      <alignment horizontal="center"/>
    </xf>
    <xf numFmtId="0" fontId="11" fillId="43" borderId="22" xfId="0" applyFont="1" applyFill="1" applyBorder="1"/>
    <xf numFmtId="0" fontId="11" fillId="43" borderId="0" xfId="0" applyFont="1" applyFill="1" applyBorder="1"/>
    <xf numFmtId="0" fontId="9" fillId="43" borderId="0" xfId="0" applyFont="1" applyFill="1" applyBorder="1"/>
    <xf numFmtId="0" fontId="9" fillId="43" borderId="32" xfId="0" applyFont="1" applyFill="1" applyBorder="1"/>
    <xf numFmtId="0" fontId="11" fillId="0" borderId="22" xfId="0" applyFont="1" applyFill="1" applyBorder="1" applyAlignment="1"/>
    <xf numFmtId="3" fontId="11" fillId="0" borderId="32" xfId="0" applyNumberFormat="1" applyFont="1" applyFill="1" applyBorder="1" applyAlignment="1">
      <alignment horizontal="center"/>
    </xf>
    <xf numFmtId="4" fontId="9" fillId="0" borderId="32" xfId="0" applyNumberFormat="1" applyFont="1" applyFill="1" applyBorder="1" applyAlignment="1">
      <alignment horizontal="center"/>
    </xf>
    <xf numFmtId="4" fontId="11" fillId="0" borderId="26" xfId="0" applyNumberFormat="1" applyFont="1" applyFill="1" applyBorder="1" applyAlignment="1">
      <alignment horizontal="center"/>
    </xf>
    <xf numFmtId="4" fontId="11" fillId="0" borderId="34" xfId="0" applyNumberFormat="1" applyFont="1" applyFill="1" applyBorder="1" applyAlignment="1">
      <alignment horizontal="center"/>
    </xf>
    <xf numFmtId="0" fontId="11" fillId="0" borderId="22" xfId="0" applyFont="1" applyFill="1" applyBorder="1"/>
    <xf numFmtId="4" fontId="11" fillId="0" borderId="32" xfId="0" applyNumberFormat="1" applyFont="1" applyFill="1" applyBorder="1" applyAlignment="1">
      <alignment horizontal="center"/>
    </xf>
    <xf numFmtId="3" fontId="9" fillId="0" borderId="0" xfId="0" applyNumberFormat="1" applyFont="1" applyFill="1" applyAlignment="1">
      <alignment horizontal="center"/>
    </xf>
    <xf numFmtId="0" fontId="9" fillId="0" borderId="0" xfId="0" applyFont="1" applyFill="1" applyBorder="1" applyAlignment="1">
      <alignment horizontal="center"/>
    </xf>
    <xf numFmtId="3" fontId="9" fillId="0" borderId="0" xfId="0" applyNumberFormat="1" applyFont="1" applyFill="1" applyBorder="1"/>
    <xf numFmtId="0" fontId="11" fillId="43" borderId="30" xfId="0" applyFont="1" applyFill="1" applyBorder="1" applyAlignment="1"/>
    <xf numFmtId="0" fontId="9" fillId="43" borderId="25" xfId="0" applyFont="1" applyFill="1" applyBorder="1" applyAlignment="1">
      <alignment horizontal="center"/>
    </xf>
    <xf numFmtId="3" fontId="9" fillId="43" borderId="25" xfId="0" applyNumberFormat="1" applyFont="1" applyFill="1" applyBorder="1" applyAlignment="1">
      <alignment horizontal="center"/>
    </xf>
    <xf numFmtId="3" fontId="9" fillId="43" borderId="31" xfId="0" applyNumberFormat="1" applyFont="1" applyFill="1" applyBorder="1" applyAlignment="1">
      <alignment horizontal="center"/>
    </xf>
    <xf numFmtId="10" fontId="10" fillId="0" borderId="34" xfId="0" applyNumberFormat="1" applyFont="1" applyBorder="1" applyAlignment="1">
      <alignment horizontal="center"/>
    </xf>
    <xf numFmtId="0" fontId="6" fillId="44" borderId="0" xfId="0" applyFont="1" applyFill="1"/>
    <xf numFmtId="0" fontId="9" fillId="45" borderId="22" xfId="0" applyFont="1" applyFill="1" applyBorder="1" applyAlignment="1">
      <alignment horizontal="right"/>
    </xf>
    <xf numFmtId="0" fontId="0" fillId="45" borderId="32" xfId="0" applyFill="1" applyBorder="1" applyAlignment="1">
      <alignment horizontal="right"/>
    </xf>
    <xf numFmtId="0" fontId="6" fillId="0" borderId="0" xfId="0" applyFont="1" applyFill="1"/>
    <xf numFmtId="0" fontId="9" fillId="44" borderId="0" xfId="0" applyFont="1" applyFill="1"/>
    <xf numFmtId="0" fontId="9" fillId="45" borderId="22" xfId="0" applyFont="1" applyFill="1" applyBorder="1" applyAlignment="1">
      <alignment horizontal="right"/>
    </xf>
    <xf numFmtId="0" fontId="0" fillId="45" borderId="32" xfId="0" applyFill="1" applyBorder="1" applyAlignment="1">
      <alignment horizontal="right"/>
    </xf>
    <xf numFmtId="0" fontId="13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435">
    <cellStyle name="$ 0 decimal" xfId="2"/>
    <cellStyle name="$ 1 decimal" xfId="3"/>
    <cellStyle name="$ 2 decimals" xfId="4"/>
    <cellStyle name="_~3364576" xfId="5"/>
    <cellStyle name="_1 MBIA" xfId="6"/>
    <cellStyle name="_2 Indy6" xfId="7"/>
    <cellStyle name="_3 Vandy Dunhill" xfId="8"/>
    <cellStyle name="_6 Chotin" xfId="9"/>
    <cellStyle name="_8 TCW" xfId="10"/>
    <cellStyle name="_A Wint AAA" xfId="11"/>
    <cellStyle name="_Assets" xfId="12"/>
    <cellStyle name="_AutopricerEODMarks" xfId="13"/>
    <cellStyle name="_B Vandy2" xfId="14"/>
    <cellStyle name="_Bespoke Pricer (Bank of Tokyo)" xfId="15"/>
    <cellStyle name="_Bespoke Pricer (Calyon LSS)" xfId="16"/>
    <cellStyle name="_Best Porfolio Set" xfId="17"/>
    <cellStyle name="_Book5" xfId="18"/>
    <cellStyle name="_BSAM Forward Tranche Pricer" xfId="19"/>
    <cellStyle name="_CDO Matrix" xfId="20"/>
    <cellStyle name="_CDO^2" xfId="21"/>
    <cellStyle name="_CDOonCDO 2Factor v 1.0 01.19.05" xfId="22"/>
    <cellStyle name="_Collateral Detail+Summary" xfId="23"/>
    <cellStyle name="_Conversion Sheet" xfId="24"/>
    <cellStyle name="_country" xfId="25"/>
    <cellStyle name="_CSV Menu" xfId="26"/>
    <cellStyle name="_EDS .08_AA" xfId="27"/>
    <cellStyle name="_EDS combined" xfId="28"/>
    <cellStyle name="_EDS v0.2" xfId="29"/>
    <cellStyle name="_F Lakes3" xfId="30"/>
    <cellStyle name="_Feasibility" xfId="31"/>
    <cellStyle name="_fitch ind lookup" xfId="32"/>
    <cellStyle name="_HY Marks v2" xfId="33"/>
    <cellStyle name="_HY REMARKS" xfId="34"/>
    <cellStyle name="_IG2" xfId="35"/>
    <cellStyle name="_Index Correlation Calibrator 20051018" xfId="36"/>
    <cellStyle name="_INPUT HY REMARKS" xfId="37"/>
    <cellStyle name="_Inputs" xfId="38"/>
    <cellStyle name="_March_22_04Optimiser_Bob12" xfId="39"/>
    <cellStyle name="_March_22_04Optimiser_xin" xfId="40"/>
    <cellStyle name="_Marks Jan18" xfId="41"/>
    <cellStyle name="_Marks Jan19" xfId="42"/>
    <cellStyle name="_Moodys Analysis_v3" xfId="43"/>
    <cellStyle name="_Optimization" xfId="44"/>
    <cellStyle name="_Optimization_1" xfId="45"/>
    <cellStyle name="_Options" xfId="46"/>
    <cellStyle name="_PDF Tables" xfId="47"/>
    <cellStyle name="_Pricer" xfId="48"/>
    <cellStyle name="_Pricer (Archeus ML Axe)" xfId="49"/>
    <cellStyle name="_Pricer (CDX6)" xfId="50"/>
    <cellStyle name="_Pricer (RiverCapital)" xfId="51"/>
    <cellStyle name="_QC Sheet" xfId="52"/>
    <cellStyle name="_rating" xfId="53"/>
    <cellStyle name="_ratings" xfId="54"/>
    <cellStyle name="_RecalcBaseCorr" xfId="55"/>
    <cellStyle name="_RiskMaster" xfId="56"/>
    <cellStyle name="_RiskMaster4" xfId="57"/>
    <cellStyle name="_S&amp;P Quick rating" xfId="58"/>
    <cellStyle name="_Sheet1" xfId="59"/>
    <cellStyle name="_Sheet1_1" xfId="60"/>
    <cellStyle name="_Sheet1_20060206_Pricer" xfId="61"/>
    <cellStyle name="_Sheet1_20061703_Pricer(Antonin Portfolio)v2" xfId="62"/>
    <cellStyle name="_Sheet1_Attachments" xfId="63"/>
    <cellStyle name="_Sheet1_Bespoke Pricer (Calyon LSS)" xfId="64"/>
    <cellStyle name="_Sheet1_BespokePricer_20060119" xfId="65"/>
    <cellStyle name="_Sheet1_BSAM Forward Tranche Pricer" xfId="66"/>
    <cellStyle name="_Sheet1_CurveBuild" xfId="67"/>
    <cellStyle name="_Sheet1_CurveBuild (2)" xfId="68"/>
    <cellStyle name="_Sheet1_Index Correlation Calibrator 20051018" xfId="69"/>
    <cellStyle name="_Sheet1_Indicative Portfolio" xfId="70"/>
    <cellStyle name="_Sheet1_Inputs&amp;Results" xfId="71"/>
    <cellStyle name="_Sheet1_PDF Tables" xfId="72"/>
    <cellStyle name="_Sheet1_Pricer" xfId="73"/>
    <cellStyle name="_Sheet1_Pricer (Archeus ML Axe)" xfId="74"/>
    <cellStyle name="_Sheet1_Pricer (BM#20)" xfId="75"/>
    <cellStyle name="_Sheet1_Pricer (RiverCapital)" xfId="76"/>
    <cellStyle name="_Sheet1_Pricer_20060206_Pricer" xfId="77"/>
    <cellStyle name="_Sheet1_Pricer_20061703_Pricer(Antonin Portfolio)v2" xfId="78"/>
    <cellStyle name="_Sheet1_Pricer_Attachments" xfId="79"/>
    <cellStyle name="_Sheet1_Pricer_BespokePricer_20060119" xfId="80"/>
    <cellStyle name="_Sheet1_Pricer_CurveBuild" xfId="81"/>
    <cellStyle name="_Sheet1_Pricer_CurveBuild (2)" xfId="82"/>
    <cellStyle name="_Sheet1_Pricer_Inputs&amp;Results" xfId="83"/>
    <cellStyle name="_Sheet1_Pricer_PricerForAlex" xfId="84"/>
    <cellStyle name="_Sheet1_Pricer_PricerNew" xfId="85"/>
    <cellStyle name="_Sheet1_Pricer_PricerPort1" xfId="86"/>
    <cellStyle name="_Sheet1_Pricer_PricerPort4" xfId="87"/>
    <cellStyle name="_Sheet1_Pricer_PricingOutput" xfId="88"/>
    <cellStyle name="_Sheet1_Pricer_Universe Info" xfId="89"/>
    <cellStyle name="_Sheet1_PricerForAlex" xfId="90"/>
    <cellStyle name="_Sheet1_PricerNew" xfId="91"/>
    <cellStyle name="_Sheet1_PricerPort1" xfId="92"/>
    <cellStyle name="_Sheet1_PricerPort4" xfId="93"/>
    <cellStyle name="_Sheet1_PricingOutput" xfId="94"/>
    <cellStyle name="_Sheet1_rating" xfId="95"/>
    <cellStyle name="_Sheet1_RecalcBaseCorr" xfId="96"/>
    <cellStyle name="_Sheet1_S&amp;P Quick rating" xfId="97"/>
    <cellStyle name="_Sheet1_Universe Info" xfId="98"/>
    <cellStyle name="_Tables" xfId="99"/>
    <cellStyle name="_TOTAL" xfId="100"/>
    <cellStyle name="_Trades" xfId="101"/>
    <cellStyle name="_trades 01_18_07exdura" xfId="102"/>
    <cellStyle name="_Tranche2 (2)" xfId="103"/>
    <cellStyle name="=C:\WINNT35\SYSTEM32\COMMAND.COM" xfId="104"/>
    <cellStyle name="•W€_NewOriginal100" xfId="105"/>
    <cellStyle name="1dp" xfId="106"/>
    <cellStyle name="20% - Accent1" xfId="107" builtinId="30" customBuiltin="1"/>
    <cellStyle name="20% - Accent2" xfId="108" builtinId="34" customBuiltin="1"/>
    <cellStyle name="20% - Accent3" xfId="109" builtinId="38" customBuiltin="1"/>
    <cellStyle name="20% - Accent4" xfId="110" builtinId="42" customBuiltin="1"/>
    <cellStyle name="20% - Accent5" xfId="111" builtinId="46" customBuiltin="1"/>
    <cellStyle name="20% - Accent6" xfId="112" builtinId="50" customBuiltin="1"/>
    <cellStyle name="2dp" xfId="113"/>
    <cellStyle name="3dp" xfId="114"/>
    <cellStyle name="40% - Accent1" xfId="115" builtinId="31" customBuiltin="1"/>
    <cellStyle name="40% - Accent2" xfId="116" builtinId="35" customBuiltin="1"/>
    <cellStyle name="40% - Accent3" xfId="117" builtinId="39" customBuiltin="1"/>
    <cellStyle name="40% - Accent4" xfId="118" builtinId="43" customBuiltin="1"/>
    <cellStyle name="40% - Accent5" xfId="119" builtinId="47" customBuiltin="1"/>
    <cellStyle name="40% - Accent6" xfId="120" builtinId="51" customBuiltin="1"/>
    <cellStyle name="4dp" xfId="121"/>
    <cellStyle name="60% - Accent1" xfId="122" builtinId="32" customBuiltin="1"/>
    <cellStyle name="60% - Accent2" xfId="123" builtinId="36" customBuiltin="1"/>
    <cellStyle name="60% - Accent3" xfId="124" builtinId="40" customBuiltin="1"/>
    <cellStyle name="60% - Accent4" xfId="125" builtinId="44" customBuiltin="1"/>
    <cellStyle name="60% - Accent5" xfId="126" builtinId="48" customBuiltin="1"/>
    <cellStyle name="60% - Accent6" xfId="127" builtinId="52" customBuiltin="1"/>
    <cellStyle name="8dp" xfId="128"/>
    <cellStyle name="a/c" xfId="129"/>
    <cellStyle name="Accent1" xfId="130" builtinId="29" customBuiltin="1"/>
    <cellStyle name="Accent2" xfId="131" builtinId="33" customBuiltin="1"/>
    <cellStyle name="Accent3" xfId="132" builtinId="37" customBuiltin="1"/>
    <cellStyle name="Accent4" xfId="133" builtinId="41" customBuiltin="1"/>
    <cellStyle name="Accent5" xfId="134" builtinId="45" customBuiltin="1"/>
    <cellStyle name="Accent6" xfId="135" builtinId="49" customBuiltin="1"/>
    <cellStyle name="AFE" xfId="136"/>
    <cellStyle name="AppSvrCode" xfId="137"/>
    <cellStyle name="args.style" xfId="138"/>
    <cellStyle name="Array" xfId="139"/>
    <cellStyle name="ÄÞ¸¶ [0]_´Ü°èº° ±¸Ãà¾È" xfId="140"/>
    <cellStyle name="ÄÞ¸¶_´Ü°èº° ±¸Ãà¾È" xfId="141"/>
    <cellStyle name="Bad" xfId="142" builtinId="27" customBuiltin="1"/>
    <cellStyle name="BlankedZeros" xfId="143"/>
    <cellStyle name="Blue" xfId="144"/>
    <cellStyle name="Body" xfId="145"/>
    <cellStyle name="Border" xfId="146"/>
    <cellStyle name="bullet" xfId="147"/>
    <cellStyle name="c" xfId="148"/>
    <cellStyle name="Ç¥ÁØ_´Ü°èº° ±¸Ãà¾È" xfId="149"/>
    <cellStyle name="Calc Units (2)" xfId="150"/>
    <cellStyle name="Calculation" xfId="151" builtinId="22" customBuiltin="1"/>
    <cellStyle name="category" xfId="152"/>
    <cellStyle name="Changed" xfId="153"/>
    <cellStyle name="Check" xfId="154"/>
    <cellStyle name="Check Cell" xfId="155" builtinId="23" customBuiltin="1"/>
    <cellStyle name="code" xfId="156"/>
    <cellStyle name="Colourless" xfId="157"/>
    <cellStyle name="Comma  - Style1" xfId="158"/>
    <cellStyle name="Comma  - Style2" xfId="159"/>
    <cellStyle name="Comma  - Style3" xfId="160"/>
    <cellStyle name="Comma  - Style4" xfId="161"/>
    <cellStyle name="Comma  - Style5" xfId="162"/>
    <cellStyle name="Comma  - Style6" xfId="163"/>
    <cellStyle name="Comma  - Style7" xfId="164"/>
    <cellStyle name="Comma  - Style8" xfId="165"/>
    <cellStyle name="Comma [00]" xfId="166"/>
    <cellStyle name="Comma 0" xfId="167"/>
    <cellStyle name="Comma 2" xfId="168"/>
    <cellStyle name="Comma[2]" xfId="169"/>
    <cellStyle name="COMMENTS" xfId="170"/>
    <cellStyle name="Convergence" xfId="171"/>
    <cellStyle name="Curren - Style2" xfId="172"/>
    <cellStyle name="Currency $" xfId="173"/>
    <cellStyle name="Currency [00]" xfId="174"/>
    <cellStyle name="Currency [2]" xfId="175"/>
    <cellStyle name="Currency 0" xfId="176"/>
    <cellStyle name="Currency 2" xfId="177"/>
    <cellStyle name="Currency[2]" xfId="178"/>
    <cellStyle name="custom" xfId="179"/>
    <cellStyle name="CustomStyle1" xfId="180"/>
    <cellStyle name="CustomStyle10" xfId="181"/>
    <cellStyle name="CustomStyle11" xfId="182"/>
    <cellStyle name="CustomStyle12" xfId="183"/>
    <cellStyle name="CustomStyle13" xfId="184"/>
    <cellStyle name="CustomStyle14" xfId="185"/>
    <cellStyle name="CustomStyle15" xfId="186"/>
    <cellStyle name="CustomStyle16" xfId="187"/>
    <cellStyle name="CustomStyle17" xfId="188"/>
    <cellStyle name="CustomStyle18" xfId="189"/>
    <cellStyle name="CustomStyle19" xfId="190"/>
    <cellStyle name="CustomStyle2" xfId="191"/>
    <cellStyle name="CustomStyle20" xfId="192"/>
    <cellStyle name="CustomStyle21" xfId="193"/>
    <cellStyle name="CustomStyle22" xfId="194"/>
    <cellStyle name="CustomStyle23" xfId="195"/>
    <cellStyle name="CustomStyle24" xfId="196"/>
    <cellStyle name="CustomStyle25" xfId="197"/>
    <cellStyle name="CustomStyle26" xfId="198"/>
    <cellStyle name="CustomStyle27" xfId="199"/>
    <cellStyle name="CustomStyle28" xfId="200"/>
    <cellStyle name="CustomStyle29" xfId="201"/>
    <cellStyle name="CustomStyle3" xfId="202"/>
    <cellStyle name="CustomStyle30" xfId="203"/>
    <cellStyle name="CustomStyle31" xfId="204"/>
    <cellStyle name="CustomStyle32" xfId="205"/>
    <cellStyle name="CustomStyle33" xfId="206"/>
    <cellStyle name="CustomStyle34" xfId="207"/>
    <cellStyle name="CustomStyle35" xfId="208"/>
    <cellStyle name="CustomStyle36" xfId="209"/>
    <cellStyle name="CustomStyle37" xfId="210"/>
    <cellStyle name="CustomStyle38" xfId="211"/>
    <cellStyle name="CustomStyle39" xfId="212"/>
    <cellStyle name="CustomStyle4" xfId="213"/>
    <cellStyle name="CustomStyle40" xfId="214"/>
    <cellStyle name="CustomStyle41" xfId="215"/>
    <cellStyle name="CustomStyle42" xfId="216"/>
    <cellStyle name="CustomStyle43" xfId="217"/>
    <cellStyle name="CustomStyle44" xfId="218"/>
    <cellStyle name="CustomStyle45" xfId="219"/>
    <cellStyle name="CustomStyle46" xfId="220"/>
    <cellStyle name="CustomStyle47" xfId="221"/>
    <cellStyle name="CustomStyle48" xfId="222"/>
    <cellStyle name="CustomStyle49" xfId="223"/>
    <cellStyle name="CustomStyle5" xfId="224"/>
    <cellStyle name="CustomStyle6" xfId="225"/>
    <cellStyle name="CustomStyle7" xfId="226"/>
    <cellStyle name="CustomStyle8" xfId="227"/>
    <cellStyle name="CustomStyle9" xfId="228"/>
    <cellStyle name="dash" xfId="229"/>
    <cellStyle name="Date" xfId="230"/>
    <cellStyle name="Date Aligned" xfId="231"/>
    <cellStyle name="date month-year" xfId="232"/>
    <cellStyle name="Date Short" xfId="233"/>
    <cellStyle name="Date_DataWork" xfId="234"/>
    <cellStyle name="Date-day" xfId="235"/>
    <cellStyle name="DateFormat" xfId="236"/>
    <cellStyle name="Date-month" xfId="237"/>
    <cellStyle name="Date-short" xfId="238"/>
    <cellStyle name="Date-weekday" xfId="239"/>
    <cellStyle name="Date-year" xfId="240"/>
    <cellStyle name="decimal 0" xfId="241"/>
    <cellStyle name="decimal 1" xfId="242"/>
    <cellStyle name="decimal 2" xfId="243"/>
    <cellStyle name="Dezimal [0]_Country" xfId="244"/>
    <cellStyle name="Dezimal_Country" xfId="245"/>
    <cellStyle name="Dialog" xfId="246"/>
    <cellStyle name="documentation data" xfId="247"/>
    <cellStyle name="documentation titles" xfId="248"/>
    <cellStyle name="Dotted Line" xfId="249"/>
    <cellStyle name="EditableStyle" xfId="250"/>
    <cellStyle name="Enter Currency (0)" xfId="251"/>
    <cellStyle name="Enter Currency (2)" xfId="252"/>
    <cellStyle name="Enter Units (0)" xfId="253"/>
    <cellStyle name="Enter Units (1)" xfId="254"/>
    <cellStyle name="Enter Units (2)" xfId="255"/>
    <cellStyle name="Entry" xfId="256"/>
    <cellStyle name="Euro" xfId="257"/>
    <cellStyle name="Explanatory Text" xfId="258" builtinId="53" customBuiltin="1"/>
    <cellStyle name="EY House" xfId="259"/>
    <cellStyle name="FirstNumbers_Avg_BS " xfId="260"/>
    <cellStyle name="footnote" xfId="261"/>
    <cellStyle name="footnote2" xfId="262"/>
    <cellStyle name="Gas" xfId="263"/>
    <cellStyle name="Good" xfId="264" builtinId="26" customBuiltin="1"/>
    <cellStyle name="Grey" xfId="265"/>
    <cellStyle name="GreybarHeader" xfId="266"/>
    <cellStyle name="Hard Percent" xfId="267"/>
    <cellStyle name="Header" xfId="268"/>
    <cellStyle name="Header1" xfId="269"/>
    <cellStyle name="Header2" xfId="270"/>
    <cellStyle name="Heading 1" xfId="271" builtinId="16" customBuiltin="1"/>
    <cellStyle name="Heading 2" xfId="272" builtinId="17" customBuiltin="1"/>
    <cellStyle name="Heading 3" xfId="273" builtinId="18" customBuiltin="1"/>
    <cellStyle name="Heading 4" xfId="274" builtinId="19" customBuiltin="1"/>
    <cellStyle name="Hyperlink" xfId="275" builtinId="8"/>
    <cellStyle name="implemented" xfId="276"/>
    <cellStyle name="input" xfId="277"/>
    <cellStyle name="Input [yellow]" xfId="278"/>
    <cellStyle name="Input_Assets" xfId="279"/>
    <cellStyle name="InputDataRow" xfId="280"/>
    <cellStyle name="IntermediateDataColumn" xfId="281"/>
    <cellStyle name="ItalicHeader" xfId="282"/>
    <cellStyle name="JG" xfId="283"/>
    <cellStyle name="Large12" xfId="284"/>
    <cellStyle name="Large14" xfId="285"/>
    <cellStyle name="Large16" xfId="286"/>
    <cellStyle name="LineNumbers_Avg_BS " xfId="287"/>
    <cellStyle name="Link Currency (0)" xfId="288"/>
    <cellStyle name="Link Currency (2)" xfId="289"/>
    <cellStyle name="Link in" xfId="290"/>
    <cellStyle name="Link out" xfId="291"/>
    <cellStyle name="Link Units (0)" xfId="292"/>
    <cellStyle name="Link Units (1)" xfId="293"/>
    <cellStyle name="Link Units (2)" xfId="294"/>
    <cellStyle name="Linked Cell" xfId="295" builtinId="24" customBuiltin="1"/>
    <cellStyle name="Macro Header" xfId="296"/>
    <cellStyle name="Macro Text" xfId="297"/>
    <cellStyle name="MacroCode" xfId="298"/>
    <cellStyle name="McForm" xfId="299"/>
    <cellStyle name="McFormBody" xfId="300"/>
    <cellStyle name="MCNewReport" xfId="301"/>
    <cellStyle name="MCReport" xfId="302"/>
    <cellStyle name="Migliaia (0)_RiepilogoNQ" xfId="303"/>
    <cellStyle name="Milliers [0]_!!!GO" xfId="304"/>
    <cellStyle name="Milliers_!!!GO" xfId="305"/>
    <cellStyle name="Model" xfId="306"/>
    <cellStyle name="Monétaire [0]_!!!GO" xfId="307"/>
    <cellStyle name="Monétaire_!!!GO" xfId="308"/>
    <cellStyle name="MS_COL_STYLE" xfId="309"/>
    <cellStyle name="Multiple" xfId="310"/>
    <cellStyle name="Neutral" xfId="311" builtinId="28" customBuiltin="1"/>
    <cellStyle name="NEW" xfId="312"/>
    <cellStyle name="no dec" xfId="313"/>
    <cellStyle name="Normal" xfId="0" builtinId="0"/>
    <cellStyle name="Normal - Style1" xfId="314"/>
    <cellStyle name="Normal 2" xfId="428"/>
    <cellStyle name="Normal 3" xfId="429"/>
    <cellStyle name="Normal 4" xfId="431"/>
    <cellStyle name="Normal 5" xfId="432"/>
    <cellStyle name="Normal 6" xfId="433"/>
    <cellStyle name="Normal 7" xfId="434"/>
    <cellStyle name="Normal_Important Disclosures" xfId="315"/>
    <cellStyle name="Normal_PxAdjPrice_ParEq7" xfId="316"/>
    <cellStyle name="Normale_Foglio1" xfId="317"/>
    <cellStyle name="Note" xfId="318" builtinId="10" customBuiltin="1"/>
    <cellStyle name="Notes" xfId="319"/>
    <cellStyle name="NumberFormat" xfId="320"/>
    <cellStyle name="Œ…‹æØ‚è [0.00]_!!!GO" xfId="321"/>
    <cellStyle name="Œ…‹æØ‚è_!!!GO" xfId="322"/>
    <cellStyle name="OptionPricerGreyed" xfId="323"/>
    <cellStyle name="OptionPricerVisible" xfId="324"/>
    <cellStyle name="OSW_TableText" xfId="325"/>
    <cellStyle name="Output" xfId="326" builtinId="21" customBuiltin="1"/>
    <cellStyle name="OutputPlain" xfId="327"/>
    <cellStyle name="Outstanding" xfId="328"/>
    <cellStyle name="Page Number" xfId="329"/>
    <cellStyle name="per.style" xfId="330"/>
    <cellStyle name="Percent [0]" xfId="331"/>
    <cellStyle name="Percent [00]" xfId="332"/>
    <cellStyle name="Percent [2]" xfId="333"/>
    <cellStyle name="percent 1 decimal" xfId="334"/>
    <cellStyle name="Percent 2" xfId="430"/>
    <cellStyle name="percent 2 decimal" xfId="335"/>
    <cellStyle name="percent no decimal" xfId="336"/>
    <cellStyle name="Percent[0]" xfId="337"/>
    <cellStyle name="Percent[2]" xfId="338"/>
    <cellStyle name="Percent1" xfId="339"/>
    <cellStyle name="Percent2" xfId="340"/>
    <cellStyle name="Percent4" xfId="341"/>
    <cellStyle name="Pivot Table" xfId="342"/>
    <cellStyle name="Power" xfId="343"/>
    <cellStyle name="PrePop Currency (0)" xfId="344"/>
    <cellStyle name="PrePop Currency (2)" xfId="345"/>
    <cellStyle name="PrePop Units (0)" xfId="346"/>
    <cellStyle name="PrePop Units (1)" xfId="347"/>
    <cellStyle name="PrePop Units (2)" xfId="348"/>
    <cellStyle name="PRICE" xfId="349"/>
    <cellStyle name="PSChar" xfId="350"/>
    <cellStyle name="PSDate" xfId="351"/>
    <cellStyle name="PSDec" xfId="352"/>
    <cellStyle name="PSHeading" xfId="353"/>
    <cellStyle name="PSInt" xfId="354"/>
    <cellStyle name="PSSpacer" xfId="355"/>
    <cellStyle name="RangeName" xfId="356"/>
    <cellStyle name="red" xfId="357"/>
    <cellStyle name="ReserveStyle" xfId="358"/>
    <cellStyle name="RoundingPrecision_Avg_BS " xfId="359"/>
    <cellStyle name="SBZero" xfId="360"/>
    <cellStyle name="ScotchRule" xfId="361"/>
    <cellStyle name="SS Col Hdr" xfId="362"/>
    <cellStyle name="SS Dim 1 Blank" xfId="363"/>
    <cellStyle name="SS Dim 1 Title" xfId="364"/>
    <cellStyle name="SS Dim 1 Value" xfId="365"/>
    <cellStyle name="SS Dim 2 Blank" xfId="366"/>
    <cellStyle name="SS Dim 2 Title" xfId="367"/>
    <cellStyle name="SS Dim 2 Value" xfId="368"/>
    <cellStyle name="SS Dim 3 Blank" xfId="369"/>
    <cellStyle name="SS Dim 3 Title" xfId="370"/>
    <cellStyle name="SS Dim 3 Value" xfId="371"/>
    <cellStyle name="SS Dim 4 Blank" xfId="372"/>
    <cellStyle name="SS Dim 4 Title" xfId="373"/>
    <cellStyle name="SS Dim 4 Value" xfId="374"/>
    <cellStyle name="SS Dim 5 Blank" xfId="375"/>
    <cellStyle name="SS Dim 5 Title" xfId="376"/>
    <cellStyle name="SS Dim 5 Value" xfId="377"/>
    <cellStyle name="SS Other Measure" xfId="378"/>
    <cellStyle name="SS Sum Measure" xfId="379"/>
    <cellStyle name="SS Unbound Dim" xfId="380"/>
    <cellStyle name="SS WAvg Measure" xfId="381"/>
    <cellStyle name="STANDARD" xfId="382"/>
    <cellStyle name="Style 1" xfId="1"/>
    <cellStyle name="subhead" xfId="383"/>
    <cellStyle name="Subtitle" xfId="384"/>
    <cellStyle name="sum" xfId="385"/>
    <cellStyle name="Table Head" xfId="386"/>
    <cellStyle name="Table Head Aligned" xfId="387"/>
    <cellStyle name="Table Head Blue" xfId="388"/>
    <cellStyle name="Table Head Green" xfId="389"/>
    <cellStyle name="Table Title" xfId="390"/>
    <cellStyle name="Table Units" xfId="391"/>
    <cellStyle name="TableDataColumn" xfId="392"/>
    <cellStyle name="text" xfId="393"/>
    <cellStyle name="Text Indent A" xfId="394"/>
    <cellStyle name="Text Indent B" xfId="395"/>
    <cellStyle name="Text Indent C" xfId="396"/>
    <cellStyle name="TEXT_Feasibility" xfId="397"/>
    <cellStyle name="text2" xfId="398"/>
    <cellStyle name="Time-minutes" xfId="399"/>
    <cellStyle name="Time-seconds" xfId="400"/>
    <cellStyle name="Title" xfId="401" builtinId="15" customBuiltin="1"/>
    <cellStyle name="Title 2" xfId="402"/>
    <cellStyle name="title2" xfId="403"/>
    <cellStyle name="Titles" xfId="404"/>
    <cellStyle name="Titles - Col. Headings" xfId="405"/>
    <cellStyle name="TopGrey" xfId="406"/>
    <cellStyle name="total" xfId="407"/>
    <cellStyle name="TotalNumbers_Avg_BS " xfId="408"/>
    <cellStyle name="Transportation" xfId="409"/>
    <cellStyle name="underline 1 decimal" xfId="410"/>
    <cellStyle name="underline 2 decimals" xfId="411"/>
    <cellStyle name="underline flush left" xfId="412"/>
    <cellStyle name="underline no decimals" xfId="413"/>
    <cellStyle name="underlineHeading_Avg_BS " xfId="414"/>
    <cellStyle name="ValCht - Style1" xfId="415"/>
    <cellStyle name="Währung [0]_Country" xfId="416"/>
    <cellStyle name="Währung_Country" xfId="417"/>
    <cellStyle name="Warning" xfId="418"/>
    <cellStyle name="Warning Text" xfId="419" builtinId="11" customBuiltin="1"/>
    <cellStyle name="weekly" xfId="420"/>
    <cellStyle name="Wrapped" xfId="421"/>
    <cellStyle name="xrate" xfId="422"/>
    <cellStyle name="Y2K Compliant Date Fmt" xfId="423"/>
    <cellStyle name="year" xfId="424"/>
    <cellStyle name="Yesterday" xfId="425"/>
    <cellStyle name="Zero suppress" xfId="426"/>
    <cellStyle name="zpatchnumbers" xfId="427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003366"/>
      <rgbColor rgb="00FA7100"/>
      <rgbColor rgb="00507810"/>
      <rgbColor rgb="00149CAA"/>
      <rgbColor rgb="00000000"/>
      <rgbColor rgb="00EC0034"/>
      <rgbColor rgb="00CCCCCC"/>
      <rgbColor rgb="00450074"/>
      <rgbColor rgb="00999999"/>
      <rgbColor rgb="00FCAA66"/>
      <rgbColor rgb="0096AE70"/>
      <rgbColor rgb="008F66AC"/>
      <rgbColor rgb="00666666"/>
      <rgbColor rgb="00F46685"/>
      <rgbColor rgb="0072C4CC"/>
      <rgbColor rgb="00003366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>
        <v>6.25</v>
        <stp/>
        <stp>##V3_BDPV12</stp>
        <stp>JYBC3 Curncy</stp>
        <stp>px_last</stp>
        <stp>[11941630 (5).xlsm]Cross_currency!R10C35</stp>
        <tr r="AI10" s="1"/>
      </tp>
      <tp>
        <v>7</v>
        <stp/>
        <stp>##V3_BDPV12</stp>
        <stp>JYBC7 Curncy</stp>
        <stp>px_last</stp>
        <stp>[11941630 (5).xlsm]Cross_currency!R12C35</stp>
        <tr r="AI12" s="1"/>
      </tp>
      <tp>
        <v>6.75</v>
        <stp/>
        <stp>##V3_BDPV12</stp>
        <stp>JYBC5 Curncy</stp>
        <stp>px_last</stp>
        <stp>[11941630 (5).xlsm]Cross_currency!R11C35</stp>
        <tr r="AI11" s="1"/>
      </tp>
      <tp t="s">
        <v>JPY.BASIS.3M.USD.3M:BLOOMBERG SC 31723</v>
        <stp/>
        <stp>##V3_BCURVESTRIPV12</stp>
        <stp>[11941630 (5).xlsm]Cross_currency!R108C35</stp>
        <stp>JPY.Basis.3m.USD.3m</stp>
        <tr r="AI108" s="1"/>
      </tp>
      <tp t="s">
        <v>USD</v>
        <stp/>
        <stp>##V3_BDPV12</stp>
        <stp>US92343VER15 Corp</stp>
        <stp>CRNCY</stp>
        <stp>[11941630 (5).xlsm]Cross_currency!R12C40</stp>
        <tr r="AN12" s="1"/>
      </tp>
      <tp>
        <v>110.52</v>
        <stp/>
        <stp>##V3_BDPV12</stp>
        <stp>JPY BGN Curncy</stp>
        <stp>PX_LAST</stp>
        <stp>[11941630 (5).xlsm]Cross_currency!R47C38</stp>
        <tr r="AL47" s="1"/>
      </tp>
      <tp>
        <v>110.52</v>
        <stp/>
        <stp>##V3_BDPV12</stp>
        <stp>JPY BGN Curncy</stp>
        <stp>PX_LAST</stp>
        <stp>[11941630 (5).xlsm]Cross_currency!R56C38</stp>
        <tr r="AL56" s="1"/>
      </tp>
      <tp t="s">
        <v>SettlementDate</v>
        <stp/>
        <stp>##V3_BVIEW</stp>
        <stp>[11941630 (5).xlsm]Cross_currency!R110C60</stp>
        <stp>GBP.6M:BLOOMBERG 541400</stp>
        <stp>SettlementDate,Maturity,Df.mid, Market.Mid</stp>
        <stp>headers=true</stp>
        <tr r="BH110" s="1"/>
      </tp>
      <tp t="s">
        <v>SettlementDate</v>
        <stp/>
        <stp>##V3_BVIEW</stp>
        <stp>[11941630 (5).xlsm]Cross_currency!R110C54</stp>
        <stp>EUR.6M:BLOOMBERG 143767</stp>
        <stp>SettlementDate,Maturity,Df.mid, Market.Mid</stp>
        <stp>headers=true</stp>
        <tr r="BB110" s="1"/>
      </tp>
      <tp>
        <v>1.2963</v>
        <stp/>
        <stp>##V3_BDPV12</stp>
        <stp>GBP BGN Curncy</stp>
        <stp>PX_LAST</stp>
        <stp>[11941630 (5).xlsm]Cross_currency!R47C37</stp>
        <tr r="AK47" s="1"/>
      </tp>
      <tp>
        <v>1.2963</v>
        <stp/>
        <stp>##V3_BDPV12</stp>
        <stp>GBP BGN Curncy</stp>
        <stp>PX_LAST</stp>
        <stp>[11941630 (5).xlsm]Cross_currency!R56C37</stp>
        <tr r="AK56" s="1"/>
      </tp>
      <tp t="s">
        <v>EUR.BASIS.3M.USD.3M:BLOOMBERG SC 676921</v>
        <stp/>
        <stp>##V3_BCURVESTRIPV12</stp>
        <stp>[11941630 (5).xlsm]Cross_currency!R108C29</stp>
        <stp>EUR.Basis.3m.USD.3m</stp>
        <tr r="AC108" s="1"/>
      </tp>
      <tp>
        <v>8.6</v>
        <stp/>
        <stp>##V3_BDPV12</stp>
        <stp>BPSFVC50 Curncy</stp>
        <stp>px_last</stp>
        <stp>[11941630 (5).xlsm]Cross_currency!R18C36</stp>
        <tr r="AJ18" s="1"/>
      </tp>
      <tp>
        <v>8.5</v>
        <stp/>
        <stp>##V3_BDPV12</stp>
        <stp>BPSFVC30 Curncy</stp>
        <stp>px_last</stp>
        <stp>[11941630 (5).xlsm]Cross_currency!R17C36</stp>
        <tr r="AJ17" s="1"/>
      </tp>
      <tp>
        <v>8.4499999999999993</v>
        <stp/>
        <stp>##V3_BDPV12</stp>
        <stp>BPSFVC25 Curncy</stp>
        <stp>px_last</stp>
        <stp>[11941630 (5).xlsm]Cross_currency!R16C36</stp>
        <tr r="AJ16" s="1"/>
      </tp>
      <tp>
        <v>8.3000000000000007</v>
        <stp/>
        <stp>##V3_BDPV12</stp>
        <stp>BPSFVC20 Curncy</stp>
        <stp>px_last</stp>
        <stp>[11941630 (5).xlsm]Cross_currency!R15C36</stp>
        <tr r="AJ15" s="1"/>
      </tp>
      <tp>
        <v>8.1</v>
        <stp/>
        <stp>##V3_BDPV12</stp>
        <stp>BPSFVC15 Curncy</stp>
        <stp>px_last</stp>
        <stp>[11941630 (5).xlsm]Cross_currency!R14C36</stp>
        <tr r="AJ14" s="1"/>
      </tp>
      <tp>
        <v>7.8</v>
        <stp/>
        <stp>##V3_BDPV12</stp>
        <stp>BPSFVC10 Curncy</stp>
        <stp>px_last</stp>
        <stp>[11941630 (5).xlsm]Cross_currency!R13C36</stp>
        <tr r="AJ13" s="1"/>
      </tp>
      <tp t="s">
        <v>GBP.BASIS.3M.USD.3M:BLOOMBERG SC 407924</v>
        <stp/>
        <stp>##V3_BCURVESTRIPV12</stp>
        <stp>[11941630 (5).xlsm]Cross_currency!R108C41</stp>
        <stp>GBP.Basis.3m.USD.3m</stp>
        <tr r="AO108" s="1"/>
      </tp>
      <tp t="s">
        <v>VZ 4.329 09/21/28</v>
        <stp/>
        <stp>##V3_BDPV12</stp>
        <stp>US92343VER15 Corp</stp>
        <stp>SECURITY_NAME</stp>
        <stp>[11941630 (5).xlsm]Cross_currency!R14C40</stp>
        <tr r="AN14" s="1"/>
      </tp>
    </main>
    <main first="bloomberg.rtd">
      <tp>
        <v>7.5</v>
        <stp/>
        <stp>##V3_BDPV12</stp>
        <stp>BPSFVC7 Curncy</stp>
        <stp>px_last</stp>
        <stp>[11941630 (5).xlsm]Cross_currency!R12C36</stp>
        <tr r="AJ12" s="1"/>
      </tp>
      <tp>
        <v>7.1</v>
        <stp/>
        <stp>##V3_BDPV12</stp>
        <stp>BPSFVC5 Curncy</stp>
        <stp>px_last</stp>
        <stp>[11941630 (5).xlsm]Cross_currency!R11C36</stp>
        <tr r="AJ11" s="1"/>
      </tp>
      <tp>
        <v>6.9</v>
        <stp/>
        <stp>##V3_BDPV12</stp>
        <stp>BPSFVC3 Curncy</stp>
        <stp>px_last</stp>
        <stp>[11941630 (5).xlsm]Cross_currency!R10C36</stp>
        <tr r="AJ10" s="1"/>
      </tp>
    </main>
    <main first="bloomberg.rtd">
      <tp t="s">
        <v>SettlementDate</v>
        <stp/>
        <stp>##V3_BVIEW</stp>
        <stp>[11941630 (5).xlsm]Cross_currency!R110C48</stp>
        <stp>USD.3M:BLOOMBERG 458968</stp>
        <stp>SettlementDate,Maturity,Df.mid, Market.Mid</stp>
        <stp>headers=true</stp>
        <tr r="AV110" s="1"/>
      </tp>
    </main>
    <main first="bloomberg.rtd">
      <tp>
        <v>7.375</v>
        <stp/>
        <stp>##V3_BDPV12</stp>
        <stp>JYBC10 Curncy</stp>
        <stp>px_last</stp>
        <stp>[11941630 (5).xlsm]Cross_currency!R13C35</stp>
        <tr r="AI13" s="1"/>
      </tp>
      <tp>
        <v>7.5</v>
        <stp/>
        <stp>##V3_BDPV12</stp>
        <stp>JYBC15 Curncy</stp>
        <stp>px_last</stp>
        <stp>[11941630 (5).xlsm]Cross_currency!R14C35</stp>
        <tr r="AI14" s="1"/>
      </tp>
      <tp>
        <v>7.5</v>
        <stp/>
        <stp>##V3_BDPV12</stp>
        <stp>JYBC20 Curncy</stp>
        <stp>px_last</stp>
        <stp>[11941630 (5).xlsm]Cross_currency!R15C35</stp>
        <tr r="AI15" s="1"/>
      </tp>
      <tp>
        <v>7.5</v>
        <stp/>
        <stp>##V3_BDPV12</stp>
        <stp>JYBC25 Curncy</stp>
        <stp>px_last</stp>
        <stp>[11941630 (5).xlsm]Cross_currency!R16C35</stp>
        <tr r="AI16" s="1"/>
      </tp>
      <tp>
        <v>7.6875</v>
        <stp/>
        <stp>##V3_BDPV12</stp>
        <stp>JYBC30 Curncy</stp>
        <stp>px_last</stp>
        <stp>[11941630 (5).xlsm]Cross_currency!R17C35</stp>
        <tr r="AI17" s="1"/>
      </tp>
    </main>
    <main first="bloomberg.rtd">
      <tp>
        <v>3.45</v>
        <stp/>
        <stp>##V3_BDPV12</stp>
        <stp>EUBSVT20 Curncy</stp>
        <stp>px_last</stp>
        <stp>[11941630 (5).xlsm]Cross_currency!R15C34</stp>
        <tr r="AH15" s="1"/>
      </tp>
      <tp>
        <v>2.8</v>
        <stp/>
        <stp>##V3_BDPV12</stp>
        <stp>EUBSVT25 Curncy</stp>
        <stp>px_last</stp>
        <stp>[11941630 (5).xlsm]Cross_currency!R16C34</stp>
        <tr r="AH16" s="1"/>
      </tp>
      <tp>
        <v>2.2999999999999998</v>
        <stp/>
        <stp>##V3_BDPV12</stp>
        <stp>EUBSVT30 Curncy</stp>
        <stp>px_last</stp>
        <stp>[11941630 (5).xlsm]Cross_currency!R17C34</stp>
        <tr r="AH17" s="1"/>
      </tp>
      <tp>
        <v>5.75</v>
        <stp/>
        <stp>##V3_BDPV12</stp>
        <stp>EUBSVT10 Curncy</stp>
        <stp>px_last</stp>
        <stp>[11941630 (5).xlsm]Cross_currency!R13C34</stp>
        <tr r="AH13" s="1"/>
      </tp>
      <tp>
        <v>4.4000000000000004</v>
        <stp/>
        <stp>##V3_BDPV12</stp>
        <stp>EUBSVT15 Curncy</stp>
        <stp>px_last</stp>
        <stp>[11941630 (5).xlsm]Cross_currency!R14C34</stp>
        <tr r="AH14" s="1"/>
      </tp>
    </main>
    <main first="bloomberg.rtd">
      <tp>
        <v>6.8</v>
        <stp/>
        <stp>##V3_BDPV12</stp>
        <stp>EUBSVT5 Curncy</stp>
        <stp>px_last</stp>
        <stp>[11941630 (5).xlsm]Cross_currency!R11C34</stp>
        <tr r="AH11" s="1"/>
      </tp>
      <tp>
        <v>6.4</v>
        <stp/>
        <stp>##V3_BDPV12</stp>
        <stp>EUBSVT7 Curncy</stp>
        <stp>px_last</stp>
        <stp>[11941630 (5).xlsm]Cross_currency!R12C34</stp>
        <tr r="AH12" s="1"/>
      </tp>
      <tp>
        <v>6.8520000000000003</v>
        <stp/>
        <stp>##V3_BDPV12</stp>
        <stp>EUBSVT3 Curncy</stp>
        <stp>px_last</stp>
        <stp>[11941630 (5).xlsm]Cross_currency!R10C34</stp>
        <tr r="AH10" s="1"/>
      </tp>
    </main>
    <main first="bloomberg.rtd">
      <tp t="s">
        <v>SettlementDate</v>
        <stp/>
        <stp>##V3_BVIEW</stp>
        <stp>[11941630 (5).xlsm]Cross_currency!R110C66</stp>
        <stp>JPY.6M:BLOOMBERG 74984</stp>
        <stp>SettlementDate,Maturity,Df.mid, Market.Mid</stp>
        <stp>headers=true</stp>
        <tr r="BN110" s="1"/>
      </tp>
      <tp>
        <v>2.2631000000000001</v>
        <stp/>
        <stp>##V3_BDPV12</stp>
        <stp>US92343VER15 Corp</stp>
        <stp>YAS_BOND_YLD</stp>
        <stp>[11941630 (5).xlsm]Cross_currency!R6C40</stp>
        <stp>YAS_ISPREAD=99.7135007499306</stp>
        <tr r="AN6" s="1"/>
      </tp>
      <tp t="s">
        <v>Verizon Communications Inc</v>
        <stp/>
        <stp>##V3_BDPV12</stp>
        <stp>US92343VER15 Corp</stp>
        <stp>LONG_COMP_NAME</stp>
        <stp>[11941630 (5).xlsm]Cross_currency!R13C40</stp>
        <tr r="AN13" s="1"/>
      </tp>
      <tp>
        <v>99.713500749930589</v>
        <stp/>
        <stp>##V3_BDPV12</stp>
        <stp>US92343VER15 Corp</stp>
        <stp>YAS_ISPREAD</stp>
        <stp>[11941630 (5).xlsm]Cross_currency!R18C40</stp>
        <stp>YAS_ISPREAD_TO_GOVT=</stp>
        <tr r="AN18" s="1"/>
      </tp>
      <tp>
        <v>5.75</v>
        <stp/>
        <stp>##V3_BDPV12</stp>
        <stp>JYBC1 Curncy</stp>
        <stp>px_last</stp>
        <stp>[11941630 (5).xlsm]Cross_currency!R8C35</stp>
        <tr r="AI8" s="1"/>
      </tp>
      <tp>
        <v>5.75</v>
        <stp/>
        <stp>##V3_BDPV12</stp>
        <stp>JYBC2 Curncy</stp>
        <stp>px_last</stp>
        <stp>[11941630 (5).xlsm]Cross_currency!R9C35</stp>
        <tr r="AI9" s="1"/>
      </tp>
      <tp>
        <v>4.3289999999999997</v>
        <stp/>
        <stp>##V3_BDPV12</stp>
        <stp>US92343VER15 Corp</stp>
        <stp>Coupon</stp>
        <stp>[11941630 (5).xlsm]Cross_currency!R8C40</stp>
        <tr r="AN8" s="1"/>
      </tp>
    </main>
    <main first="bloomberg.rtd">
      <tp>
        <v>116.00499999999991</v>
        <stp/>
        <stp>##V3_BDPV12</stp>
        <stp>US92343VER15 Corp</stp>
        <stp>YAS_BOND_PX</stp>
        <stp>[11941630 (5).xlsm]Cross_currency!R5C40</stp>
        <stp>YAS_ISPREAD=99.7135007499306</stp>
        <tr r="AN5" s="1"/>
      </tp>
    </main>
    <main first="bloomberg.rtd">
      <tp>
        <v>1.0837000000000001</v>
        <stp/>
        <stp>##V3_BDPV12</stp>
        <stp>EUR Curncy</stp>
        <stp>PX_LAST</stp>
        <stp>[11941630 (5).xlsm]Cross_currency!R56C36</stp>
        <tr r="AJ56" s="1"/>
      </tp>
      <tp>
        <v>1.0837000000000001</v>
        <stp/>
        <stp>##V3_BDPV12</stp>
        <stp>EUR Curncy</stp>
        <stp>PX_LAST</stp>
        <stp>[11941630 (5).xlsm]Cross_currency!R47C36</stp>
        <tr r="AJ47" s="1"/>
      </tp>
    </main>
    <main first="bloomberg.rtd">
      <tp t="s">
        <v>9/21/2028</v>
        <stp/>
        <stp>##V3_BDPV12</stp>
        <stp>US92343VER15 Corp</stp>
        <stp>Maturity</stp>
        <stp>[11941630 (5).xlsm]Cross_currency!R9C40</stp>
        <tr r="AN9" s="1"/>
      </tp>
    </main>
    <main first="bloomberg.rtd">
      <tp>
        <v>-16.72</v>
        <stp/>
        <stp>##V3_BDPV12</stp>
        <stp>JPY1M BGN Curncy</stp>
        <stp>PX_ASK_POINTS</stp>
        <stp>[11941630 (5).xlsm]Cross_currency!R55C38</stp>
        <tr r="AL55" s="1"/>
      </tp>
      <tp>
        <v>-53.43</v>
        <stp/>
        <stp>##V3_BDPV12</stp>
        <stp>JPY3M BGN Curncy</stp>
        <stp>PX_ASK_POINTS</stp>
        <stp>[11941630 (5).xlsm]Cross_currency!R46C38</stp>
        <tr r="AL46" s="1"/>
      </tp>
      <tp>
        <v>-53.74</v>
        <stp/>
        <stp>##V3_BDPV12</stp>
        <stp>JPY3M BGN Curncy</stp>
        <stp>PX_BID_POINTS</stp>
        <stp>[11941630 (5).xlsm]Cross_currency!R45C38</stp>
        <tr r="AL45" s="1"/>
      </tp>
      <tp>
        <v>-16.88</v>
        <stp/>
        <stp>##V3_BDPV12</stp>
        <stp>JPY1M BGN Curncy</stp>
        <stp>PX_BID_POINTS</stp>
        <stp>[11941630 (5).xlsm]Cross_currency!R54C38</stp>
        <tr r="AL54" s="1"/>
      </tp>
    </main>
    <main first="bloomberg.rtd">
      <tp>
        <v>10.029999999999999</v>
        <stp/>
        <stp>##V3_BDPV12</stp>
        <stp>GBP1M BGN Curncy</stp>
        <stp>PX_ASK_POINTS</stp>
        <stp>[11941630 (5).xlsm]Cross_currency!R55C37</stp>
        <tr r="AK55" s="1"/>
      </tp>
      <tp>
        <v>30.96</v>
        <stp/>
        <stp>##V3_BDPV12</stp>
        <stp>GBP3M BGN Curncy</stp>
        <stp>PX_ASK_POINTS</stp>
        <stp>[11941630 (5).xlsm]Cross_currency!R46C37</stp>
        <tr r="AK46" s="1"/>
      </tp>
      <tp>
        <v>19.09</v>
        <stp/>
        <stp>##V3_BDPV12</stp>
        <stp>EUR1M BGN Curncy</stp>
        <stp>PX_BID_POINTS</stp>
        <stp>[11941630 (5).xlsm]Cross_currency!R54C36</stp>
        <tr r="AJ54" s="1"/>
      </tp>
      <tp>
        <v>58.88</v>
        <stp/>
        <stp>##V3_BDPV12</stp>
        <stp>EUR3M BGN Curncy</stp>
        <stp>PX_BID_POINTS</stp>
        <stp>[11941630 (5).xlsm]Cross_currency!R45C36</stp>
        <tr r="AJ45" s="1"/>
      </tp>
    </main>
    <main first="bloomberg.rtd">
      <tp>
        <v>59.14</v>
        <stp/>
        <stp>##V3_BDPV12</stp>
        <stp>EUR3M BGN Curncy</stp>
        <stp>PX_ASK_POINTS</stp>
        <stp>[11941630 (5).xlsm]Cross_currency!R46C36</stp>
        <tr r="AJ46" s="1"/>
      </tp>
      <tp>
        <v>19.21</v>
        <stp/>
        <stp>##V3_BDPV12</stp>
        <stp>EUR1M BGN Curncy</stp>
        <stp>PX_ASK_POINTS</stp>
        <stp>[11941630 (5).xlsm]Cross_currency!R55C36</stp>
        <tr r="AJ55" s="1"/>
      </tp>
      <tp t="s">
        <v>2/27/2020</v>
        <stp/>
        <stp>##V3_BDPV12</stp>
        <stp>US92343VER15 Corp</stp>
        <stp>SETTLE_DT</stp>
        <stp>[11941630 (5).xlsm]Cross_currency!R10C40</stp>
        <tr r="AN10" s="1"/>
      </tp>
    </main>
    <main first="bloomberg.rtd">
      <tp>
        <v>30.66</v>
        <stp/>
        <stp>##V3_BDPV12</stp>
        <stp>GBP3M BGN Curncy</stp>
        <stp>PX_BID_POINTS</stp>
        <stp>[11941630 (5).xlsm]Cross_currency!R45C37</stp>
        <tr r="AK45" s="1"/>
      </tp>
      <tp>
        <v>9.8699999999999992</v>
        <stp/>
        <stp>##V3_BDPV12</stp>
        <stp>GBP1M BGN Curncy</stp>
        <stp>PX_BID_POINTS</stp>
        <stp>[11941630 (5).xlsm]Cross_currency!R54C37</stp>
        <tr r="AK54" s="1"/>
      </tp>
    </main>
    <main first="bloomberg.rtd">
      <tp t="s">
        <v>JPY.6M:BLOOMBERG 74984</v>
        <stp/>
        <stp>##V3_BCURVESTRIPV12</stp>
        <stp>[11941630 (5).xlsm]Cross_currency!R108C65</stp>
        <stp>JPY.6M</stp>
        <tr r="BM108" s="1"/>
      </tp>
    </main>
    <main first="bloomberg.rtd">
      <tp t="s">
        <v>GBP.6M:BLOOMBERG 541400</v>
        <stp/>
        <stp>##V3_BCURVESTRIPV12</stp>
        <stp>[11941630 (5).xlsm]Cross_currency!R108C59</stp>
        <stp>GBP.6M</stp>
        <tr r="BG108" s="1"/>
      </tp>
      <tp t="s">
        <v>EUR.6M:BLOOMBERG 143767</v>
        <stp/>
        <stp>##V3_BCURVESTRIPV12</stp>
        <stp>[11941630 (5).xlsm]Cross_currency!R108C53</stp>
        <stp>EUR.6M</stp>
        <tr r="BA108" s="1"/>
      </tp>
      <tp t="s">
        <v>USD.3M:BLOOMBERG 458968</v>
        <stp/>
        <stp>##V3_BCURVESTRIPV12</stp>
        <stp>[11941630 (5).xlsm]Cross_currency!R108C47</stp>
        <stp>USD.3M</stp>
        <tr r="AU108" s="1"/>
      </tp>
    </main>
    <main first="bloomberg.rtd">
      <tp>
        <v>6.8</v>
        <stp/>
        <stp>##V3_BDPV12</stp>
        <stp>BPSFVC2 Curncy</stp>
        <stp>px_last</stp>
        <stp>[11941630 (5).xlsm]Cross_currency!R9C36</stp>
        <tr r="AJ9" s="1"/>
      </tp>
      <tp>
        <v>7.31</v>
        <stp/>
        <stp>##V3_BDPV12</stp>
        <stp>BPSFVC1 Curncy</stp>
        <stp>px_last</stp>
        <stp>[11941630 (5).xlsm]Cross_currency!R8C36</stp>
        <tr r="AJ8" s="1"/>
      </tp>
      <tp t="s">
        <v>SettlementDate</v>
        <stp/>
        <stp>##V3_BVIEW</stp>
        <stp>[11941630 (5).xlsm]Cross_currency!R110C30</stp>
        <stp>EUR.BASIS.3M.USD.3M:BLOOMBERG SC 676921</stp>
        <stp>SettlementDate,Maturity,Df.mid, Market.Mid</stp>
        <stp>headers=true</stp>
        <tr r="AD110" s="1"/>
      </tp>
    </main>
    <main first="bloomberg.rtd">
      <tp t="s">
        <v>SettlementDate</v>
        <stp/>
        <stp>##V3_BVIEW</stp>
        <stp>[11941630 (5).xlsm]Cross_currency!R110C42</stp>
        <stp>GBP.BASIS.3M.USD.3M:BLOOMBERG SC 407924</stp>
        <stp>SettlementDate,Maturity,Df.mid, Market.Mid</stp>
        <stp>headers=true</stp>
        <tr r="AP110" s="1"/>
      </tp>
    </main>
    <main first="bloomberg.rtd">
      <tp>
        <v>6.9</v>
        <stp/>
        <stp>##V3_BDPV12</stp>
        <stp>EUBSVT2 Curncy</stp>
        <stp>px_last</stp>
        <stp>[11941630 (5).xlsm]Cross_currency!R9C34</stp>
        <tr r="AH9" s="1"/>
      </tp>
      <tp>
        <v>7.1</v>
        <stp/>
        <stp>##V3_BDPV12</stp>
        <stp>EUBSVT1 Curncy</stp>
        <stp>px_last</stp>
        <stp>[11941630 (5).xlsm]Cross_currency!R8C34</stp>
        <tr r="AH8" s="1"/>
      </tp>
      <tp t="s">
        <v>SettlementDate</v>
        <stp/>
        <stp>##V3_BVIEW</stp>
        <stp>[11941630 (5).xlsm]Cross_currency!R110C36</stp>
        <stp>JPY.BASIS.3M.USD.3M:BLOOMBERG SC 31723</stp>
        <stp>SettlementDate,Maturity,Df.mid, Market.Mid</stp>
        <stp>headers=true</stp>
        <tr r="AJ110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12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11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10" Type="http://schemas.openxmlformats.org/officeDocument/2006/relationships/customXml" Target="../customXml/item5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B397"/>
  <sheetViews>
    <sheetView showGridLines="0" tabSelected="1" workbookViewId="0"/>
  </sheetViews>
  <sheetFormatPr defaultRowHeight="11.25"/>
  <cols>
    <col min="1" max="1" width="22.140625" style="3" customWidth="1"/>
    <col min="2" max="2" width="12.7109375" style="3" customWidth="1"/>
    <col min="3" max="3" width="1.42578125" style="3" customWidth="1"/>
    <col min="4" max="4" width="30.28515625" style="3" customWidth="1"/>
    <col min="5" max="8" width="6.85546875" style="3" customWidth="1"/>
    <col min="9" max="9" width="1.42578125" style="3" customWidth="1"/>
    <col min="10" max="10" width="8.28515625" style="3" customWidth="1"/>
    <col min="11" max="11" width="9.42578125" style="3" customWidth="1"/>
    <col min="12" max="37" width="9.140625" style="3"/>
    <col min="38" max="39" width="9.28515625" style="3" bestFit="1" customWidth="1"/>
    <col min="40" max="16384" width="9.140625" style="3"/>
  </cols>
  <sheetData>
    <row r="1" spans="1:67" ht="20.25">
      <c r="A1" s="129" t="s">
        <v>90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0"/>
      <c r="M1" s="10"/>
      <c r="N1" s="10"/>
      <c r="O1" s="10"/>
      <c r="P1" s="10"/>
      <c r="Q1" s="11"/>
      <c r="R1" s="11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</row>
    <row r="2" spans="1:67" ht="20.25">
      <c r="A2" s="130"/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0"/>
      <c r="M2" s="10"/>
      <c r="N2" s="10"/>
      <c r="O2" s="10"/>
      <c r="P2" s="10"/>
      <c r="Q2" s="11"/>
      <c r="R2" s="11"/>
      <c r="T2" s="39"/>
      <c r="U2" s="39"/>
      <c r="V2" s="39"/>
      <c r="W2" s="39"/>
      <c r="X2" s="39"/>
      <c r="Y2" s="39"/>
      <c r="Z2" s="39"/>
      <c r="AA2" s="39"/>
      <c r="AB2" s="39"/>
      <c r="AC2" s="39"/>
      <c r="AD2" s="39"/>
      <c r="AE2" s="39"/>
      <c r="AQ2" s="3" t="s">
        <v>24</v>
      </c>
      <c r="AR2" s="4">
        <v>100</v>
      </c>
    </row>
    <row r="3" spans="1:67"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</row>
    <row r="4" spans="1:67">
      <c r="A4" s="12" t="s">
        <v>84</v>
      </c>
      <c r="B4" s="13"/>
      <c r="D4" s="12" t="s">
        <v>83</v>
      </c>
      <c r="E4" s="35"/>
      <c r="F4" s="36"/>
      <c r="G4" s="36"/>
      <c r="H4" s="13"/>
      <c r="J4" s="51"/>
      <c r="K4" s="51"/>
      <c r="L4" s="51"/>
      <c r="M4" s="51"/>
      <c r="N4" s="51"/>
      <c r="O4" s="51"/>
      <c r="P4" s="51"/>
      <c r="Q4" s="51"/>
      <c r="R4" s="39"/>
      <c r="T4" s="39"/>
      <c r="U4" s="39"/>
      <c r="V4" s="39"/>
      <c r="W4" s="39"/>
      <c r="X4" s="39"/>
      <c r="Y4" s="39"/>
      <c r="Z4" s="39"/>
      <c r="AA4" s="39"/>
      <c r="AB4" s="39"/>
      <c r="AC4" s="7"/>
      <c r="AD4" s="7" t="s">
        <v>16</v>
      </c>
      <c r="AN4" s="3" t="s">
        <v>20</v>
      </c>
      <c r="AQ4" s="46"/>
      <c r="AR4" s="3" t="s">
        <v>44</v>
      </c>
      <c r="AV4" s="46"/>
      <c r="AW4" s="46"/>
      <c r="AX4" s="57"/>
      <c r="AY4" s="3" t="s">
        <v>25</v>
      </c>
      <c r="BF4" s="3" t="s">
        <v>27</v>
      </c>
      <c r="BJ4" s="46"/>
      <c r="BK4" s="46"/>
      <c r="BL4" s="46"/>
      <c r="BM4" s="46"/>
      <c r="BN4" s="46"/>
      <c r="BO4" s="46"/>
    </row>
    <row r="5" spans="1:67" ht="12.75">
      <c r="A5" s="14" t="s">
        <v>23</v>
      </c>
      <c r="B5" s="15" t="s">
        <v>6</v>
      </c>
      <c r="D5" s="14" t="s">
        <v>8</v>
      </c>
      <c r="E5" s="2" t="s">
        <v>20</v>
      </c>
      <c r="F5" s="2" t="s">
        <v>12</v>
      </c>
      <c r="G5" s="2" t="s">
        <v>13</v>
      </c>
      <c r="H5" s="15" t="s">
        <v>14</v>
      </c>
      <c r="J5" s="44"/>
      <c r="K5" s="44"/>
      <c r="L5" s="44"/>
      <c r="M5" s="44"/>
      <c r="N5" s="44"/>
      <c r="O5" s="44"/>
      <c r="P5" s="44"/>
      <c r="Q5" s="44"/>
      <c r="R5" s="39"/>
      <c r="T5" s="39"/>
      <c r="U5" s="115"/>
      <c r="V5" s="115"/>
      <c r="W5" s="115"/>
      <c r="X5" s="39"/>
      <c r="Y5" s="39"/>
      <c r="Z5" s="115"/>
      <c r="AA5" s="115"/>
      <c r="AB5" s="39"/>
      <c r="AD5" s="3" t="s">
        <v>11</v>
      </c>
      <c r="AH5" s="3" t="s">
        <v>15</v>
      </c>
      <c r="AM5" s="9" t="s">
        <v>29</v>
      </c>
      <c r="AN5" s="3">
        <f>_xll.BDP(bondID&amp;" Corp", AM5, "YAS_ISPREAD="&amp;ISpread)</f>
        <v>116.00499999999991</v>
      </c>
      <c r="AO5" s="68"/>
      <c r="AP5" s="46"/>
      <c r="AQ5" s="46" t="s">
        <v>0</v>
      </c>
      <c r="AR5" s="46" t="s">
        <v>12</v>
      </c>
      <c r="AS5" s="46" t="s">
        <v>13</v>
      </c>
      <c r="AT5" s="46" t="s">
        <v>14</v>
      </c>
      <c r="AU5" s="46" t="s">
        <v>20</v>
      </c>
      <c r="AV5" s="46"/>
      <c r="AW5" s="46"/>
      <c r="AX5" s="57"/>
      <c r="AY5" s="46" t="s">
        <v>12</v>
      </c>
      <c r="AZ5" s="46" t="s">
        <v>13</v>
      </c>
      <c r="BA5" s="46" t="s">
        <v>14</v>
      </c>
      <c r="BB5" s="46" t="s">
        <v>20</v>
      </c>
      <c r="BC5" s="46"/>
      <c r="BD5" s="46" t="s">
        <v>22</v>
      </c>
      <c r="BE5" s="3" t="s">
        <v>26</v>
      </c>
      <c r="BF5" s="62" t="s">
        <v>12</v>
      </c>
      <c r="BG5" s="62" t="s">
        <v>13</v>
      </c>
      <c r="BH5" s="62" t="s">
        <v>14</v>
      </c>
      <c r="BI5" s="62" t="s">
        <v>20</v>
      </c>
      <c r="BJ5" s="62"/>
      <c r="BK5" s="62"/>
      <c r="BL5" s="62"/>
      <c r="BM5" s="62"/>
      <c r="BN5" s="62"/>
      <c r="BO5" s="46"/>
    </row>
    <row r="6" spans="1:67">
      <c r="A6" s="16" t="s">
        <v>82</v>
      </c>
      <c r="B6" s="28" t="s">
        <v>96</v>
      </c>
      <c r="D6" s="19" t="s">
        <v>17</v>
      </c>
      <c r="E6" s="22">
        <f t="array" ref="E6:H6">TRANSPOSE(AI37:AI40)</f>
        <v>0</v>
      </c>
      <c r="F6" s="22">
        <f ca="1"/>
        <v>-15.820734286580233</v>
      </c>
      <c r="G6" s="22">
        <f ca="1"/>
        <v>-50.278077152382558</v>
      </c>
      <c r="H6" s="20">
        <f ca="1"/>
        <v>4.4786714329011623</v>
      </c>
      <c r="J6" s="52"/>
      <c r="K6" s="1"/>
      <c r="L6" s="47"/>
      <c r="M6" s="53"/>
      <c r="N6" s="53"/>
      <c r="O6" s="53"/>
      <c r="P6" s="53"/>
      <c r="Q6" s="48"/>
      <c r="R6" s="39"/>
      <c r="S6" s="29"/>
      <c r="T6" s="116"/>
      <c r="U6" s="39"/>
      <c r="V6" s="115"/>
      <c r="W6" s="115"/>
      <c r="X6" s="39"/>
      <c r="Y6" s="39"/>
      <c r="Z6" s="71"/>
      <c r="AA6" s="71"/>
      <c r="AB6" s="71"/>
      <c r="AC6" s="4" t="s">
        <v>0</v>
      </c>
      <c r="AD6" s="4" t="s">
        <v>12</v>
      </c>
      <c r="AE6" s="4" t="s">
        <v>13</v>
      </c>
      <c r="AF6" s="3" t="s">
        <v>14</v>
      </c>
      <c r="AH6" s="4" t="s">
        <v>12</v>
      </c>
      <c r="AI6" s="4" t="s">
        <v>13</v>
      </c>
      <c r="AJ6" s="3" t="s">
        <v>14</v>
      </c>
      <c r="AM6" s="9" t="s">
        <v>58</v>
      </c>
      <c r="AN6" s="3">
        <f>_xll.BDP(bondID&amp;" Corp", AM6, "YAS_ISPREAD="&amp;ISpread)</f>
        <v>2.2631000000000001</v>
      </c>
      <c r="AO6" s="55"/>
      <c r="AP6" s="63"/>
      <c r="AQ6" s="66">
        <v>0</v>
      </c>
      <c r="AR6" s="46"/>
      <c r="AS6" s="46"/>
      <c r="AT6" s="46"/>
      <c r="AU6" s="46"/>
      <c r="AV6" s="46"/>
      <c r="AW6" s="46"/>
      <c r="AX6" s="57"/>
      <c r="AY6" s="57"/>
      <c r="AZ6" s="46"/>
      <c r="BA6" s="46"/>
      <c r="BB6" s="46"/>
      <c r="BD6" s="4">
        <v>-9.9999999999999995E-7</v>
      </c>
      <c r="BE6" s="4"/>
      <c r="BJ6" s="62"/>
      <c r="BK6" s="62"/>
      <c r="BL6" s="62"/>
      <c r="BM6" s="46"/>
      <c r="BN6" s="46"/>
      <c r="BO6" s="46"/>
    </row>
    <row r="7" spans="1:67">
      <c r="A7" s="16" t="s">
        <v>92</v>
      </c>
      <c r="B7" s="5"/>
      <c r="D7" s="19" t="s">
        <v>18</v>
      </c>
      <c r="E7" s="22">
        <f t="array" ref="E7:H7">TRANSPOSE(AK37:AK40)</f>
        <v>0</v>
      </c>
      <c r="F7" s="22">
        <f ca="1"/>
        <v>-6.0605407255304593</v>
      </c>
      <c r="G7" s="22">
        <f ca="1"/>
        <v>-7.1958418891170428</v>
      </c>
      <c r="H7" s="20">
        <f ca="1"/>
        <v>-7.6566735112936346</v>
      </c>
      <c r="J7" s="52"/>
      <c r="K7" s="1"/>
      <c r="L7" s="47"/>
      <c r="M7" s="53"/>
      <c r="N7" s="53"/>
      <c r="O7" s="53"/>
      <c r="P7" s="53"/>
      <c r="Q7" s="48"/>
      <c r="R7" s="39"/>
      <c r="T7" s="39"/>
      <c r="U7" s="115"/>
      <c r="V7" s="39"/>
      <c r="W7" s="39"/>
      <c r="X7" s="39"/>
      <c r="Y7" s="39"/>
      <c r="Z7" s="83"/>
      <c r="AA7" s="83"/>
      <c r="AB7" s="83"/>
      <c r="AC7" s="4">
        <v>0.25</v>
      </c>
      <c r="AH7" s="33">
        <f>AH8</f>
        <v>7.1</v>
      </c>
      <c r="AI7" s="33">
        <f>AI8</f>
        <v>5.75</v>
      </c>
      <c r="AJ7" s="33">
        <f>AJ8</f>
        <v>7.31</v>
      </c>
      <c r="AM7" s="9" t="s">
        <v>19</v>
      </c>
      <c r="AN7" s="3">
        <f>ISpread</f>
        <v>99.713500749930589</v>
      </c>
      <c r="AO7" s="55"/>
      <c r="AP7" s="63"/>
      <c r="AQ7" s="66">
        <f>AQ6+0.5</f>
        <v>0.5</v>
      </c>
      <c r="AR7" s="46">
        <f t="shared" ref="AR7:AR38" ca="1" si="0">InterpLinearLocal($AC$111:$AC$127, AF$111:AF$127, $AQ7)</f>
        <v>1.0028065760869567</v>
      </c>
      <c r="AS7" s="46">
        <f t="shared" ref="AS7:AS38" ca="1" si="1">InterpLinearLocal($AI$111:$AI$128, AL$111:AL$128, $AQ7)</f>
        <v>1.0018062282608697</v>
      </c>
      <c r="AT7" s="46">
        <f t="shared" ref="AT7:AT38" ca="1" si="2">InterpLinearLocal($AO$111:$AO$127, AR$111:AR$127, $AQ7)</f>
        <v>0.99667609782608702</v>
      </c>
      <c r="AU7" s="46">
        <f t="shared" ref="AU7:AU38" ca="1" si="3">InterpLinearLocal($AU$111:$AU$134, AX$111:AX$134, $AQ7)</f>
        <v>0.99227250549450552</v>
      </c>
      <c r="AV7" s="46"/>
      <c r="AW7" s="46"/>
      <c r="AX7" s="57"/>
      <c r="AY7" s="58">
        <f ca="1">$AR$2*AR7</f>
        <v>100.28065760869566</v>
      </c>
      <c r="AZ7" s="58">
        <f t="shared" ref="AZ7:BB22" ca="1" si="4">$AR$2*AS7</f>
        <v>100.18062282608697</v>
      </c>
      <c r="BA7" s="58">
        <f t="shared" ca="1" si="4"/>
        <v>99.667609782608707</v>
      </c>
      <c r="BB7" s="58">
        <f t="shared" ca="1" si="4"/>
        <v>99.227250549450545</v>
      </c>
      <c r="BD7" s="4">
        <v>1</v>
      </c>
      <c r="BE7" s="4">
        <f>2*BD7</f>
        <v>2</v>
      </c>
      <c r="BF7" s="3">
        <f t="shared" ref="BF7:BF20" ca="1" si="5">SUM(OFFSET(AY$6, 1, 0, $BE7, 1))</f>
        <v>200.89630166957315</v>
      </c>
      <c r="BG7" s="3">
        <f t="shared" ref="BG7:BG20" ca="1" si="6">SUM(OFFSET(AZ$6, 1, 0, $BE7, 1))</f>
        <v>200.6244920600808</v>
      </c>
      <c r="BH7" s="3">
        <f t="shared" ref="BH7:BH20" ca="1" si="7">SUM(OFFSET(BA$6, 1, 0, $BE7, 1))</f>
        <v>199.06212852542507</v>
      </c>
      <c r="BI7" s="3">
        <f t="shared" ref="BI7:BI20" ca="1" si="8">SUM(OFFSET(BB$6, 1, 0, $BE7, 1))</f>
        <v>197.81786907272982</v>
      </c>
      <c r="BJ7" s="88"/>
      <c r="BK7" s="88"/>
      <c r="BL7" s="88"/>
      <c r="BM7" s="88"/>
      <c r="BN7" s="88"/>
      <c r="BO7" s="88"/>
    </row>
    <row r="8" spans="1:67">
      <c r="A8" s="16" t="s">
        <v>91</v>
      </c>
      <c r="B8" s="5"/>
      <c r="D8" s="16" t="s">
        <v>28</v>
      </c>
      <c r="E8" s="38">
        <f t="array" aca="1" ref="E8:H8" ca="1">TRANSPOSE(AM31:AM34)</f>
        <v>1</v>
      </c>
      <c r="F8" s="101">
        <f ca="1"/>
        <v>0.92368253300077663</v>
      </c>
      <c r="G8" s="101">
        <f ca="1"/>
        <v>0.91924215092581385</v>
      </c>
      <c r="H8" s="102">
        <f ca="1"/>
        <v>0.97195718652553609</v>
      </c>
      <c r="J8" s="52"/>
      <c r="K8" s="1"/>
      <c r="L8" s="47"/>
      <c r="M8" s="53"/>
      <c r="N8" s="53"/>
      <c r="O8" s="53"/>
      <c r="P8" s="53"/>
      <c r="Q8" s="48"/>
      <c r="R8" s="39"/>
      <c r="T8" s="39"/>
      <c r="U8" s="115"/>
      <c r="V8" s="39"/>
      <c r="W8" s="39"/>
      <c r="X8" s="39"/>
      <c r="Y8" s="39"/>
      <c r="Z8" s="83"/>
      <c r="AA8" s="83"/>
      <c r="AB8" s="83"/>
      <c r="AC8" s="4">
        <v>1</v>
      </c>
      <c r="AD8" s="3" t="str">
        <f t="shared" ref="AD8:AD12" si="9">"EUBSVT"&amp;AC8&amp;" Curncy"</f>
        <v>EUBSVT1 Curncy</v>
      </c>
      <c r="AE8" s="3" t="str">
        <f>"JYBC"&amp;AC8&amp;" Curncy"</f>
        <v>JYBC1 Curncy</v>
      </c>
      <c r="AF8" s="3" t="str">
        <f>"BPSFVC"&amp;AC8&amp;" Curncy"</f>
        <v>BPSFVC1 Curncy</v>
      </c>
      <c r="AH8" s="31">
        <f>_xll.BDP(AD8, "px_last")</f>
        <v>7.1</v>
      </c>
      <c r="AI8" s="31">
        <f>_xll.BDP(AE8, "px_last")</f>
        <v>5.75</v>
      </c>
      <c r="AJ8" s="31">
        <f>_xll.BDP(AF8, "px_last")</f>
        <v>7.31</v>
      </c>
      <c r="AM8" s="9" t="s">
        <v>2</v>
      </c>
      <c r="AN8" s="3">
        <f>_xll.BDP($B$6&amp;" Corp", $AM8)</f>
        <v>4.3289999999999997</v>
      </c>
      <c r="AO8" s="55"/>
      <c r="AP8" s="63"/>
      <c r="AQ8" s="66">
        <f t="shared" ref="AQ8:AQ71" si="10">AQ7+0.5</f>
        <v>1</v>
      </c>
      <c r="AR8" s="46">
        <f t="shared" ca="1" si="0"/>
        <v>1.0061564406087748</v>
      </c>
      <c r="AS8" s="46">
        <f t="shared" ca="1" si="1"/>
        <v>1.0044386923399382</v>
      </c>
      <c r="AT8" s="46">
        <f t="shared" ca="1" si="2"/>
        <v>0.99394518742816373</v>
      </c>
      <c r="AU8" s="46">
        <f t="shared" ca="1" si="3"/>
        <v>0.98590618523279272</v>
      </c>
      <c r="AV8" s="46"/>
      <c r="AW8" s="46"/>
      <c r="AX8" s="57"/>
      <c r="AY8" s="58">
        <f t="shared" ref="AY8:AY66" ca="1" si="11">$AR$2*AR8</f>
        <v>100.61564406087749</v>
      </c>
      <c r="AZ8" s="58">
        <f t="shared" ca="1" si="4"/>
        <v>100.44386923399382</v>
      </c>
      <c r="BA8" s="58">
        <f t="shared" ca="1" si="4"/>
        <v>99.394518742816373</v>
      </c>
      <c r="BB8" s="58">
        <f t="shared" ca="1" si="4"/>
        <v>98.590618523279275</v>
      </c>
      <c r="BD8" s="4">
        <v>2</v>
      </c>
      <c r="BE8" s="4">
        <f t="shared" ref="BE8:BE21" si="12">2*BD8</f>
        <v>4</v>
      </c>
      <c r="BF8" s="3">
        <f t="shared" ca="1" si="5"/>
        <v>403.08507921307125</v>
      </c>
      <c r="BG8" s="3">
        <f t="shared" ca="1" si="6"/>
        <v>402.35075410039076</v>
      </c>
      <c r="BH8" s="3">
        <f t="shared" ca="1" si="7"/>
        <v>397.03795581724864</v>
      </c>
      <c r="BI8" s="3">
        <f t="shared" ca="1" si="8"/>
        <v>393.37384778911172</v>
      </c>
      <c r="BJ8" s="88"/>
      <c r="BK8" s="88"/>
      <c r="BL8" s="88"/>
      <c r="BM8" s="88"/>
      <c r="BN8" s="88"/>
      <c r="BO8" s="88"/>
    </row>
    <row r="9" spans="1:67" ht="11.25" customHeight="1">
      <c r="A9" s="16"/>
      <c r="B9" s="17"/>
      <c r="D9" s="19" t="s">
        <v>30</v>
      </c>
      <c r="E9" s="22">
        <f t="array" aca="1" ref="E9:H9" ca="1">TRANSPOSE(AN31:AN34)</f>
        <v>0</v>
      </c>
      <c r="F9" s="22">
        <f ca="1"/>
        <v>-7.6098818028598627</v>
      </c>
      <c r="G9" s="22">
        <f ca="1"/>
        <v>-8.0526478442216423</v>
      </c>
      <c r="H9" s="20">
        <f ca="1"/>
        <v>-2.7962471024161211</v>
      </c>
      <c r="J9" s="52"/>
      <c r="K9" s="1"/>
      <c r="L9" s="47"/>
      <c r="M9" s="53"/>
      <c r="N9" s="53"/>
      <c r="O9" s="53"/>
      <c r="P9" s="53"/>
      <c r="Q9" s="48"/>
      <c r="R9" s="39"/>
      <c r="S9" s="29"/>
      <c r="T9" s="116"/>
      <c r="U9" s="115"/>
      <c r="V9" s="39"/>
      <c r="W9" s="39"/>
      <c r="X9" s="39"/>
      <c r="Y9" s="39"/>
      <c r="Z9" s="83"/>
      <c r="AA9" s="83"/>
      <c r="AB9" s="83"/>
      <c r="AC9" s="4">
        <v>2</v>
      </c>
      <c r="AD9" s="3" t="str">
        <f t="shared" si="9"/>
        <v>EUBSVT2 Curncy</v>
      </c>
      <c r="AE9" s="3" t="str">
        <f t="shared" ref="AE9:AE18" si="13">"JYBC"&amp;AC9&amp;" Curncy"</f>
        <v>JYBC2 Curncy</v>
      </c>
      <c r="AF9" s="3" t="str">
        <f t="shared" ref="AF9:AF18" si="14">"BPSFVC"&amp;AC9&amp;" Curncy"</f>
        <v>BPSFVC2 Curncy</v>
      </c>
      <c r="AH9" s="31">
        <f>_xll.BDP(AD9, "px_last")</f>
        <v>6.9</v>
      </c>
      <c r="AI9" s="31">
        <f>_xll.BDP(AE9, "px_last")</f>
        <v>5.75</v>
      </c>
      <c r="AJ9" s="31">
        <f>_xll.BDP(AF9, "px_last")</f>
        <v>6.8</v>
      </c>
      <c r="AM9" s="9" t="s">
        <v>1</v>
      </c>
      <c r="AN9" s="6">
        <f>DATEVALUE(_xll.BDP($B$6&amp;" Corp", $AM9))</f>
        <v>47017</v>
      </c>
      <c r="AO9" s="55"/>
      <c r="AP9" s="63"/>
      <c r="AQ9" s="66">
        <f t="shared" si="10"/>
        <v>1.5</v>
      </c>
      <c r="AR9" s="46">
        <f t="shared" ca="1" si="0"/>
        <v>1.0093480720145853</v>
      </c>
      <c r="AS9" s="46">
        <f t="shared" ca="1" si="1"/>
        <v>1.0071295439973218</v>
      </c>
      <c r="AT9" s="46">
        <f t="shared" ca="1" si="2"/>
        <v>0.99123448678213311</v>
      </c>
      <c r="AU9" s="46">
        <f t="shared" ca="1" si="3"/>
        <v>0.98038584615384616</v>
      </c>
      <c r="AV9" s="46"/>
      <c r="AW9" s="46"/>
      <c r="AX9" s="57"/>
      <c r="AY9" s="58">
        <f t="shared" ca="1" si="11"/>
        <v>100.93480720145853</v>
      </c>
      <c r="AZ9" s="58">
        <f t="shared" ca="1" si="4"/>
        <v>100.71295439973218</v>
      </c>
      <c r="BA9" s="58">
        <f t="shared" ca="1" si="4"/>
        <v>99.123448678213308</v>
      </c>
      <c r="BB9" s="58">
        <f t="shared" ca="1" si="4"/>
        <v>98.038584615384622</v>
      </c>
      <c r="BD9" s="4">
        <v>3</v>
      </c>
      <c r="BE9" s="4">
        <f t="shared" si="12"/>
        <v>6</v>
      </c>
      <c r="BF9" s="3">
        <f t="shared" ca="1" si="5"/>
        <v>606.49985578193275</v>
      </c>
      <c r="BG9" s="3">
        <f t="shared" ca="1" si="6"/>
        <v>605.41957155398325</v>
      </c>
      <c r="BH9" s="3">
        <f t="shared" ca="1" si="7"/>
        <v>593.95126017300504</v>
      </c>
      <c r="BI9" s="3">
        <f t="shared" ca="1" si="8"/>
        <v>586.82440964661578</v>
      </c>
      <c r="BJ9" s="88"/>
      <c r="BK9" s="88"/>
      <c r="BL9" s="88"/>
      <c r="BM9" s="88"/>
      <c r="BN9" s="88"/>
      <c r="BO9" s="88"/>
    </row>
    <row r="10" spans="1:67" ht="11.25" customHeight="1">
      <c r="A10" s="127" t="str">
        <f>"Bond: "&amp;AN14</f>
        <v>Bond: VZ 4.329 09/21/28</v>
      </c>
      <c r="B10" s="128"/>
      <c r="D10" s="103" t="s">
        <v>60</v>
      </c>
      <c r="E10" s="104"/>
      <c r="F10" s="105"/>
      <c r="G10" s="105"/>
      <c r="H10" s="106"/>
      <c r="J10" s="52"/>
      <c r="K10" s="1"/>
      <c r="L10" s="47"/>
      <c r="M10" s="53"/>
      <c r="N10" s="53"/>
      <c r="O10" s="53"/>
      <c r="P10" s="53"/>
      <c r="Q10" s="48"/>
      <c r="R10" s="39"/>
      <c r="S10" s="29"/>
      <c r="T10" s="116"/>
      <c r="U10" s="115"/>
      <c r="V10" s="39"/>
      <c r="W10" s="39"/>
      <c r="X10" s="39"/>
      <c r="Y10" s="39"/>
      <c r="Z10" s="83"/>
      <c r="AA10" s="83"/>
      <c r="AB10" s="83"/>
      <c r="AC10" s="30">
        <v>3</v>
      </c>
      <c r="AD10" s="3" t="str">
        <f t="shared" si="9"/>
        <v>EUBSVT3 Curncy</v>
      </c>
      <c r="AE10" s="3" t="str">
        <f t="shared" si="13"/>
        <v>JYBC3 Curncy</v>
      </c>
      <c r="AF10" s="3" t="str">
        <f t="shared" si="14"/>
        <v>BPSFVC3 Curncy</v>
      </c>
      <c r="AH10" s="31">
        <f>_xll.BDP(AD10, "px_last")</f>
        <v>6.8520000000000003</v>
      </c>
      <c r="AI10" s="31">
        <f>_xll.BDP(AE10, "px_last")</f>
        <v>6.25</v>
      </c>
      <c r="AJ10" s="31">
        <f>_xll.BDP(AF10, "px_last")</f>
        <v>6.9</v>
      </c>
      <c r="AM10" s="9" t="s">
        <v>4</v>
      </c>
      <c r="AN10" s="6">
        <f>DATEVALUE(_xll.BDP($B$6&amp;" Corp", $AM10))</f>
        <v>43888</v>
      </c>
      <c r="AO10" s="55"/>
      <c r="AP10" s="63"/>
      <c r="AQ10" s="66">
        <f t="shared" si="10"/>
        <v>2</v>
      </c>
      <c r="AR10" s="46">
        <f t="shared" ca="1" si="0"/>
        <v>1.0125397034203956</v>
      </c>
      <c r="AS10" s="46">
        <f t="shared" ca="1" si="1"/>
        <v>1.0101330764057777</v>
      </c>
      <c r="AT10" s="46">
        <f t="shared" ca="1" si="2"/>
        <v>0.98852378613610248</v>
      </c>
      <c r="AU10" s="46">
        <f t="shared" ca="1" si="3"/>
        <v>0.97517394100997246</v>
      </c>
      <c r="AV10" s="46"/>
      <c r="AW10" s="46"/>
      <c r="AX10" s="57"/>
      <c r="AY10" s="58">
        <f t="shared" ca="1" si="11"/>
        <v>101.25397034203955</v>
      </c>
      <c r="AZ10" s="58">
        <f t="shared" ca="1" si="4"/>
        <v>101.01330764057776</v>
      </c>
      <c r="BA10" s="58">
        <f t="shared" ca="1" si="4"/>
        <v>98.852378613610242</v>
      </c>
      <c r="BB10" s="58">
        <f t="shared" ca="1" si="4"/>
        <v>97.517394100997251</v>
      </c>
      <c r="BD10" s="4">
        <v>4</v>
      </c>
      <c r="BE10" s="4">
        <f t="shared" si="12"/>
        <v>8</v>
      </c>
      <c r="BF10" s="3">
        <f t="shared" ca="1" si="5"/>
        <v>811.03815051889455</v>
      </c>
      <c r="BG10" s="3">
        <f t="shared" ca="1" si="6"/>
        <v>809.95100710422105</v>
      </c>
      <c r="BH10" s="3">
        <f t="shared" ca="1" si="7"/>
        <v>789.73703308570259</v>
      </c>
      <c r="BI10" s="3">
        <f t="shared" ca="1" si="8"/>
        <v>778.10110736580373</v>
      </c>
      <c r="BJ10" s="88"/>
      <c r="BK10" s="88"/>
      <c r="BL10" s="88"/>
      <c r="BM10" s="88"/>
      <c r="BN10" s="88"/>
      <c r="BO10" s="88"/>
    </row>
    <row r="11" spans="1:67" ht="12.75">
      <c r="A11" s="123"/>
      <c r="B11" s="124" t="str">
        <f>AN13</f>
        <v>Verizon Communications Inc</v>
      </c>
      <c r="D11" s="107" t="s">
        <v>21</v>
      </c>
      <c r="E11" s="79">
        <f ca="1">ISpread+E6+E7+E9</f>
        <v>99.713500749930589</v>
      </c>
      <c r="F11" s="79">
        <f ca="1">ISpread+F6+F7+F9</f>
        <v>70.222343934960037</v>
      </c>
      <c r="G11" s="79">
        <f ca="1">ISpread+G6+G7+G9</f>
        <v>34.186933864209351</v>
      </c>
      <c r="H11" s="108">
        <f ca="1">ISpread+H6+H7+H9</f>
        <v>93.739251569122004</v>
      </c>
      <c r="J11" s="52"/>
      <c r="K11" s="1"/>
      <c r="L11" s="47"/>
      <c r="M11" s="53"/>
      <c r="N11" s="53"/>
      <c r="O11" s="53"/>
      <c r="P11" s="53"/>
      <c r="Q11" s="48"/>
      <c r="R11" s="39"/>
      <c r="S11" s="29"/>
      <c r="T11" s="116"/>
      <c r="U11" s="48"/>
      <c r="V11" s="39"/>
      <c r="W11" s="39"/>
      <c r="X11" s="39"/>
      <c r="Y11" s="39"/>
      <c r="Z11" s="83"/>
      <c r="AA11" s="83"/>
      <c r="AB11" s="83"/>
      <c r="AC11" s="4">
        <v>5</v>
      </c>
      <c r="AD11" s="3" t="str">
        <f t="shared" si="9"/>
        <v>EUBSVT5 Curncy</v>
      </c>
      <c r="AE11" s="3" t="str">
        <f t="shared" si="13"/>
        <v>JYBC5 Curncy</v>
      </c>
      <c r="AF11" s="3" t="str">
        <f t="shared" si="14"/>
        <v>BPSFVC5 Curncy</v>
      </c>
      <c r="AH11" s="31">
        <f>_xll.BDP(AD11, "px_last")</f>
        <v>6.8</v>
      </c>
      <c r="AI11" s="31">
        <f>_xll.BDP(AE11, "px_last")</f>
        <v>6.75</v>
      </c>
      <c r="AJ11" s="31">
        <f>_xll.BDP(AF11, "px_last")</f>
        <v>7.1</v>
      </c>
      <c r="AM11" s="9"/>
      <c r="AO11" s="6"/>
      <c r="AP11" s="63"/>
      <c r="AQ11" s="66">
        <f t="shared" si="10"/>
        <v>2.5</v>
      </c>
      <c r="AR11" s="46">
        <f t="shared" ca="1" si="0"/>
        <v>1.0155629025272659</v>
      </c>
      <c r="AS11" s="46">
        <f t="shared" ca="1" si="1"/>
        <v>1.0136059333420189</v>
      </c>
      <c r="AT11" s="46">
        <f t="shared" ca="1" si="2"/>
        <v>0.98588543257659844</v>
      </c>
      <c r="AU11" s="46">
        <f t="shared" ca="1" si="3"/>
        <v>0.96989338906162703</v>
      </c>
      <c r="AV11" s="46"/>
      <c r="AW11" s="46"/>
      <c r="AX11" s="57"/>
      <c r="AY11" s="58">
        <f t="shared" ca="1" si="11"/>
        <v>101.55629025272658</v>
      </c>
      <c r="AZ11" s="58">
        <f t="shared" ca="1" si="4"/>
        <v>101.36059333420189</v>
      </c>
      <c r="BA11" s="58">
        <f t="shared" ca="1" si="4"/>
        <v>98.58854325765985</v>
      </c>
      <c r="BB11" s="58">
        <f t="shared" ca="1" si="4"/>
        <v>96.9893389061627</v>
      </c>
      <c r="BD11" s="4">
        <v>5</v>
      </c>
      <c r="BE11" s="4">
        <f t="shared" si="12"/>
        <v>10</v>
      </c>
      <c r="BF11" s="3">
        <f t="shared" ca="1" si="5"/>
        <v>1016.5649895446115</v>
      </c>
      <c r="BG11" s="3">
        <f t="shared" ca="1" si="6"/>
        <v>1016.0231303582869</v>
      </c>
      <c r="BH11" s="3">
        <f t="shared" ca="1" si="7"/>
        <v>984.3200670322841</v>
      </c>
      <c r="BI11" s="3">
        <f t="shared" ca="1" si="8"/>
        <v>967.11453331081918</v>
      </c>
      <c r="BJ11" s="88"/>
      <c r="BK11" s="88"/>
      <c r="BL11" s="88"/>
      <c r="BM11" s="88"/>
      <c r="BN11" s="88"/>
      <c r="BO11" s="88"/>
    </row>
    <row r="12" spans="1:67">
      <c r="A12" s="16"/>
      <c r="B12" s="17"/>
      <c r="D12" s="37" t="s">
        <v>40</v>
      </c>
      <c r="E12" s="80">
        <f ca="1">HLOOKUP(E$5, $AK$23:$AN$26, 4, FALSE)</f>
        <v>1.2665902698867824</v>
      </c>
      <c r="F12" s="80">
        <f ca="1">HLOOKUP(F$5, $AK$23:$AN$26, 4, FALSE)</f>
        <v>-0.204982870772103</v>
      </c>
      <c r="G12" s="80">
        <f ca="1">HLOOKUP(G$5, $AK$23:$AN$26, 4, FALSE)</f>
        <v>-7.5628797376743537E-2</v>
      </c>
      <c r="H12" s="109">
        <f ca="1">HLOOKUP(H$5, $AK$23:$AN$26, 4, FALSE)</f>
        <v>0.66312549476344718</v>
      </c>
      <c r="J12" s="52"/>
      <c r="K12" s="1"/>
      <c r="L12" s="47"/>
      <c r="M12" s="53"/>
      <c r="N12" s="53"/>
      <c r="O12" s="53"/>
      <c r="P12" s="53"/>
      <c r="Q12" s="48"/>
      <c r="R12" s="39"/>
      <c r="S12" s="29"/>
      <c r="T12" s="116"/>
      <c r="U12" s="115"/>
      <c r="V12" s="39"/>
      <c r="W12" s="39"/>
      <c r="X12" s="39"/>
      <c r="Y12" s="39"/>
      <c r="Z12" s="83"/>
      <c r="AA12" s="83"/>
      <c r="AB12" s="83"/>
      <c r="AC12" s="4">
        <v>7</v>
      </c>
      <c r="AD12" s="3" t="str">
        <f t="shared" si="9"/>
        <v>EUBSVT7 Curncy</v>
      </c>
      <c r="AE12" s="3" t="str">
        <f t="shared" si="13"/>
        <v>JYBC7 Curncy</v>
      </c>
      <c r="AF12" s="3" t="str">
        <f t="shared" si="14"/>
        <v>BPSFVC7 Curncy</v>
      </c>
      <c r="AH12" s="31">
        <f>_xll.BDP(AD12, "px_last")</f>
        <v>6.4</v>
      </c>
      <c r="AI12" s="31">
        <f>_xll.BDP(AE12, "px_last")</f>
        <v>7</v>
      </c>
      <c r="AJ12" s="31">
        <f>_xll.BDP(AF12, "px_last")</f>
        <v>7.5</v>
      </c>
      <c r="AM12" s="9" t="s">
        <v>53</v>
      </c>
      <c r="AN12" s="4" t="str">
        <f>_xll.BDP($B$6&amp;" Corp", $AM12)</f>
        <v>USD</v>
      </c>
      <c r="AO12" s="55"/>
      <c r="AP12" s="63"/>
      <c r="AQ12" s="66">
        <f t="shared" si="10"/>
        <v>3</v>
      </c>
      <c r="AR12" s="46">
        <f t="shared" ca="1" si="0"/>
        <v>1.0185848631613497</v>
      </c>
      <c r="AS12" s="46">
        <f t="shared" ca="1" si="1"/>
        <v>1.0170822411939058</v>
      </c>
      <c r="AT12" s="46">
        <f t="shared" ca="1" si="2"/>
        <v>0.98324761098096591</v>
      </c>
      <c r="AU12" s="46">
        <f t="shared" ca="1" si="3"/>
        <v>0.96461222951341308</v>
      </c>
      <c r="AV12" s="46"/>
      <c r="AW12" s="46"/>
      <c r="AX12" s="57"/>
      <c r="AY12" s="58">
        <f t="shared" ca="1" si="11"/>
        <v>101.85848631613497</v>
      </c>
      <c r="AZ12" s="58">
        <f t="shared" ca="1" si="4"/>
        <v>101.70822411939058</v>
      </c>
      <c r="BA12" s="58">
        <f t="shared" ca="1" si="4"/>
        <v>98.324761098096587</v>
      </c>
      <c r="BB12" s="58">
        <f t="shared" ca="1" si="4"/>
        <v>96.461222951341313</v>
      </c>
      <c r="BD12" s="4">
        <v>6</v>
      </c>
      <c r="BE12" s="4">
        <f t="shared" si="12"/>
        <v>12</v>
      </c>
      <c r="BF12" s="3">
        <f t="shared" ca="1" si="5"/>
        <v>1222.9373800185656</v>
      </c>
      <c r="BG12" s="3">
        <f t="shared" ca="1" si="6"/>
        <v>1223.6247921376553</v>
      </c>
      <c r="BH12" s="3">
        <f t="shared" ca="1" si="7"/>
        <v>1177.6740709068686</v>
      </c>
      <c r="BI12" s="3">
        <f t="shared" ca="1" si="8"/>
        <v>1153.7540413551587</v>
      </c>
      <c r="BJ12" s="88"/>
      <c r="BK12" s="88"/>
      <c r="BL12" s="88"/>
      <c r="BM12" s="88"/>
      <c r="BN12" s="88"/>
      <c r="BO12" s="88"/>
    </row>
    <row r="13" spans="1:67">
      <c r="A13" s="16" t="s">
        <v>85</v>
      </c>
      <c r="B13" s="59" t="str">
        <f>AN12</f>
        <v>USD</v>
      </c>
      <c r="D13" s="85" t="s">
        <v>41</v>
      </c>
      <c r="E13" s="110">
        <f ca="1">E12+E11/100</f>
        <v>2.2637252773860883</v>
      </c>
      <c r="F13" s="110">
        <f ca="1">F12+F11/100</f>
        <v>0.49724056857749743</v>
      </c>
      <c r="G13" s="110">
        <f ca="1">G12+G11/100</f>
        <v>0.26624054126534996</v>
      </c>
      <c r="H13" s="111">
        <f ca="1">H12+H11/100</f>
        <v>1.6005180104546672</v>
      </c>
      <c r="J13" s="52"/>
      <c r="K13" s="1"/>
      <c r="L13" s="47"/>
      <c r="M13" s="53"/>
      <c r="N13" s="53"/>
      <c r="O13" s="53"/>
      <c r="P13" s="53"/>
      <c r="Q13" s="48"/>
      <c r="R13" s="39"/>
      <c r="S13" s="29"/>
      <c r="T13" s="116"/>
      <c r="U13" s="115"/>
      <c r="V13" s="39"/>
      <c r="W13" s="39"/>
      <c r="X13" s="39"/>
      <c r="Y13" s="39"/>
      <c r="Z13" s="83"/>
      <c r="AA13" s="83"/>
      <c r="AB13" s="83"/>
      <c r="AC13" s="4">
        <v>10</v>
      </c>
      <c r="AD13" s="3" t="str">
        <f>"EUBSVT"&amp;AC13&amp;" Curncy"</f>
        <v>EUBSVT10 Curncy</v>
      </c>
      <c r="AE13" s="3" t="str">
        <f t="shared" si="13"/>
        <v>JYBC10 Curncy</v>
      </c>
      <c r="AF13" s="3" t="str">
        <f t="shared" si="14"/>
        <v>BPSFVC10 Curncy</v>
      </c>
      <c r="AH13" s="31">
        <f>_xll.BDP(AD13, "px_last")</f>
        <v>5.75</v>
      </c>
      <c r="AI13" s="31">
        <f>_xll.BDP(AE13, "px_last")</f>
        <v>7.375</v>
      </c>
      <c r="AJ13" s="31">
        <f>_xll.BDP(AF13, "px_last")</f>
        <v>7.8</v>
      </c>
      <c r="AM13" s="9" t="s">
        <v>7</v>
      </c>
      <c r="AN13" s="3" t="str">
        <f>_xll.BDP($B$6&amp;" Corp", AM13)</f>
        <v>Verizon Communications Inc</v>
      </c>
      <c r="AO13" s="55"/>
      <c r="AP13" s="63"/>
      <c r="AQ13" s="66">
        <f t="shared" si="10"/>
        <v>3.5</v>
      </c>
      <c r="AR13" s="46">
        <f t="shared" ca="1" si="0"/>
        <v>1.0213231217112266</v>
      </c>
      <c r="AS13" s="46">
        <f t="shared" ca="1" si="1"/>
        <v>1.0207985589621924</v>
      </c>
      <c r="AT13" s="46">
        <f t="shared" ca="1" si="2"/>
        <v>0.98036874295606857</v>
      </c>
      <c r="AU13" s="46">
        <f t="shared" ca="1" si="3"/>
        <v>0.95912674697948253</v>
      </c>
      <c r="AV13" s="46"/>
      <c r="AW13" s="46"/>
      <c r="AX13" s="57"/>
      <c r="AY13" s="58">
        <f t="shared" ca="1" si="11"/>
        <v>102.13231217112266</v>
      </c>
      <c r="AZ13" s="58">
        <f t="shared" ca="1" si="4"/>
        <v>102.07985589621924</v>
      </c>
      <c r="BA13" s="58">
        <f t="shared" ca="1" si="4"/>
        <v>98.03687429560685</v>
      </c>
      <c r="BB13" s="58">
        <f t="shared" ca="1" si="4"/>
        <v>95.912674697948248</v>
      </c>
      <c r="BD13" s="4">
        <v>7</v>
      </c>
      <c r="BE13" s="4">
        <f t="shared" si="12"/>
        <v>14</v>
      </c>
      <c r="BF13" s="3">
        <f t="shared" ca="1" si="5"/>
        <v>1429.9185953791471</v>
      </c>
      <c r="BG13" s="3">
        <f t="shared" ca="1" si="6"/>
        <v>1432.7705847444211</v>
      </c>
      <c r="BH13" s="3">
        <f t="shared" ca="1" si="7"/>
        <v>1369.7567837413246</v>
      </c>
      <c r="BI13" s="3">
        <f t="shared" ca="1" si="8"/>
        <v>1337.9281428352842</v>
      </c>
      <c r="BJ13" s="88"/>
      <c r="BK13" s="88"/>
      <c r="BL13" s="88"/>
      <c r="BM13" s="88"/>
      <c r="BN13" s="88"/>
      <c r="BO13" s="88"/>
    </row>
    <row r="14" spans="1:67">
      <c r="A14" s="16" t="s">
        <v>22</v>
      </c>
      <c r="B14" s="32">
        <f>IF(ISNUMBER(AN15), AN15, "n.a.")</f>
        <v>8.5667351129363443</v>
      </c>
      <c r="D14" s="117" t="s">
        <v>61</v>
      </c>
      <c r="E14" s="118"/>
      <c r="F14" s="119"/>
      <c r="G14" s="119"/>
      <c r="H14" s="120"/>
      <c r="I14" s="21"/>
      <c r="J14" s="83"/>
      <c r="K14" s="39"/>
      <c r="L14" s="39"/>
      <c r="M14" s="39"/>
      <c r="N14" s="39"/>
      <c r="O14" s="39"/>
      <c r="P14" s="39"/>
      <c r="Q14" s="39"/>
      <c r="R14" s="39"/>
      <c r="S14" s="29"/>
      <c r="T14" s="116"/>
      <c r="U14" s="115"/>
      <c r="V14" s="39"/>
      <c r="W14" s="39"/>
      <c r="X14" s="39"/>
      <c r="Y14" s="39"/>
      <c r="Z14" s="83"/>
      <c r="AA14" s="83"/>
      <c r="AB14" s="83"/>
      <c r="AC14" s="4">
        <v>15</v>
      </c>
      <c r="AD14" s="3" t="str">
        <f>"EUBSVT"&amp;AC14&amp;" Curncy"</f>
        <v>EUBSVT15 Curncy</v>
      </c>
      <c r="AE14" s="3" t="str">
        <f t="shared" si="13"/>
        <v>JYBC15 Curncy</v>
      </c>
      <c r="AF14" s="3" t="str">
        <f t="shared" si="14"/>
        <v>BPSFVC15 Curncy</v>
      </c>
      <c r="AH14" s="31">
        <f>_xll.BDP(AD14, "px_last")</f>
        <v>4.4000000000000004</v>
      </c>
      <c r="AI14" s="31">
        <f>_xll.BDP(AE14, "px_last")</f>
        <v>7.5</v>
      </c>
      <c r="AJ14" s="31">
        <f>_xll.BDP(AF14, "px_last")</f>
        <v>8.1</v>
      </c>
      <c r="AM14" s="9" t="s">
        <v>9</v>
      </c>
      <c r="AN14" s="3" t="str">
        <f>_xll.BDP($B$6&amp;" Corp", $AM14)</f>
        <v>VZ 4.329 09/21/28</v>
      </c>
      <c r="AO14" s="6"/>
      <c r="AP14" s="63"/>
      <c r="AQ14" s="66">
        <f t="shared" si="10"/>
        <v>4</v>
      </c>
      <c r="AR14" s="46">
        <f t="shared" ca="1" si="0"/>
        <v>1.0240598256583913</v>
      </c>
      <c r="AS14" s="46">
        <f t="shared" ca="1" si="1"/>
        <v>1.0245157965401863</v>
      </c>
      <c r="AT14" s="46">
        <f t="shared" ca="1" si="2"/>
        <v>0.97748898617090751</v>
      </c>
      <c r="AU14" s="46">
        <f t="shared" ca="1" si="3"/>
        <v>0.95364023021239785</v>
      </c>
      <c r="AV14" s="46"/>
      <c r="AW14" s="46"/>
      <c r="AX14" s="57"/>
      <c r="AY14" s="58">
        <f t="shared" ca="1" si="11"/>
        <v>102.40598256583912</v>
      </c>
      <c r="AZ14" s="58">
        <f t="shared" ca="1" si="4"/>
        <v>102.45157965401863</v>
      </c>
      <c r="BA14" s="58">
        <f t="shared" ca="1" si="4"/>
        <v>97.748898617090745</v>
      </c>
      <c r="BB14" s="58">
        <f t="shared" ca="1" si="4"/>
        <v>95.364023021239788</v>
      </c>
      <c r="BD14" s="4">
        <v>8</v>
      </c>
      <c r="BE14" s="4">
        <f t="shared" si="12"/>
        <v>16</v>
      </c>
      <c r="BF14" s="3">
        <f t="shared" ca="1" si="5"/>
        <v>1637.2857382429613</v>
      </c>
      <c r="BG14" s="3">
        <f t="shared" ca="1" si="6"/>
        <v>1643.2898600860296</v>
      </c>
      <c r="BH14" s="3">
        <f t="shared" ca="1" si="7"/>
        <v>1560.4744216951292</v>
      </c>
      <c r="BI14" s="3">
        <f t="shared" ca="1" si="8"/>
        <v>1519.5386355043606</v>
      </c>
      <c r="BJ14" s="88"/>
      <c r="BK14" s="88"/>
      <c r="BL14" s="88"/>
      <c r="BM14" s="88"/>
      <c r="BN14" s="88"/>
      <c r="BO14" s="88"/>
    </row>
    <row r="15" spans="1:67">
      <c r="A15" s="16" t="s">
        <v>5</v>
      </c>
      <c r="B15" s="18">
        <f>IF(ISNUMBER(AN5), AN5, "n.a.")</f>
        <v>116.00499999999991</v>
      </c>
      <c r="D15" s="16" t="s">
        <v>88</v>
      </c>
      <c r="E15" s="22">
        <f>VLOOKUP($B$13&amp;":"&amp;E$5, $AG$65:$AI$76, 3, FALSE)</f>
        <v>0</v>
      </c>
      <c r="F15" s="48">
        <f>VLOOKUP($B$13&amp;":"&amp;F$5, $AG$65:$AI$76, 3, FALSE)</f>
        <v>212.05130571189557</v>
      </c>
      <c r="G15" s="48">
        <f>VLOOKUP($B$13&amp;":"&amp;G$5, $AG$65:$AI$76, 3, FALSE)</f>
        <v>182.4104234527768</v>
      </c>
      <c r="H15" s="84">
        <f>VLOOKUP($B$13&amp;":"&amp;H$5, $AG$65:$AI$76, 3, FALSE)</f>
        <v>92.10830826197558</v>
      </c>
      <c r="J15" s="39"/>
      <c r="K15" s="39"/>
      <c r="L15" s="48"/>
      <c r="M15" s="53"/>
      <c r="N15" s="53"/>
      <c r="O15" s="53"/>
      <c r="P15" s="53"/>
      <c r="Q15" s="48"/>
      <c r="R15" s="39"/>
      <c r="S15" s="29"/>
      <c r="T15" s="116"/>
      <c r="U15" s="115"/>
      <c r="V15" s="39"/>
      <c r="W15" s="39"/>
      <c r="X15" s="39"/>
      <c r="Y15" s="39"/>
      <c r="Z15" s="83"/>
      <c r="AA15" s="83"/>
      <c r="AB15" s="83"/>
      <c r="AC15" s="4">
        <v>20</v>
      </c>
      <c r="AD15" s="3" t="str">
        <f>"EUBSVT"&amp;AC15&amp;" Curncy"</f>
        <v>EUBSVT20 Curncy</v>
      </c>
      <c r="AE15" s="3" t="str">
        <f t="shared" si="13"/>
        <v>JYBC20 Curncy</v>
      </c>
      <c r="AF15" s="3" t="str">
        <f t="shared" si="14"/>
        <v>BPSFVC20 Curncy</v>
      </c>
      <c r="AH15" s="31">
        <f>_xll.BDP(AD15, "px_last")</f>
        <v>3.45</v>
      </c>
      <c r="AI15" s="31">
        <f>_xll.BDP(AE15, "px_last")</f>
        <v>7.5</v>
      </c>
      <c r="AJ15" s="31">
        <f>_xll.BDP(AF15, "px_last")</f>
        <v>8.3000000000000007</v>
      </c>
      <c r="AM15" s="9" t="s">
        <v>10</v>
      </c>
      <c r="AN15" s="3">
        <f>(AN9-AN10)/365.25</f>
        <v>8.5667351129363443</v>
      </c>
      <c r="AO15" s="55"/>
      <c r="AP15" s="63"/>
      <c r="AQ15" s="66">
        <f t="shared" si="10"/>
        <v>4.5</v>
      </c>
      <c r="AR15" s="46">
        <f t="shared" ca="1" si="0"/>
        <v>1.0264427386385202</v>
      </c>
      <c r="AS15" s="46">
        <f t="shared" ca="1" si="1"/>
        <v>1.0284123430269483</v>
      </c>
      <c r="AT15" s="46">
        <f t="shared" ca="1" si="2"/>
        <v>0.9744397752122409</v>
      </c>
      <c r="AU15" s="46">
        <f t="shared" ca="1" si="3"/>
        <v>0.94792482988751725</v>
      </c>
      <c r="AV15" s="46"/>
      <c r="AW15" s="46"/>
      <c r="AX15" s="57"/>
      <c r="AY15" s="58">
        <f t="shared" ca="1" si="11"/>
        <v>102.64427386385202</v>
      </c>
      <c r="AZ15" s="58">
        <f t="shared" ca="1" si="4"/>
        <v>102.84123430269483</v>
      </c>
      <c r="BA15" s="58">
        <f t="shared" ca="1" si="4"/>
        <v>97.443977521224085</v>
      </c>
      <c r="BB15" s="58">
        <f t="shared" ca="1" si="4"/>
        <v>94.792482988751729</v>
      </c>
      <c r="BD15" s="4">
        <v>9</v>
      </c>
      <c r="BE15" s="4">
        <f t="shared" si="12"/>
        <v>18</v>
      </c>
      <c r="BF15" s="3">
        <f t="shared" ca="1" si="5"/>
        <v>1844.8082077147476</v>
      </c>
      <c r="BG15" s="3">
        <f t="shared" ca="1" si="6"/>
        <v>1855.1756918360534</v>
      </c>
      <c r="BH15" s="3">
        <f t="shared" ca="1" si="7"/>
        <v>1749.7345204733192</v>
      </c>
      <c r="BI15" s="3">
        <f t="shared" ca="1" si="8"/>
        <v>1698.5078794897199</v>
      </c>
      <c r="BJ15" s="88"/>
      <c r="BK15" s="88"/>
      <c r="BL15" s="88"/>
      <c r="BM15" s="88"/>
      <c r="BN15" s="88"/>
      <c r="BO15" s="88"/>
    </row>
    <row r="16" spans="1:67">
      <c r="A16" s="23" t="s">
        <v>3</v>
      </c>
      <c r="B16" s="121">
        <f>IF(ISNUMBER(AN6), AN6/100, "n.a.")</f>
        <v>2.2631000000000002E-2</v>
      </c>
      <c r="D16" s="16" t="s">
        <v>89</v>
      </c>
      <c r="E16" s="22">
        <f>VLOOKUP($B$13&amp;":"&amp;E$5, $AG$65:$AI$76, 2, FALSE)</f>
        <v>0</v>
      </c>
      <c r="F16" s="22">
        <f>VLOOKUP($B$13&amp;":"&amp;F$5, $AG$65:$AI$76, 2, FALSE)</f>
        <v>217.80935683306524</v>
      </c>
      <c r="G16" s="22">
        <f>VLOOKUP($B$13&amp;":"&amp;G$5, $AG$65:$AI$76, 2, FALSE)</f>
        <v>193.9377488237426</v>
      </c>
      <c r="H16" s="20">
        <f>VLOOKUP($B$13&amp;":"&amp;H$5, $AG$65:$AI$76, 2, FALSE)</f>
        <v>95.07058551260883</v>
      </c>
      <c r="J16" s="39"/>
      <c r="K16" s="39"/>
      <c r="L16" s="39"/>
      <c r="M16" s="39"/>
      <c r="N16" s="39"/>
      <c r="O16" s="39"/>
      <c r="P16" s="39"/>
      <c r="Q16" s="39"/>
      <c r="R16" s="39"/>
      <c r="T16" s="39"/>
      <c r="U16" s="115"/>
      <c r="V16" s="39"/>
      <c r="W16" s="39"/>
      <c r="X16" s="39"/>
      <c r="Y16" s="39"/>
      <c r="Z16" s="83"/>
      <c r="AA16" s="83"/>
      <c r="AB16" s="83"/>
      <c r="AC16" s="4">
        <v>25</v>
      </c>
      <c r="AD16" s="3" t="str">
        <f>"EUBSVT"&amp;AC16&amp;" Curncy"</f>
        <v>EUBSVT25 Curncy</v>
      </c>
      <c r="AE16" s="3" t="str">
        <f t="shared" si="13"/>
        <v>JYBC25 Curncy</v>
      </c>
      <c r="AF16" s="3" t="str">
        <f t="shared" si="14"/>
        <v>BPSFVC25 Curncy</v>
      </c>
      <c r="AH16" s="31">
        <f>_xll.BDP(AD16, "px_last")</f>
        <v>2.8</v>
      </c>
      <c r="AI16" s="31">
        <f>_xll.BDP(AE16, "px_last")</f>
        <v>7.5</v>
      </c>
      <c r="AJ16" s="31">
        <f>_xll.BDP(AF16, "px_last")</f>
        <v>8.4499999999999993</v>
      </c>
      <c r="AM16" s="9"/>
      <c r="AO16" s="55"/>
      <c r="AP16" s="63"/>
      <c r="AQ16" s="66">
        <f t="shared" si="10"/>
        <v>5</v>
      </c>
      <c r="AR16" s="46">
        <f t="shared" ca="1" si="0"/>
        <v>1.0288256516186494</v>
      </c>
      <c r="AS16" s="46">
        <f t="shared" ca="1" si="1"/>
        <v>1.0323088895137102</v>
      </c>
      <c r="AT16" s="46">
        <f t="shared" ca="1" si="2"/>
        <v>0.97139056425357428</v>
      </c>
      <c r="AU16" s="46">
        <f t="shared" ca="1" si="3"/>
        <v>0.94220942956263665</v>
      </c>
      <c r="AV16" s="46"/>
      <c r="AW16" s="46"/>
      <c r="AX16" s="57"/>
      <c r="AY16" s="58">
        <f t="shared" ca="1" si="11"/>
        <v>102.88256516186493</v>
      </c>
      <c r="AZ16" s="58">
        <f t="shared" ca="1" si="4"/>
        <v>103.23088895137103</v>
      </c>
      <c r="BA16" s="58">
        <f t="shared" ca="1" si="4"/>
        <v>97.139056425357424</v>
      </c>
      <c r="BB16" s="58">
        <f t="shared" ca="1" si="4"/>
        <v>94.22094295626367</v>
      </c>
      <c r="BD16" s="4">
        <v>10</v>
      </c>
      <c r="BE16" s="4">
        <f t="shared" si="12"/>
        <v>20</v>
      </c>
      <c r="BF16" s="3">
        <f t="shared" ca="1" si="5"/>
        <v>2052.2428219046528</v>
      </c>
      <c r="BG16" s="3">
        <f t="shared" ca="1" si="6"/>
        <v>2068.3377428046697</v>
      </c>
      <c r="BH16" s="3">
        <f t="shared" ca="1" si="7"/>
        <v>1937.4723963538177</v>
      </c>
      <c r="BI16" s="3">
        <f t="shared" ca="1" si="8"/>
        <v>1874.7831502149713</v>
      </c>
      <c r="BJ16" s="88"/>
      <c r="BK16" s="88"/>
      <c r="BL16" s="88"/>
      <c r="BM16" s="88"/>
      <c r="BN16" s="88"/>
      <c r="BO16" s="88"/>
    </row>
    <row r="17" spans="1:70">
      <c r="A17" s="21"/>
      <c r="B17" s="22"/>
      <c r="D17" s="112" t="s">
        <v>86</v>
      </c>
      <c r="E17" s="78">
        <f t="shared" ref="E17:H18" si="15">$B$16*100-E15/100</f>
        <v>2.2631000000000001</v>
      </c>
      <c r="F17" s="78">
        <f t="shared" si="15"/>
        <v>0.14258694288104445</v>
      </c>
      <c r="G17" s="78">
        <f t="shared" si="15"/>
        <v>0.43899576547223207</v>
      </c>
      <c r="H17" s="113">
        <f t="shared" si="15"/>
        <v>1.3420169173802443</v>
      </c>
      <c r="J17" s="39"/>
      <c r="K17" s="49"/>
      <c r="L17" s="50"/>
      <c r="M17" s="54"/>
      <c r="N17" s="54"/>
      <c r="O17" s="54"/>
      <c r="P17" s="54"/>
      <c r="Q17" s="50"/>
      <c r="R17" s="39"/>
      <c r="T17" s="39"/>
      <c r="U17" s="115"/>
      <c r="V17" s="39"/>
      <c r="W17" s="39"/>
      <c r="X17" s="39"/>
      <c r="Y17" s="39"/>
      <c r="Z17" s="83"/>
      <c r="AA17" s="83"/>
      <c r="AB17" s="83"/>
      <c r="AC17" s="30">
        <v>30</v>
      </c>
      <c r="AD17" s="3" t="str">
        <f t="shared" ref="AD17:AD18" si="16">"EUBSVT"&amp;AC17&amp;" Curncy"</f>
        <v>EUBSVT30 Curncy</v>
      </c>
      <c r="AE17" s="3" t="str">
        <f t="shared" si="13"/>
        <v>JYBC30 Curncy</v>
      </c>
      <c r="AF17" s="3" t="str">
        <f t="shared" si="14"/>
        <v>BPSFVC30 Curncy</v>
      </c>
      <c r="AH17" s="31">
        <f>_xll.BDP(AD17, "px_last")</f>
        <v>2.2999999999999998</v>
      </c>
      <c r="AI17" s="31">
        <f>_xll.BDP(AE17, "px_last")</f>
        <v>7.6875</v>
      </c>
      <c r="AJ17" s="31">
        <f>_xll.BDP(AF17, "px_last")</f>
        <v>8.5</v>
      </c>
      <c r="AM17" s="9" t="s">
        <v>93</v>
      </c>
      <c r="AN17" s="3">
        <f>IF(ISNUMBER(B7), B7, AN18)</f>
        <v>99.713500749930589</v>
      </c>
      <c r="AO17" s="55"/>
      <c r="AP17" s="63"/>
      <c r="AQ17" s="66">
        <f t="shared" si="10"/>
        <v>5.5</v>
      </c>
      <c r="AR17" s="46">
        <f t="shared" ca="1" si="0"/>
        <v>1.0308500705801027</v>
      </c>
      <c r="AS17" s="46">
        <f t="shared" ca="1" si="1"/>
        <v>1.036108561469637</v>
      </c>
      <c r="AT17" s="46">
        <f t="shared" ca="1" si="2"/>
        <v>0.96831021997197109</v>
      </c>
      <c r="AU17" s="46">
        <f t="shared" ca="1" si="3"/>
        <v>0.9362016814875378</v>
      </c>
      <c r="AV17" s="46"/>
      <c r="AW17" s="46"/>
      <c r="AX17" s="57"/>
      <c r="AY17" s="58">
        <f t="shared" ca="1" si="11"/>
        <v>103.08500705801026</v>
      </c>
      <c r="AZ17" s="58">
        <f t="shared" ca="1" si="4"/>
        <v>103.6108561469637</v>
      </c>
      <c r="BA17" s="58">
        <f t="shared" ca="1" si="4"/>
        <v>96.831021997197112</v>
      </c>
      <c r="BB17" s="58">
        <f t="shared" ca="1" si="4"/>
        <v>93.620168148753777</v>
      </c>
      <c r="BD17" s="4">
        <v>15</v>
      </c>
      <c r="BE17" s="4">
        <f t="shared" si="12"/>
        <v>30</v>
      </c>
      <c r="BF17" s="3">
        <f t="shared" ca="1" si="5"/>
        <v>3081.0742171054899</v>
      </c>
      <c r="BG17" s="3">
        <f t="shared" ca="1" si="6"/>
        <v>3148.2424754711788</v>
      </c>
      <c r="BH17" s="3">
        <f t="shared" ca="1" si="7"/>
        <v>2853.1437312502503</v>
      </c>
      <c r="BI17" s="3">
        <f t="shared" ca="1" si="8"/>
        <v>2715.6584907040628</v>
      </c>
      <c r="BJ17" s="88"/>
      <c r="BK17" s="88"/>
      <c r="BL17" s="88"/>
      <c r="BM17" s="88"/>
      <c r="BN17" s="88"/>
      <c r="BO17" s="88"/>
    </row>
    <row r="18" spans="1:70">
      <c r="A18" s="21"/>
      <c r="B18" s="21"/>
      <c r="D18" s="85" t="s">
        <v>87</v>
      </c>
      <c r="E18" s="110">
        <f t="shared" si="15"/>
        <v>2.2631000000000001</v>
      </c>
      <c r="F18" s="110">
        <f t="shared" si="15"/>
        <v>8.5006431669347737E-2</v>
      </c>
      <c r="G18" s="110">
        <f t="shared" si="15"/>
        <v>0.32372251176257416</v>
      </c>
      <c r="H18" s="111">
        <f t="shared" si="15"/>
        <v>1.3123941448739118</v>
      </c>
      <c r="J18" s="39"/>
      <c r="K18" s="49"/>
      <c r="L18" s="50"/>
      <c r="M18" s="54"/>
      <c r="N18" s="54"/>
      <c r="O18" s="54"/>
      <c r="P18" s="54"/>
      <c r="Q18" s="50"/>
      <c r="R18" s="39"/>
      <c r="T18" s="39"/>
      <c r="U18" s="48"/>
      <c r="V18" s="39"/>
      <c r="W18" s="39"/>
      <c r="X18" s="39"/>
      <c r="Y18" s="39"/>
      <c r="Z18" s="83"/>
      <c r="AA18" s="83"/>
      <c r="AB18" s="83"/>
      <c r="AC18" s="4">
        <v>50</v>
      </c>
      <c r="AD18" s="3" t="str">
        <f t="shared" si="16"/>
        <v>EUBSVT50 Curncy</v>
      </c>
      <c r="AE18" s="3" t="str">
        <f t="shared" si="13"/>
        <v>JYBC50 Curncy</v>
      </c>
      <c r="AF18" s="3" t="str">
        <f t="shared" si="14"/>
        <v>BPSFVC50 Curncy</v>
      </c>
      <c r="AH18" s="33">
        <f>AH17</f>
        <v>2.2999999999999998</v>
      </c>
      <c r="AI18" s="33">
        <f>AI17</f>
        <v>7.6875</v>
      </c>
      <c r="AJ18" s="31">
        <f>_xll.BDP(AF18, "px_last")</f>
        <v>8.6</v>
      </c>
      <c r="AM18" s="9" t="s">
        <v>19</v>
      </c>
      <c r="AN18" s="3">
        <f>_xll.BDP(bondID&amp;" Corp", AM18, "YAS_ISPREAD_TO_GOVT="&amp;$B$8)</f>
        <v>99.713500749930589</v>
      </c>
      <c r="AO18" s="55"/>
      <c r="AP18" s="63"/>
      <c r="AQ18" s="66">
        <f t="shared" si="10"/>
        <v>6</v>
      </c>
      <c r="AR18" s="46">
        <f t="shared" ca="1" si="0"/>
        <v>1.0328738341594379</v>
      </c>
      <c r="AS18" s="46">
        <f t="shared" ca="1" si="1"/>
        <v>1.0399080563240448</v>
      </c>
      <c r="AT18" s="46">
        <f t="shared" ca="1" si="2"/>
        <v>0.96522981877387271</v>
      </c>
      <c r="AU18" s="46">
        <f t="shared" ca="1" si="3"/>
        <v>0.93019339895585718</v>
      </c>
      <c r="AV18" s="46"/>
      <c r="AW18" s="46"/>
      <c r="AX18" s="57"/>
      <c r="AY18" s="58">
        <f t="shared" ca="1" si="11"/>
        <v>103.28738341594379</v>
      </c>
      <c r="AZ18" s="58">
        <f t="shared" ca="1" si="4"/>
        <v>103.99080563240449</v>
      </c>
      <c r="BA18" s="58">
        <f t="shared" ca="1" si="4"/>
        <v>96.522981877387267</v>
      </c>
      <c r="BB18" s="58">
        <f t="shared" ca="1" si="4"/>
        <v>93.019339895585716</v>
      </c>
      <c r="BD18" s="4">
        <v>20</v>
      </c>
      <c r="BE18" s="4">
        <f t="shared" si="12"/>
        <v>40</v>
      </c>
      <c r="BF18" s="3">
        <f t="shared" ca="1" si="5"/>
        <v>4085.6343040683601</v>
      </c>
      <c r="BG18" s="3">
        <f t="shared" ca="1" si="6"/>
        <v>4246.9006620835107</v>
      </c>
      <c r="BH18" s="3">
        <f t="shared" ca="1" si="7"/>
        <v>3734.0241197521927</v>
      </c>
      <c r="BI18" s="3">
        <f t="shared" ca="1" si="8"/>
        <v>3491.872592175213</v>
      </c>
      <c r="BJ18" s="88"/>
      <c r="BK18" s="88"/>
      <c r="BL18" s="88"/>
      <c r="BM18" s="88"/>
      <c r="BN18" s="88"/>
      <c r="BO18" s="88"/>
    </row>
    <row r="19" spans="1:70">
      <c r="J19" s="70"/>
      <c r="K19" s="70"/>
      <c r="L19" s="70"/>
      <c r="M19" s="70"/>
      <c r="N19" s="34"/>
      <c r="O19" s="34"/>
      <c r="P19" s="34"/>
      <c r="Q19" s="34"/>
      <c r="R19" s="39"/>
      <c r="T19" s="39"/>
      <c r="U19" s="48"/>
      <c r="V19" s="39"/>
      <c r="W19" s="39"/>
      <c r="X19" s="39"/>
      <c r="Y19" s="39"/>
      <c r="Z19" s="83"/>
      <c r="AA19" s="83"/>
      <c r="AB19" s="83"/>
      <c r="AC19" s="83"/>
      <c r="AD19" s="83"/>
      <c r="AE19" s="39"/>
      <c r="AF19" s="4"/>
      <c r="AI19" s="4"/>
      <c r="AO19" s="55"/>
      <c r="AP19" s="63"/>
      <c r="AQ19" s="66">
        <f t="shared" si="10"/>
        <v>6.5</v>
      </c>
      <c r="AR19" s="46">
        <f t="shared" ca="1" si="0"/>
        <v>1.0342297223039185</v>
      </c>
      <c r="AS19" s="46">
        <f t="shared" ca="1" si="1"/>
        <v>1.0437894342541201</v>
      </c>
      <c r="AT19" s="46">
        <f t="shared" ca="1" si="2"/>
        <v>0.96201941861140283</v>
      </c>
      <c r="AU19" s="46">
        <f t="shared" ca="1" si="3"/>
        <v>0.92397859920167702</v>
      </c>
      <c r="AV19" s="46"/>
      <c r="AW19" s="46"/>
      <c r="AX19" s="57"/>
      <c r="AY19" s="58">
        <f t="shared" ca="1" si="11"/>
        <v>103.42297223039185</v>
      </c>
      <c r="AZ19" s="58">
        <f t="shared" ca="1" si="4"/>
        <v>104.378943425412</v>
      </c>
      <c r="BA19" s="58">
        <f t="shared" ca="1" si="4"/>
        <v>96.201941861140284</v>
      </c>
      <c r="BB19" s="58">
        <f t="shared" ca="1" si="4"/>
        <v>92.397859920167704</v>
      </c>
      <c r="BD19" s="4">
        <v>25</v>
      </c>
      <c r="BE19" s="4">
        <f t="shared" si="12"/>
        <v>50</v>
      </c>
      <c r="BF19" s="3">
        <f t="shared" ca="1" si="5"/>
        <v>5067.1159530953018</v>
      </c>
      <c r="BG19" s="3">
        <f t="shared" ca="1" si="6"/>
        <v>5361.7527633891468</v>
      </c>
      <c r="BH19" s="3">
        <f t="shared" ca="1" si="7"/>
        <v>4583.43228353823</v>
      </c>
      <c r="BI19" s="3">
        <f t="shared" ca="1" si="8"/>
        <v>4209.5593806673996</v>
      </c>
      <c r="BJ19" s="88"/>
      <c r="BK19" s="88"/>
      <c r="BL19" s="88"/>
      <c r="BM19" s="88"/>
      <c r="BN19" s="88"/>
      <c r="BO19" s="46"/>
    </row>
    <row r="20" spans="1:70">
      <c r="D20" s="60" t="s">
        <v>39</v>
      </c>
      <c r="J20" s="70"/>
      <c r="K20" s="70"/>
      <c r="L20" s="70"/>
      <c r="M20" s="70"/>
      <c r="N20" s="34"/>
      <c r="O20" s="34"/>
      <c r="P20" s="34"/>
      <c r="Q20" s="34"/>
      <c r="R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4"/>
      <c r="AO20" s="55"/>
      <c r="AP20" s="63"/>
      <c r="AQ20" s="66">
        <f t="shared" si="10"/>
        <v>7</v>
      </c>
      <c r="AR20" s="46">
        <f t="shared" ca="1" si="0"/>
        <v>1.0355824313018951</v>
      </c>
      <c r="AS20" s="46">
        <f t="shared" ca="1" si="1"/>
        <v>1.0476684918135373</v>
      </c>
      <c r="AT20" s="46">
        <f t="shared" ca="1" si="2"/>
        <v>0.95880770973315765</v>
      </c>
      <c r="AU20" s="46">
        <f t="shared" ca="1" si="3"/>
        <v>0.91776241559957783</v>
      </c>
      <c r="AV20" s="46"/>
      <c r="AW20" s="46"/>
      <c r="AX20" s="57"/>
      <c r="AY20" s="58">
        <f t="shared" ca="1" si="11"/>
        <v>103.55824313018951</v>
      </c>
      <c r="AZ20" s="58">
        <f t="shared" ca="1" si="4"/>
        <v>104.76684918135373</v>
      </c>
      <c r="BA20" s="58">
        <f t="shared" ca="1" si="4"/>
        <v>95.880770973315762</v>
      </c>
      <c r="BB20" s="58">
        <f t="shared" ca="1" si="4"/>
        <v>91.776241559957782</v>
      </c>
      <c r="BD20" s="4">
        <v>30</v>
      </c>
      <c r="BE20" s="4">
        <f t="shared" si="12"/>
        <v>60</v>
      </c>
      <c r="BF20" s="3">
        <f t="shared" ca="1" si="5"/>
        <v>6029.1925803166441</v>
      </c>
      <c r="BG20" s="3">
        <f t="shared" ca="1" si="6"/>
        <v>6492.2938930377777</v>
      </c>
      <c r="BH20" s="3">
        <f t="shared" ca="1" si="7"/>
        <v>5402.1680096228401</v>
      </c>
      <c r="BI20" s="3">
        <f t="shared" ca="1" si="8"/>
        <v>4875.8705653044535</v>
      </c>
      <c r="BJ20" s="88"/>
      <c r="BK20" s="88"/>
      <c r="BL20" s="88"/>
      <c r="BM20" s="88"/>
      <c r="BN20" s="88"/>
      <c r="BO20" s="46"/>
    </row>
    <row r="21" spans="1:70" ht="12.75">
      <c r="D21" s="90" t="s">
        <v>45</v>
      </c>
      <c r="E21" s="91"/>
      <c r="F21" s="91"/>
      <c r="G21" s="91"/>
      <c r="H21" s="91"/>
      <c r="J21" s="70"/>
      <c r="K21" s="70"/>
      <c r="L21" s="70"/>
      <c r="M21" s="72"/>
      <c r="N21" s="67"/>
      <c r="O21" s="67"/>
      <c r="P21" s="67"/>
      <c r="Q21" s="67"/>
      <c r="R21" s="39"/>
      <c r="T21" s="39"/>
      <c r="U21" s="115"/>
      <c r="V21" s="39"/>
      <c r="W21" s="39"/>
      <c r="X21" s="39"/>
      <c r="Y21" s="39"/>
      <c r="Z21" s="83"/>
      <c r="AA21" s="83"/>
      <c r="AB21" s="83"/>
      <c r="AC21" s="39"/>
      <c r="AD21" s="39"/>
      <c r="AE21" s="39"/>
      <c r="AF21" s="4"/>
      <c r="AO21" s="55"/>
      <c r="AP21" s="64"/>
      <c r="AQ21" s="66">
        <f t="shared" si="10"/>
        <v>7.5</v>
      </c>
      <c r="AR21" s="46">
        <f t="shared" ca="1" si="0"/>
        <v>1.036417953313346</v>
      </c>
      <c r="AS21" s="46">
        <f t="shared" ca="1" si="1"/>
        <v>1.0509537484098743</v>
      </c>
      <c r="AT21" s="46">
        <f t="shared" ca="1" si="2"/>
        <v>0.95532802975706799</v>
      </c>
      <c r="AU21" s="46">
        <f t="shared" ca="1" si="3"/>
        <v>0.91128911409678048</v>
      </c>
      <c r="AV21" s="46"/>
      <c r="AW21" s="46"/>
      <c r="AX21" s="57"/>
      <c r="AY21" s="58">
        <f t="shared" ca="1" si="11"/>
        <v>103.64179533133459</v>
      </c>
      <c r="AZ21" s="58">
        <f t="shared" ca="1" si="4"/>
        <v>105.09537484098743</v>
      </c>
      <c r="BA21" s="58">
        <f t="shared" ca="1" si="4"/>
        <v>95.532802975706801</v>
      </c>
      <c r="BB21" s="58">
        <f t="shared" ca="1" si="4"/>
        <v>91.128911409678054</v>
      </c>
      <c r="BD21" s="4">
        <v>35</v>
      </c>
      <c r="BE21" s="4">
        <f t="shared" si="12"/>
        <v>70</v>
      </c>
      <c r="BF21" s="3">
        <f t="shared" ref="BF21" ca="1" si="17">SUM(OFFSET(AY$6, 1, 0, $BE21, 1))</f>
        <v>6971.8641857323837</v>
      </c>
      <c r="BG21" s="3">
        <f t="shared" ref="BG21" ca="1" si="18">SUM(OFFSET(AZ$6, 1, 0, $BE21, 1))</f>
        <v>7638.5240510294034</v>
      </c>
      <c r="BH21" s="3">
        <f t="shared" ref="BH21" ca="1" si="19">SUM(OFFSET(BA$6, 1, 0, $BE21, 1))</f>
        <v>6190.2312980060224</v>
      </c>
      <c r="BI21" s="3">
        <f t="shared" ref="BI21" ca="1" si="20">SUM(OFFSET(BB$6, 1, 0, $BE21, 1))</f>
        <v>5500.5005178660349</v>
      </c>
      <c r="BJ21" s="88"/>
      <c r="BK21" s="88"/>
      <c r="BL21" s="88"/>
      <c r="BM21" s="88"/>
      <c r="BN21" s="88"/>
      <c r="BO21" s="46"/>
    </row>
    <row r="22" spans="1:70">
      <c r="J22" s="70"/>
      <c r="K22" s="70"/>
      <c r="L22" s="70"/>
      <c r="T22" s="39"/>
      <c r="U22" s="115"/>
      <c r="V22" s="39"/>
      <c r="W22" s="39"/>
      <c r="X22" s="39"/>
      <c r="Y22" s="39"/>
      <c r="Z22" s="83"/>
      <c r="AA22" s="83"/>
      <c r="AB22" s="83"/>
      <c r="AC22" s="39"/>
      <c r="AD22" s="39"/>
      <c r="AE22" s="39"/>
      <c r="AF22" s="4"/>
      <c r="AO22" s="55"/>
      <c r="AP22" s="63"/>
      <c r="AQ22" s="66">
        <f t="shared" si="10"/>
        <v>8</v>
      </c>
      <c r="AR22" s="46">
        <f t="shared" ca="1" si="0"/>
        <v>1.0372534753247966</v>
      </c>
      <c r="AS22" s="46">
        <f t="shared" ca="1" si="1"/>
        <v>1.0542390050062111</v>
      </c>
      <c r="AT22" s="46">
        <f t="shared" ca="1" si="2"/>
        <v>0.95184834978097821</v>
      </c>
      <c r="AU22" s="46">
        <f t="shared" ca="1" si="3"/>
        <v>0.90481581259398325</v>
      </c>
      <c r="AV22" s="46"/>
      <c r="AW22" s="46"/>
      <c r="AX22" s="57"/>
      <c r="AY22" s="58">
        <f t="shared" ca="1" si="11"/>
        <v>103.72534753247966</v>
      </c>
      <c r="AZ22" s="58">
        <f t="shared" ca="1" si="4"/>
        <v>105.42390050062112</v>
      </c>
      <c r="BA22" s="58">
        <f t="shared" ca="1" si="4"/>
        <v>95.184834978097825</v>
      </c>
      <c r="BB22" s="58">
        <f t="shared" ca="1" si="4"/>
        <v>90.481581259398325</v>
      </c>
      <c r="BJ22" s="46"/>
      <c r="BK22" s="46"/>
      <c r="BL22" s="46"/>
      <c r="BM22" s="46"/>
      <c r="BN22" s="46"/>
      <c r="BO22" s="46"/>
    </row>
    <row r="23" spans="1:70">
      <c r="J23" s="70"/>
      <c r="K23" s="70"/>
      <c r="L23" s="70"/>
      <c r="T23" s="39"/>
      <c r="U23" s="115"/>
      <c r="V23" s="39"/>
      <c r="W23" s="39"/>
      <c r="X23" s="39"/>
      <c r="Y23" s="39"/>
      <c r="Z23" s="83"/>
      <c r="AA23" s="83"/>
      <c r="AB23" s="83"/>
      <c r="AC23" s="83"/>
      <c r="AD23" s="83"/>
      <c r="AE23" s="39"/>
      <c r="AF23" s="4"/>
      <c r="AK23" s="4" t="s">
        <v>12</v>
      </c>
      <c r="AL23" s="4" t="s">
        <v>13</v>
      </c>
      <c r="AM23" s="4" t="s">
        <v>14</v>
      </c>
      <c r="AN23" s="4" t="s">
        <v>20</v>
      </c>
      <c r="AO23" s="46"/>
      <c r="AP23" s="63"/>
      <c r="AQ23" s="66">
        <f t="shared" si="10"/>
        <v>8.5</v>
      </c>
      <c r="AR23" s="46">
        <f t="shared" ca="1" si="0"/>
        <v>1.0374930864864016</v>
      </c>
      <c r="AS23" s="46">
        <f t="shared" ca="1" si="1"/>
        <v>1.0576990010186538</v>
      </c>
      <c r="AT23" s="46">
        <f t="shared" ca="1" si="2"/>
        <v>0.94814991249494485</v>
      </c>
      <c r="AU23" s="46">
        <f t="shared" ca="1" si="3"/>
        <v>0.89816952289885177</v>
      </c>
      <c r="AV23" s="46"/>
      <c r="AW23" s="46"/>
      <c r="AX23" s="57"/>
      <c r="AY23" s="58">
        <f t="shared" ca="1" si="11"/>
        <v>103.74930864864015</v>
      </c>
      <c r="AZ23" s="58">
        <f t="shared" ref="AZ23:AZ66" ca="1" si="21">$AR$2*AS23</f>
        <v>105.76990010186537</v>
      </c>
      <c r="BA23" s="58">
        <f t="shared" ref="BA23:BA66" ca="1" si="22">$AR$2*AT23</f>
        <v>94.814991249494483</v>
      </c>
      <c r="BB23" s="58">
        <f t="shared" ref="BB23:BB66" ca="1" si="23">$AR$2*AU23</f>
        <v>89.81695228988518</v>
      </c>
      <c r="BF23" s="95" t="str">
        <f>BF5</f>
        <v>EUR</v>
      </c>
      <c r="BG23" s="95" t="str">
        <f t="shared" ref="BG23:BI23" si="24">BG5</f>
        <v>JPY</v>
      </c>
      <c r="BH23" s="95" t="str">
        <f t="shared" si="24"/>
        <v>GBP</v>
      </c>
      <c r="BI23" s="95" t="str">
        <f t="shared" si="24"/>
        <v>USD</v>
      </c>
      <c r="BJ23" s="88"/>
      <c r="BK23" s="88"/>
      <c r="BL23" s="88"/>
      <c r="BM23" s="46"/>
      <c r="BN23" s="46"/>
      <c r="BO23" s="46"/>
    </row>
    <row r="24" spans="1:70" ht="12.75">
      <c r="A24" s="122" t="s">
        <v>94</v>
      </c>
      <c r="B24" s="122"/>
      <c r="C24" s="122"/>
      <c r="D24" s="122"/>
      <c r="E24" s="122"/>
      <c r="F24" s="122"/>
      <c r="G24" s="122"/>
      <c r="H24" s="122"/>
      <c r="I24" s="125"/>
      <c r="J24" s="70"/>
      <c r="K24" s="70"/>
      <c r="L24" s="70"/>
      <c r="T24" s="39"/>
      <c r="U24" s="115"/>
      <c r="V24" s="39"/>
      <c r="W24" s="39"/>
      <c r="X24" s="39"/>
      <c r="Y24" s="39"/>
      <c r="Z24" s="83"/>
      <c r="AA24" s="83"/>
      <c r="AB24" s="83"/>
      <c r="AC24" s="83"/>
      <c r="AD24" s="83"/>
      <c r="AE24" s="39"/>
      <c r="AJ24" s="4" t="s">
        <v>47</v>
      </c>
      <c r="AK24" s="94">
        <f ca="1">InterpLinearLocal($AC$111:$AC$127, $AG$111:$AG$127, $AN$15)</f>
        <v>-15.820734286580233</v>
      </c>
      <c r="AL24" s="94">
        <f ca="1">InterpLinearLocal($AI$111:$AI$128, $AM$111:$AM$128, $AN$15)</f>
        <v>-50.278077152382558</v>
      </c>
      <c r="AM24" s="94">
        <f ca="1">InterpLinearLocal($AO$111:$AO$127, $AS$111:$AS$127, $AN$15)</f>
        <v>4.4786714329011623</v>
      </c>
      <c r="AN24" s="4">
        <v>0</v>
      </c>
      <c r="AO24" s="46"/>
      <c r="AP24" s="63"/>
      <c r="AQ24" s="66">
        <f t="shared" si="10"/>
        <v>9</v>
      </c>
      <c r="AR24" s="46">
        <f t="shared" ca="1" si="0"/>
        <v>1.0377316082314618</v>
      </c>
      <c r="AS24" s="46">
        <f t="shared" ca="1" si="1"/>
        <v>1.0611593164815829</v>
      </c>
      <c r="AT24" s="46">
        <f t="shared" ca="1" si="2"/>
        <v>0.94445107528695538</v>
      </c>
      <c r="AU24" s="46">
        <f t="shared" ca="1" si="3"/>
        <v>0.89152291695473984</v>
      </c>
      <c r="AV24" s="46"/>
      <c r="AW24" s="46"/>
      <c r="AX24" s="57"/>
      <c r="AY24" s="58">
        <f t="shared" ca="1" si="11"/>
        <v>103.77316082314618</v>
      </c>
      <c r="AZ24" s="58">
        <f t="shared" ca="1" si="21"/>
        <v>106.11593164815829</v>
      </c>
      <c r="BA24" s="58">
        <f t="shared" ca="1" si="22"/>
        <v>94.445107528695544</v>
      </c>
      <c r="BB24" s="58">
        <f t="shared" ca="1" si="23"/>
        <v>89.152291695473991</v>
      </c>
      <c r="BF24" s="95">
        <f ca="1">InterpLinearLocal($BD$6:$BD$21, BF6:BF21, $AN$15)</f>
        <v>1754.8960084158832</v>
      </c>
      <c r="BG24" s="95">
        <f ca="1">InterpLinearLocal($BD$6:$BD$21, BG6:BG21, $AN$15)</f>
        <v>1763.3730008724906</v>
      </c>
      <c r="BH24" s="95">
        <f ca="1">InterpLinearLocal($BD$6:$BD$21, BH6:BH21, $AN$15)</f>
        <v>1667.7347651505304</v>
      </c>
      <c r="BI24" s="95">
        <f ca="1">InterpLinearLocal($BD$6:$BD$21, BI6:BI21, $AN$15)</f>
        <v>1620.9667902065353</v>
      </c>
      <c r="BJ24" s="88"/>
      <c r="BK24" s="46"/>
      <c r="BL24" s="46"/>
      <c r="BM24" s="88"/>
      <c r="BN24" s="88"/>
      <c r="BO24" s="46"/>
    </row>
    <row r="25" spans="1:70" ht="12.75">
      <c r="A25" s="122" t="s">
        <v>95</v>
      </c>
      <c r="B25" s="122"/>
      <c r="C25" s="122"/>
      <c r="D25" s="122"/>
      <c r="E25" s="122"/>
      <c r="F25" s="122"/>
      <c r="G25" s="126"/>
      <c r="H25" s="126"/>
      <c r="J25" s="70"/>
      <c r="K25" s="70"/>
      <c r="L25" s="70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J25" s="4" t="s">
        <v>48</v>
      </c>
      <c r="AK25" s="94">
        <f ca="1">InterpLinearLocal($AC$7:$AC$18, $AH$7:$AH$18, $AN$15)</f>
        <v>6.0605407255304593</v>
      </c>
      <c r="AL25" s="94">
        <f ca="1">InterpLinearLocal($AC$7:$AC$18, $AI$7:$AI$18, $AN$15)</f>
        <v>7.1958418891170428</v>
      </c>
      <c r="AM25" s="94">
        <f ca="1">InterpLinearLocal($AC$7:$AC$18, $AJ$7:$AJ$18, $AN$15)</f>
        <v>7.6566735112936346</v>
      </c>
      <c r="AN25" s="4">
        <v>0</v>
      </c>
      <c r="AO25" s="46"/>
      <c r="AP25" s="63"/>
      <c r="AQ25" s="66">
        <f t="shared" si="10"/>
        <v>9.5</v>
      </c>
      <c r="AR25" s="46">
        <f t="shared" ca="1" si="0"/>
        <v>1.0373595848639667</v>
      </c>
      <c r="AS25" s="46">
        <f t="shared" ca="1" si="1"/>
        <v>1.0642601392002771</v>
      </c>
      <c r="AT25" s="46">
        <f t="shared" ca="1" si="2"/>
        <v>0.94061002268765659</v>
      </c>
      <c r="AU25" s="46">
        <f t="shared" ca="1" si="3"/>
        <v>0.88475860595139533</v>
      </c>
      <c r="AV25" s="46"/>
      <c r="AW25" s="46"/>
      <c r="AX25" s="57"/>
      <c r="AY25" s="58">
        <f t="shared" ca="1" si="11"/>
        <v>103.73595848639667</v>
      </c>
      <c r="AZ25" s="58">
        <f t="shared" ca="1" si="21"/>
        <v>106.42601392002771</v>
      </c>
      <c r="BA25" s="58">
        <f t="shared" ca="1" si="22"/>
        <v>94.061002268765662</v>
      </c>
      <c r="BB25" s="58">
        <f t="shared" ca="1" si="23"/>
        <v>88.475860595139537</v>
      </c>
    </row>
    <row r="26" spans="1:70">
      <c r="A26" s="73"/>
      <c r="C26" s="74"/>
      <c r="J26" s="70"/>
      <c r="K26" s="69"/>
      <c r="L26" s="70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J26" s="4" t="s">
        <v>49</v>
      </c>
      <c r="AK26" s="94">
        <f ca="1">InterpLinearLocal($BA$111:$BA$142, $BE$111:$BE$142, $AN$15)</f>
        <v>-0.204982870772103</v>
      </c>
      <c r="AL26" s="94">
        <f ca="1">InterpLinearLocal($BM$111:$BM$134, $BQ$111:$BQ$134, $AN$15)</f>
        <v>-7.5628797376743537E-2</v>
      </c>
      <c r="AM26" s="94">
        <f ca="1">InterpLinearLocal($BG$111:$BG$135, $BK$111:$BK$135, $AN$15)</f>
        <v>0.66312549476344718</v>
      </c>
      <c r="AN26" s="94">
        <f ca="1">InterpLinearLocal($AU$111:$AU$134, $AY$111:$AY$134, $AN$15)</f>
        <v>1.2665902698867824</v>
      </c>
      <c r="AO26" s="46"/>
      <c r="AP26" s="63"/>
      <c r="AQ26" s="66">
        <f t="shared" si="10"/>
        <v>10</v>
      </c>
      <c r="AR26" s="46">
        <f t="shared" ca="1" si="0"/>
        <v>1.0369865570350854</v>
      </c>
      <c r="AS26" s="46">
        <f t="shared" ca="1" si="1"/>
        <v>1.0673603704858849</v>
      </c>
      <c r="AT26" s="46">
        <f t="shared" ca="1" si="2"/>
        <v>0.93676873611732758</v>
      </c>
      <c r="AU26" s="46">
        <f t="shared" ca="1" si="3"/>
        <v>0.87799410130112032</v>
      </c>
      <c r="AV26" s="46"/>
      <c r="AW26" s="46"/>
      <c r="AX26" s="57"/>
      <c r="AY26" s="58">
        <f t="shared" ca="1" si="11"/>
        <v>103.69865570350854</v>
      </c>
      <c r="AZ26" s="58">
        <f t="shared" ca="1" si="21"/>
        <v>106.7360370485885</v>
      </c>
      <c r="BA26" s="58">
        <f t="shared" ca="1" si="22"/>
        <v>93.676873611732759</v>
      </c>
      <c r="BB26" s="58">
        <f t="shared" ca="1" si="23"/>
        <v>87.799410130112037</v>
      </c>
    </row>
    <row r="27" spans="1:70">
      <c r="A27" s="75"/>
      <c r="B27" s="74"/>
      <c r="C27" s="76"/>
      <c r="F27" s="77"/>
      <c r="J27" s="70"/>
      <c r="K27" s="70"/>
      <c r="L27" s="70"/>
      <c r="T27" s="4"/>
      <c r="AO27" s="46"/>
      <c r="AP27" s="63"/>
      <c r="AQ27" s="66">
        <f t="shared" si="10"/>
        <v>10.5</v>
      </c>
      <c r="AR27" s="46">
        <f t="shared" ca="1" si="0"/>
        <v>1.0359311821143977</v>
      </c>
      <c r="AS27" s="46">
        <f t="shared" ca="1" si="1"/>
        <v>1.0697745839851198</v>
      </c>
      <c r="AT27" s="46">
        <f t="shared" ca="1" si="2"/>
        <v>0.9328769209318819</v>
      </c>
      <c r="AU27" s="46">
        <f t="shared" ca="1" si="3"/>
        <v>0.87119323281986349</v>
      </c>
      <c r="AV27" s="46"/>
      <c r="AW27" s="46"/>
      <c r="AX27" s="57"/>
      <c r="AY27" s="58">
        <f t="shared" ca="1" si="11"/>
        <v>103.59311821143977</v>
      </c>
      <c r="AZ27" s="58">
        <f t="shared" ca="1" si="21"/>
        <v>106.97745839851198</v>
      </c>
      <c r="BA27" s="58">
        <f t="shared" ca="1" si="22"/>
        <v>93.287692093188184</v>
      </c>
      <c r="BB27" s="58">
        <f t="shared" ca="1" si="23"/>
        <v>87.119323281986354</v>
      </c>
    </row>
    <row r="28" spans="1:70">
      <c r="A28" s="75"/>
      <c r="C28" s="76"/>
      <c r="D28" s="26"/>
      <c r="E28" s="26"/>
      <c r="F28" s="77"/>
      <c r="J28" s="34"/>
      <c r="K28" s="71"/>
      <c r="L28" s="34"/>
      <c r="T28" s="4"/>
      <c r="AF28" s="4"/>
      <c r="AO28" s="46"/>
      <c r="AP28" s="63"/>
      <c r="AQ28" s="66">
        <f t="shared" si="10"/>
        <v>11</v>
      </c>
      <c r="AR28" s="46">
        <f t="shared" ca="1" si="0"/>
        <v>1.0348747867344501</v>
      </c>
      <c r="AS28" s="46">
        <f t="shared" ca="1" si="1"/>
        <v>1.0721877715355215</v>
      </c>
      <c r="AT28" s="46">
        <f t="shared" ca="1" si="2"/>
        <v>0.92898503018021228</v>
      </c>
      <c r="AU28" s="46">
        <f t="shared" ca="1" si="3"/>
        <v>0.86439230995600802</v>
      </c>
      <c r="AV28" s="46"/>
      <c r="AW28" s="46"/>
      <c r="AX28" s="57"/>
      <c r="AY28" s="58">
        <f t="shared" ca="1" si="11"/>
        <v>103.48747867344501</v>
      </c>
      <c r="AZ28" s="58">
        <f t="shared" ca="1" si="21"/>
        <v>107.21877715355215</v>
      </c>
      <c r="BA28" s="58">
        <f t="shared" ca="1" si="22"/>
        <v>92.898503018021231</v>
      </c>
      <c r="BB28" s="58">
        <f t="shared" ca="1" si="23"/>
        <v>86.439230995600809</v>
      </c>
    </row>
    <row r="29" spans="1:70">
      <c r="D29" s="74"/>
      <c r="E29" s="74"/>
      <c r="J29" s="34"/>
      <c r="K29" s="34"/>
      <c r="L29" s="34"/>
      <c r="T29" s="30"/>
      <c r="AF29" s="4"/>
      <c r="AG29" s="46"/>
      <c r="AH29" s="58"/>
      <c r="AI29" s="56" t="s">
        <v>55</v>
      </c>
      <c r="AJ29" s="46"/>
      <c r="AK29" s="4" t="s">
        <v>56</v>
      </c>
      <c r="AL29" s="46"/>
      <c r="AM29" s="58"/>
      <c r="AN29" s="46"/>
      <c r="AO29" s="63"/>
      <c r="AP29" s="65"/>
      <c r="AQ29" s="66">
        <f t="shared" si="10"/>
        <v>11.5</v>
      </c>
      <c r="AR29" s="46">
        <f t="shared" ca="1" si="0"/>
        <v>1.0338183913545025</v>
      </c>
      <c r="AS29" s="46">
        <f t="shared" ca="1" si="1"/>
        <v>1.0746009590859231</v>
      </c>
      <c r="AT29" s="46">
        <f t="shared" ca="1" si="2"/>
        <v>0.92509313942854265</v>
      </c>
      <c r="AU29" s="46">
        <f t="shared" ca="1" si="3"/>
        <v>0.85757524673800944</v>
      </c>
      <c r="AV29" s="46"/>
      <c r="AW29" s="46"/>
      <c r="AX29" s="57"/>
      <c r="AY29" s="58">
        <f t="shared" ca="1" si="11"/>
        <v>103.38183913545025</v>
      </c>
      <c r="AZ29" s="58">
        <f t="shared" ca="1" si="21"/>
        <v>107.46009590859231</v>
      </c>
      <c r="BA29" s="58">
        <f t="shared" ca="1" si="22"/>
        <v>92.509313942854263</v>
      </c>
      <c r="BB29" s="58">
        <f t="shared" ca="1" si="23"/>
        <v>85.757524673800944</v>
      </c>
      <c r="BD29" s="46"/>
      <c r="BE29" s="46"/>
      <c r="BF29" s="46" t="s">
        <v>28</v>
      </c>
      <c r="BG29" s="46"/>
      <c r="BH29" s="46"/>
      <c r="BI29" s="46"/>
      <c r="BJ29" s="46"/>
      <c r="BK29" s="46"/>
      <c r="BL29" s="46"/>
      <c r="BM29" s="46"/>
      <c r="BN29" s="46"/>
    </row>
    <row r="30" spans="1:70">
      <c r="J30" s="34"/>
      <c r="K30" s="34"/>
      <c r="L30" s="34"/>
      <c r="T30" s="4"/>
      <c r="AF30" s="4"/>
      <c r="AG30" s="62" t="s">
        <v>51</v>
      </c>
      <c r="AH30" s="62" t="s">
        <v>57</v>
      </c>
      <c r="AI30" s="98" t="s">
        <v>50</v>
      </c>
      <c r="AJ30" s="97" t="s">
        <v>51</v>
      </c>
      <c r="AK30" s="98" t="s">
        <v>50</v>
      </c>
      <c r="AL30" s="62" t="s">
        <v>51</v>
      </c>
      <c r="AM30" s="99" t="s">
        <v>28</v>
      </c>
      <c r="AN30" s="62" t="s">
        <v>30</v>
      </c>
      <c r="AO30" s="98" t="s">
        <v>54</v>
      </c>
      <c r="AP30" s="65"/>
      <c r="AQ30" s="66">
        <f t="shared" si="10"/>
        <v>12</v>
      </c>
      <c r="AR30" s="46">
        <f t="shared" ca="1" si="0"/>
        <v>1.0327577670287167</v>
      </c>
      <c r="AS30" s="46">
        <f t="shared" ca="1" si="1"/>
        <v>1.0770128321788299</v>
      </c>
      <c r="AT30" s="46">
        <f t="shared" ca="1" si="2"/>
        <v>0.92120180374194216</v>
      </c>
      <c r="AU30" s="46">
        <f t="shared" ca="1" si="3"/>
        <v>0.85075878226505219</v>
      </c>
      <c r="AV30" s="46"/>
      <c r="AW30" s="46"/>
      <c r="AX30" s="57"/>
      <c r="AY30" s="58">
        <f t="shared" ca="1" si="11"/>
        <v>103.27577670287167</v>
      </c>
      <c r="AZ30" s="58">
        <f t="shared" ca="1" si="21"/>
        <v>107.70128321788299</v>
      </c>
      <c r="BA30" s="58">
        <f t="shared" ca="1" si="22"/>
        <v>92.12018037419422</v>
      </c>
      <c r="BB30" s="58">
        <f t="shared" ca="1" si="23"/>
        <v>85.075878226505225</v>
      </c>
      <c r="BD30" s="46"/>
      <c r="BE30" s="46"/>
      <c r="BF30" s="96" t="s">
        <v>50</v>
      </c>
      <c r="BG30" s="62" t="s">
        <v>20</v>
      </c>
      <c r="BH30" s="62" t="s">
        <v>20</v>
      </c>
      <c r="BI30" s="62" t="s">
        <v>20</v>
      </c>
      <c r="BJ30" s="62" t="s">
        <v>20</v>
      </c>
      <c r="BK30" s="62" t="s">
        <v>12</v>
      </c>
      <c r="BL30" s="62" t="s">
        <v>12</v>
      </c>
      <c r="BM30" s="62" t="s">
        <v>12</v>
      </c>
      <c r="BN30" s="62" t="s">
        <v>12</v>
      </c>
      <c r="BO30" s="61" t="s">
        <v>14</v>
      </c>
      <c r="BP30" s="4" t="s">
        <v>14</v>
      </c>
      <c r="BQ30" s="4" t="s">
        <v>14</v>
      </c>
      <c r="BR30" s="4" t="s">
        <v>14</v>
      </c>
    </row>
    <row r="31" spans="1:70">
      <c r="J31" s="34"/>
      <c r="K31" s="34"/>
      <c r="L31" s="34"/>
      <c r="T31" s="4"/>
      <c r="AF31" s="4"/>
      <c r="AG31" s="62" t="s">
        <v>20</v>
      </c>
      <c r="AH31" s="62">
        <f>ISpread</f>
        <v>99.713500749930589</v>
      </c>
      <c r="AI31" s="97">
        <f>-HLOOKUP($AN$12, $AK$23:$AN$26, 2, FALSE)</f>
        <v>0</v>
      </c>
      <c r="AJ31" s="97">
        <f>HLOOKUP($AG31, $AK$23:$AN$26, 2, FALSE)</f>
        <v>0</v>
      </c>
      <c r="AK31" s="97">
        <f>HLOOKUP($AN$12, $AK$23:$AN$26, 3, FALSE)</f>
        <v>0</v>
      </c>
      <c r="AL31" s="97">
        <f>-HLOOKUP($AG31, $AK$23:$AN$26, 3, FALSE)</f>
        <v>0</v>
      </c>
      <c r="AM31" s="89">
        <f ca="1">HLOOKUP($AN$12&amp;":"&amp;$AG31, $BG$32:$BR$33, 2, FALSE)</f>
        <v>1</v>
      </c>
      <c r="AN31" s="89">
        <f ca="1">(AH31+AI31+AK31)*(AM31-1)</f>
        <v>0</v>
      </c>
      <c r="AO31" s="100">
        <f ca="1">AH31+AI31+AJ31+AK31+AL31+AN31</f>
        <v>99.713500749930589</v>
      </c>
      <c r="AP31" s="65"/>
      <c r="AQ31" s="66">
        <f t="shared" si="10"/>
        <v>12.5</v>
      </c>
      <c r="AR31" s="46">
        <f t="shared" ca="1" si="0"/>
        <v>1.0305856347717646</v>
      </c>
      <c r="AS31" s="46">
        <f t="shared" ca="1" si="1"/>
        <v>1.0790792220267689</v>
      </c>
      <c r="AT31" s="46">
        <f t="shared" ca="1" si="2"/>
        <v>0.91745635765766087</v>
      </c>
      <c r="AU31" s="46">
        <f t="shared" ca="1" si="3"/>
        <v>0.84410550319465516</v>
      </c>
      <c r="AV31" s="46"/>
      <c r="AW31" s="46"/>
      <c r="AX31" s="46"/>
      <c r="AY31" s="58">
        <f t="shared" ca="1" si="11"/>
        <v>103.05856347717646</v>
      </c>
      <c r="AZ31" s="58">
        <f t="shared" ca="1" si="21"/>
        <v>107.90792220267689</v>
      </c>
      <c r="BA31" s="58">
        <f t="shared" ca="1" si="22"/>
        <v>91.745635765766082</v>
      </c>
      <c r="BB31" s="58">
        <f t="shared" ca="1" si="23"/>
        <v>84.410550319465514</v>
      </c>
      <c r="BD31" s="62"/>
      <c r="BE31" s="62"/>
      <c r="BF31" s="96" t="s">
        <v>51</v>
      </c>
      <c r="BG31" s="62" t="s">
        <v>20</v>
      </c>
      <c r="BH31" s="62" t="s">
        <v>12</v>
      </c>
      <c r="BI31" s="62" t="s">
        <v>14</v>
      </c>
      <c r="BJ31" s="62" t="s">
        <v>13</v>
      </c>
      <c r="BK31" s="62" t="s">
        <v>20</v>
      </c>
      <c r="BL31" s="62" t="s">
        <v>12</v>
      </c>
      <c r="BM31" s="62" t="s">
        <v>14</v>
      </c>
      <c r="BN31" s="62" t="s">
        <v>13</v>
      </c>
      <c r="BO31" s="61" t="s">
        <v>20</v>
      </c>
      <c r="BP31" s="4" t="s">
        <v>12</v>
      </c>
      <c r="BQ31" s="4" t="s">
        <v>14</v>
      </c>
      <c r="BR31" s="4" t="s">
        <v>13</v>
      </c>
    </row>
    <row r="32" spans="1:70">
      <c r="J32" s="34"/>
      <c r="K32" s="34"/>
      <c r="L32" s="34"/>
      <c r="T32" s="4"/>
      <c r="AF32" s="4"/>
      <c r="AG32" s="62" t="s">
        <v>12</v>
      </c>
      <c r="AH32" s="62">
        <f>ISpread</f>
        <v>99.713500749930589</v>
      </c>
      <c r="AI32" s="97">
        <f>-HLOOKUP($AN$12, $AK$23:$AN$26, 2, FALSE)</f>
        <v>0</v>
      </c>
      <c r="AJ32" s="97">
        <f ca="1">HLOOKUP($AG32, $AK$23:$AN$26, 2, FALSE)</f>
        <v>-15.820734286580233</v>
      </c>
      <c r="AK32" s="97">
        <f>HLOOKUP($AN$12, $AK$23:$AN$26, 3, FALSE)</f>
        <v>0</v>
      </c>
      <c r="AL32" s="97">
        <f ca="1">-HLOOKUP($AG32, $AK$23:$AN$26, 3, FALSE)</f>
        <v>-6.0605407255304593</v>
      </c>
      <c r="AM32" s="89">
        <f ca="1">HLOOKUP($AN$12&amp;":"&amp;$AG32, $BG$32:$BR$33, 2, FALSE)</f>
        <v>0.92368253300077663</v>
      </c>
      <c r="AN32" s="89">
        <f t="shared" ref="AN32:AN34" ca="1" si="25">(AH32+AI32+AK32)*(AM32-1)</f>
        <v>-7.6098818028598627</v>
      </c>
      <c r="AO32" s="100">
        <f t="shared" ref="AO32:AO34" ca="1" si="26">AH32+AI32+AJ32+AK32+AL32+AN32</f>
        <v>70.222343934960037</v>
      </c>
      <c r="AP32" s="65"/>
      <c r="AQ32" s="66">
        <f t="shared" si="10"/>
        <v>13</v>
      </c>
      <c r="AR32" s="46">
        <f t="shared" ca="1" si="0"/>
        <v>1.0284135025148127</v>
      </c>
      <c r="AS32" s="46">
        <f t="shared" ca="1" si="1"/>
        <v>1.081145611874708</v>
      </c>
      <c r="AT32" s="46">
        <f t="shared" ca="1" si="2"/>
        <v>0.91371091157337969</v>
      </c>
      <c r="AU32" s="46">
        <f t="shared" ca="1" si="3"/>
        <v>0.83745222412425813</v>
      </c>
      <c r="AV32" s="46"/>
      <c r="AW32" s="46"/>
      <c r="AX32" s="46"/>
      <c r="AY32" s="58">
        <f t="shared" ca="1" si="11"/>
        <v>102.84135025148127</v>
      </c>
      <c r="AZ32" s="58">
        <f t="shared" ca="1" si="21"/>
        <v>108.1145611874708</v>
      </c>
      <c r="BA32" s="58">
        <f t="shared" ca="1" si="22"/>
        <v>91.371091157337972</v>
      </c>
      <c r="BB32" s="58">
        <f t="shared" ca="1" si="23"/>
        <v>83.745222412425818</v>
      </c>
      <c r="BD32" s="62"/>
      <c r="BE32" s="62"/>
      <c r="BF32" s="96" t="s">
        <v>59</v>
      </c>
      <c r="BG32" s="62" t="str">
        <f>BG30&amp;":"&amp;BG31</f>
        <v>USD:USD</v>
      </c>
      <c r="BH32" s="62" t="str">
        <f t="shared" ref="BH32:BR32" si="27">BH30&amp;":"&amp;BH31</f>
        <v>USD:EUR</v>
      </c>
      <c r="BI32" s="62" t="str">
        <f t="shared" si="27"/>
        <v>USD:GBP</v>
      </c>
      <c r="BJ32" s="62" t="str">
        <f t="shared" si="27"/>
        <v>USD:JPY</v>
      </c>
      <c r="BK32" s="62" t="str">
        <f t="shared" si="27"/>
        <v>EUR:USD</v>
      </c>
      <c r="BL32" s="62" t="str">
        <f t="shared" si="27"/>
        <v>EUR:EUR</v>
      </c>
      <c r="BM32" s="62" t="str">
        <f t="shared" si="27"/>
        <v>EUR:GBP</v>
      </c>
      <c r="BN32" s="62" t="str">
        <f t="shared" si="27"/>
        <v>EUR:JPY</v>
      </c>
      <c r="BO32" s="62" t="str">
        <f t="shared" si="27"/>
        <v>GBP:USD</v>
      </c>
      <c r="BP32" s="62" t="str">
        <f t="shared" si="27"/>
        <v>GBP:EUR</v>
      </c>
      <c r="BQ32" s="62" t="str">
        <f t="shared" si="27"/>
        <v>GBP:GBP</v>
      </c>
      <c r="BR32" s="62" t="str">
        <f t="shared" si="27"/>
        <v>GBP:JPY</v>
      </c>
    </row>
    <row r="33" spans="1:74">
      <c r="J33" s="34"/>
      <c r="K33" s="34"/>
      <c r="L33" s="34"/>
      <c r="T33" s="4"/>
      <c r="AF33" s="4"/>
      <c r="AG33" s="62" t="s">
        <v>13</v>
      </c>
      <c r="AH33" s="62">
        <f>ISpread</f>
        <v>99.713500749930589</v>
      </c>
      <c r="AI33" s="97">
        <f>-HLOOKUP($AN$12, $AK$23:$AN$26, 2, FALSE)</f>
        <v>0</v>
      </c>
      <c r="AJ33" s="97">
        <f ca="1">HLOOKUP($AG33, $AK$23:$AN$26, 2, FALSE)</f>
        <v>-50.278077152382558</v>
      </c>
      <c r="AK33" s="97">
        <f>HLOOKUP($AN$12, $AK$23:$AN$26, 3, FALSE)</f>
        <v>0</v>
      </c>
      <c r="AL33" s="97">
        <f ca="1">-HLOOKUP($AG33, $AK$23:$AN$26, 3, FALSE)</f>
        <v>-7.1958418891170428</v>
      </c>
      <c r="AM33" s="89">
        <f ca="1">HLOOKUP($AN$12&amp;":"&amp;$AG33, $BG$32:$BR$33, 2, FALSE)</f>
        <v>0.91924215092581385</v>
      </c>
      <c r="AN33" s="89">
        <f t="shared" ca="1" si="25"/>
        <v>-8.0526478442216423</v>
      </c>
      <c r="AO33" s="100">
        <f t="shared" ca="1" si="26"/>
        <v>34.186933864209351</v>
      </c>
      <c r="AP33" s="65"/>
      <c r="AQ33" s="66">
        <f t="shared" si="10"/>
        <v>13.5</v>
      </c>
      <c r="AR33" s="46">
        <f t="shared" ca="1" si="0"/>
        <v>1.0262413702578608</v>
      </c>
      <c r="AS33" s="46">
        <f t="shared" ca="1" si="1"/>
        <v>1.083212001722647</v>
      </c>
      <c r="AT33" s="46">
        <f t="shared" ca="1" si="2"/>
        <v>0.90996546548909851</v>
      </c>
      <c r="AU33" s="46">
        <f t="shared" ca="1" si="3"/>
        <v>0.83079894505386109</v>
      </c>
      <c r="AV33" s="46"/>
      <c r="AW33" s="46"/>
      <c r="AX33" s="46"/>
      <c r="AY33" s="58">
        <f t="shared" ca="1" si="11"/>
        <v>102.62413702578608</v>
      </c>
      <c r="AZ33" s="58">
        <f t="shared" ca="1" si="21"/>
        <v>108.3212001722647</v>
      </c>
      <c r="BA33" s="58">
        <f t="shared" ca="1" si="22"/>
        <v>90.996546548909848</v>
      </c>
      <c r="BB33" s="58">
        <f t="shared" ca="1" si="23"/>
        <v>83.079894505386108</v>
      </c>
      <c r="BD33" s="62"/>
      <c r="BE33" s="62"/>
      <c r="BF33" s="46" t="s">
        <v>52</v>
      </c>
      <c r="BG33" s="62">
        <f t="shared" ref="BG33:BR33" ca="1" si="28">HLOOKUP(BG30, $BF$23:$BI$24, 2, FALSE) / HLOOKUP(BG31, $BF$23:$BI$24, 2, FALSE)</f>
        <v>1</v>
      </c>
      <c r="BH33" s="62">
        <f t="shared" ca="1" si="28"/>
        <v>0.92368253300077663</v>
      </c>
      <c r="BI33" s="62">
        <f t="shared" ca="1" si="28"/>
        <v>0.97195718652553609</v>
      </c>
      <c r="BJ33" s="62">
        <f t="shared" ca="1" si="28"/>
        <v>0.91924215092581385</v>
      </c>
      <c r="BK33" s="62">
        <f t="shared" ca="1" si="28"/>
        <v>1.0826230487993425</v>
      </c>
      <c r="BL33" s="62">
        <f t="shared" ca="1" si="28"/>
        <v>1</v>
      </c>
      <c r="BM33" s="62">
        <f t="shared" ca="1" si="28"/>
        <v>1.052263252578707</v>
      </c>
      <c r="BN33" s="62">
        <f t="shared" ca="1" si="28"/>
        <v>0.99519274002016977</v>
      </c>
      <c r="BO33" s="62">
        <f t="shared" ca="1" si="28"/>
        <v>1.0288519019800746</v>
      </c>
      <c r="BP33" s="62">
        <f t="shared" ca="1" si="28"/>
        <v>0.95033253090362213</v>
      </c>
      <c r="BQ33" s="62">
        <f t="shared" ca="1" si="28"/>
        <v>1</v>
      </c>
      <c r="BR33" s="62">
        <f t="shared" ca="1" si="28"/>
        <v>0.94576403536027842</v>
      </c>
    </row>
    <row r="34" spans="1:74">
      <c r="J34" s="34"/>
      <c r="K34" s="34"/>
      <c r="L34" s="34"/>
      <c r="T34" s="4"/>
      <c r="AF34" s="4"/>
      <c r="AG34" s="62" t="s">
        <v>14</v>
      </c>
      <c r="AH34" s="62">
        <f>ISpread</f>
        <v>99.713500749930589</v>
      </c>
      <c r="AI34" s="97">
        <f>-HLOOKUP($AN$12, $AK$23:$AN$26, 2, FALSE)</f>
        <v>0</v>
      </c>
      <c r="AJ34" s="97">
        <f ca="1">HLOOKUP($AG34, $AK$23:$AN$26, 2, FALSE)</f>
        <v>4.4786714329011623</v>
      </c>
      <c r="AK34" s="97">
        <f>HLOOKUP($AN$12, $AK$23:$AN$26, 3, FALSE)</f>
        <v>0</v>
      </c>
      <c r="AL34" s="97">
        <f ca="1">-HLOOKUP($AG34, $AK$23:$AN$26, 3, FALSE)</f>
        <v>-7.6566735112936346</v>
      </c>
      <c r="AM34" s="89">
        <f ca="1">HLOOKUP($AN$12&amp;":"&amp;$AG34, $BG$32:$BR$33, 2, FALSE)</f>
        <v>0.97195718652553609</v>
      </c>
      <c r="AN34" s="89">
        <f t="shared" ca="1" si="25"/>
        <v>-2.7962471024161211</v>
      </c>
      <c r="AO34" s="100">
        <f t="shared" ca="1" si="26"/>
        <v>93.739251569122004</v>
      </c>
      <c r="AP34" s="65"/>
      <c r="AQ34" s="66">
        <f t="shared" si="10"/>
        <v>14</v>
      </c>
      <c r="AR34" s="46">
        <f t="shared" ca="1" si="0"/>
        <v>1.0240692380009087</v>
      </c>
      <c r="AS34" s="46">
        <f t="shared" ca="1" si="1"/>
        <v>1.0852783915705861</v>
      </c>
      <c r="AT34" s="46">
        <f t="shared" ca="1" si="2"/>
        <v>0.90622001940481733</v>
      </c>
      <c r="AU34" s="46">
        <f t="shared" ca="1" si="3"/>
        <v>0.82414566598346406</v>
      </c>
      <c r="AV34" s="46"/>
      <c r="AW34" s="46"/>
      <c r="AX34" s="46"/>
      <c r="AY34" s="58">
        <f t="shared" ca="1" si="11"/>
        <v>102.40692380009087</v>
      </c>
      <c r="AZ34" s="58">
        <f t="shared" ca="1" si="21"/>
        <v>108.52783915705861</v>
      </c>
      <c r="BA34" s="58">
        <f t="shared" ca="1" si="22"/>
        <v>90.622001940481738</v>
      </c>
      <c r="BB34" s="58">
        <f t="shared" ca="1" si="23"/>
        <v>82.414566598346411</v>
      </c>
      <c r="BD34" s="62"/>
      <c r="BE34" s="62"/>
      <c r="BF34" s="46"/>
      <c r="BG34" s="46"/>
      <c r="BH34" s="46"/>
      <c r="BI34" s="46"/>
      <c r="BJ34" s="88"/>
      <c r="BK34" s="88"/>
      <c r="BL34" s="88"/>
      <c r="BM34" s="88"/>
      <c r="BN34" s="88"/>
      <c r="BO34" s="61"/>
    </row>
    <row r="35" spans="1:74">
      <c r="J35" s="34"/>
      <c r="K35" s="34"/>
      <c r="L35" s="34"/>
      <c r="T35" s="4"/>
      <c r="AF35" s="4"/>
      <c r="AG35" s="46"/>
      <c r="AH35" s="46"/>
      <c r="AI35" s="46"/>
      <c r="AJ35" s="56"/>
      <c r="AK35" s="46"/>
      <c r="AL35" s="46"/>
      <c r="AM35" s="46"/>
      <c r="AN35" s="58"/>
      <c r="AO35" s="46"/>
      <c r="AP35" s="65"/>
      <c r="AQ35" s="66">
        <f t="shared" si="10"/>
        <v>14.5</v>
      </c>
      <c r="AR35" s="46">
        <f t="shared" ca="1" si="0"/>
        <v>1.0218971057439568</v>
      </c>
      <c r="AS35" s="46">
        <f t="shared" ca="1" si="1"/>
        <v>1.0873447814185251</v>
      </c>
      <c r="AT35" s="46">
        <f t="shared" ca="1" si="2"/>
        <v>0.90247457332053616</v>
      </c>
      <c r="AU35" s="46">
        <f t="shared" ca="1" si="3"/>
        <v>0.81749238691306703</v>
      </c>
      <c r="AV35" s="46"/>
      <c r="AW35" s="46"/>
      <c r="AX35" s="46"/>
      <c r="AY35" s="58">
        <f t="shared" ca="1" si="11"/>
        <v>102.18971057439568</v>
      </c>
      <c r="AZ35" s="58">
        <f t="shared" ca="1" si="21"/>
        <v>108.73447814185251</v>
      </c>
      <c r="BA35" s="58">
        <f t="shared" ca="1" si="22"/>
        <v>90.247457332053614</v>
      </c>
      <c r="BB35" s="58">
        <f t="shared" ca="1" si="23"/>
        <v>81.749238691306701</v>
      </c>
      <c r="BD35" s="62"/>
      <c r="BE35" s="62"/>
      <c r="BF35" s="46"/>
      <c r="BG35" s="46"/>
      <c r="BH35" s="46"/>
      <c r="BI35" s="46"/>
      <c r="BJ35" s="88"/>
      <c r="BK35" s="88"/>
      <c r="BL35" s="88"/>
      <c r="BM35" s="88"/>
      <c r="BN35" s="88"/>
      <c r="BO35" s="61"/>
    </row>
    <row r="36" spans="1:74" ht="12.75">
      <c r="J36" s="67"/>
      <c r="K36" s="67"/>
      <c r="L36" s="67"/>
      <c r="T36" s="30"/>
      <c r="AF36" s="4"/>
      <c r="AG36" s="62" t="s">
        <v>51</v>
      </c>
      <c r="AH36" s="46"/>
      <c r="AI36" s="56" t="s">
        <v>55</v>
      </c>
      <c r="AJ36" s="56"/>
      <c r="AK36" s="4" t="s">
        <v>56</v>
      </c>
      <c r="AL36" s="46"/>
      <c r="AM36" s="46"/>
      <c r="AN36" s="58"/>
      <c r="AO36" s="46"/>
      <c r="AP36" s="65"/>
      <c r="AQ36" s="66">
        <f t="shared" si="10"/>
        <v>15</v>
      </c>
      <c r="AR36" s="46">
        <f t="shared" ca="1" si="0"/>
        <v>1.0197249734870046</v>
      </c>
      <c r="AS36" s="46">
        <f t="shared" ca="1" si="1"/>
        <v>1.0894111712664643</v>
      </c>
      <c r="AT36" s="46">
        <f t="shared" ca="1" si="2"/>
        <v>0.89872912723625498</v>
      </c>
      <c r="AU36" s="46">
        <f t="shared" ca="1" si="3"/>
        <v>0.81083910784266999</v>
      </c>
      <c r="AV36" s="46"/>
      <c r="AW36" s="46"/>
      <c r="AX36" s="46"/>
      <c r="AY36" s="58">
        <f t="shared" ca="1" si="11"/>
        <v>101.97249734870046</v>
      </c>
      <c r="AZ36" s="58">
        <f t="shared" ca="1" si="21"/>
        <v>108.94111712664642</v>
      </c>
      <c r="BA36" s="58">
        <f t="shared" ca="1" si="22"/>
        <v>89.872912723625504</v>
      </c>
      <c r="BB36" s="58">
        <f t="shared" ca="1" si="23"/>
        <v>81.083910784267005</v>
      </c>
      <c r="BD36" s="62"/>
      <c r="BE36" s="62"/>
      <c r="BF36" s="46"/>
      <c r="BG36" s="46"/>
      <c r="BH36" s="46"/>
      <c r="BI36" s="46"/>
      <c r="BJ36" s="88"/>
      <c r="BK36" s="88"/>
      <c r="BL36" s="88"/>
      <c r="BM36" s="88"/>
      <c r="BN36" s="88"/>
      <c r="BO36" s="61"/>
    </row>
    <row r="37" spans="1:74" ht="12.75">
      <c r="I37" s="24"/>
      <c r="J37" s="24"/>
      <c r="T37" s="30"/>
      <c r="AG37" s="62" t="s">
        <v>20</v>
      </c>
      <c r="AH37" s="46"/>
      <c r="AI37" s="89">
        <f>SUM(AI31:AJ31)</f>
        <v>0</v>
      </c>
      <c r="AJ37" s="56"/>
      <c r="AK37" s="89">
        <f>SUM(AK31:AL31)</f>
        <v>0</v>
      </c>
      <c r="AL37" s="46"/>
      <c r="AM37" s="46"/>
      <c r="AN37" s="58"/>
      <c r="AO37" s="46"/>
      <c r="AP37" s="65"/>
      <c r="AQ37" s="66">
        <f t="shared" si="10"/>
        <v>15.5</v>
      </c>
      <c r="AR37" s="46">
        <f t="shared" ca="1" si="0"/>
        <v>1.0169683188812826</v>
      </c>
      <c r="AS37" s="46">
        <f t="shared" ca="1" si="1"/>
        <v>1.0910928862060163</v>
      </c>
      <c r="AT37" s="46">
        <f t="shared" ca="1" si="2"/>
        <v>0.89548332897661542</v>
      </c>
      <c r="AU37" s="46">
        <f t="shared" ca="1" si="3"/>
        <v>0.80454319413386022</v>
      </c>
      <c r="AV37" s="46"/>
      <c r="AW37" s="46"/>
      <c r="AX37" s="46"/>
      <c r="AY37" s="58">
        <f t="shared" ca="1" si="11"/>
        <v>101.69683188812826</v>
      </c>
      <c r="AZ37" s="58">
        <f t="shared" ca="1" si="21"/>
        <v>109.10928862060163</v>
      </c>
      <c r="BA37" s="58">
        <f t="shared" ca="1" si="22"/>
        <v>89.548332897661538</v>
      </c>
      <c r="BB37" s="58">
        <f t="shared" ca="1" si="23"/>
        <v>80.454319413386017</v>
      </c>
      <c r="BD37" s="62"/>
      <c r="BE37" s="62"/>
      <c r="BF37" s="46"/>
      <c r="BG37" s="46"/>
      <c r="BH37" s="46"/>
      <c r="BI37" s="46"/>
      <c r="BJ37" s="88"/>
      <c r="BK37" s="88"/>
      <c r="BL37" s="88"/>
      <c r="BM37" s="88"/>
      <c r="BN37" s="88"/>
      <c r="BO37" s="61"/>
    </row>
    <row r="38" spans="1:74" ht="12.75">
      <c r="I38" s="11"/>
      <c r="J38" s="11"/>
      <c r="AG38" s="62" t="s">
        <v>12</v>
      </c>
      <c r="AH38" s="46"/>
      <c r="AI38" s="89">
        <f t="shared" ref="AI38:AK40" ca="1" si="29">SUM(AI32:AJ32)</f>
        <v>-15.820734286580233</v>
      </c>
      <c r="AJ38" s="56"/>
      <c r="AK38" s="89">
        <f t="shared" ca="1" si="29"/>
        <v>-6.0605407255304593</v>
      </c>
      <c r="AL38" s="46"/>
      <c r="AM38" s="46"/>
      <c r="AN38" s="58"/>
      <c r="AO38" s="46"/>
      <c r="AP38" s="65"/>
      <c r="AQ38" s="66">
        <f t="shared" si="10"/>
        <v>16</v>
      </c>
      <c r="AR38" s="46">
        <f t="shared" ca="1" si="0"/>
        <v>1.0142108630112032</v>
      </c>
      <c r="AS38" s="46">
        <f t="shared" ca="1" si="1"/>
        <v>1.0927740738324658</v>
      </c>
      <c r="AT38" s="46">
        <f t="shared" ca="1" si="2"/>
        <v>0.89223821563517269</v>
      </c>
      <c r="AU38" s="46">
        <f t="shared" ca="1" si="3"/>
        <v>0.79824777030217386</v>
      </c>
      <c r="AV38" s="46"/>
      <c r="AW38" s="46"/>
      <c r="AX38" s="46"/>
      <c r="AY38" s="58">
        <f t="shared" ca="1" si="11"/>
        <v>101.42108630112033</v>
      </c>
      <c r="AZ38" s="58">
        <f t="shared" ca="1" si="21"/>
        <v>109.27740738324658</v>
      </c>
      <c r="BA38" s="58">
        <f t="shared" ca="1" si="22"/>
        <v>89.223821563517276</v>
      </c>
      <c r="BB38" s="58">
        <f t="shared" ca="1" si="23"/>
        <v>79.82477703021739</v>
      </c>
      <c r="BD38" s="62"/>
      <c r="BE38" s="62"/>
      <c r="BF38" s="46"/>
      <c r="BG38" s="46"/>
      <c r="BH38" s="46"/>
      <c r="BI38" s="46"/>
      <c r="BJ38" s="88"/>
      <c r="BK38" s="88"/>
      <c r="BL38" s="88"/>
      <c r="BM38" s="88"/>
      <c r="BN38" s="88"/>
      <c r="BO38" s="61"/>
    </row>
    <row r="39" spans="1:74" ht="12.75">
      <c r="I39" s="11"/>
      <c r="J39" s="11"/>
      <c r="AG39" s="62" t="s">
        <v>13</v>
      </c>
      <c r="AH39" s="46"/>
      <c r="AI39" s="89">
        <f t="shared" ca="1" si="29"/>
        <v>-50.278077152382558</v>
      </c>
      <c r="AJ39" s="56"/>
      <c r="AK39" s="89">
        <f t="shared" ca="1" si="29"/>
        <v>-7.1958418891170428</v>
      </c>
      <c r="AL39" s="46"/>
      <c r="AM39" s="46"/>
      <c r="AN39" s="58"/>
      <c r="AO39" s="46"/>
      <c r="AP39" s="65"/>
      <c r="AQ39" s="66">
        <f t="shared" si="10"/>
        <v>16.5</v>
      </c>
      <c r="AR39" s="46">
        <f t="shared" ref="AR39:AR66" ca="1" si="30">InterpLinearLocal($AC$111:$AC$127, AF$111:AF$127, $AQ39)</f>
        <v>1.0114534071411236</v>
      </c>
      <c r="AS39" s="46">
        <f t="shared" ref="AS39:AS66" ca="1" si="31">InterpLinearLocal($AI$111:$AI$128, AL$111:AL$128, $AQ39)</f>
        <v>1.0944552614589151</v>
      </c>
      <c r="AT39" s="46">
        <f t="shared" ref="AT39:AT66" ca="1" si="32">InterpLinearLocal($AO$111:$AO$127, AR$111:AR$127, $AQ39)</f>
        <v>0.88899310229373008</v>
      </c>
      <c r="AU39" s="46">
        <f t="shared" ref="AU39:AU70" ca="1" si="33">InterpLinearLocal($AU$111:$AU$134, AX$111:AX$134, $AQ39)</f>
        <v>0.79195234647048751</v>
      </c>
      <c r="AV39" s="46"/>
      <c r="AW39" s="46"/>
      <c r="AX39" s="46"/>
      <c r="AY39" s="58">
        <f t="shared" ca="1" si="11"/>
        <v>101.14534071411236</v>
      </c>
      <c r="AZ39" s="58">
        <f t="shared" ca="1" si="21"/>
        <v>109.44552614589152</v>
      </c>
      <c r="BA39" s="58">
        <f t="shared" ca="1" si="22"/>
        <v>88.899310229373015</v>
      </c>
      <c r="BB39" s="58">
        <f t="shared" ca="1" si="23"/>
        <v>79.19523464704875</v>
      </c>
      <c r="BD39" s="62"/>
      <c r="BE39" s="62"/>
      <c r="BF39" s="46"/>
      <c r="BG39" s="46"/>
      <c r="BH39" s="46"/>
      <c r="BI39" s="46"/>
      <c r="BJ39" s="88"/>
      <c r="BK39" s="88"/>
      <c r="BL39" s="88"/>
      <c r="BM39" s="88"/>
      <c r="BN39" s="88"/>
      <c r="BO39" s="61"/>
    </row>
    <row r="40" spans="1:74" ht="12.75">
      <c r="A40" s="39"/>
      <c r="B40" s="39"/>
      <c r="G40" s="24"/>
      <c r="H40" s="24"/>
      <c r="AG40" s="62" t="s">
        <v>14</v>
      </c>
      <c r="AH40" s="46"/>
      <c r="AI40" s="89">
        <f t="shared" ca="1" si="29"/>
        <v>4.4786714329011623</v>
      </c>
      <c r="AJ40" s="56"/>
      <c r="AK40" s="89">
        <f t="shared" ca="1" si="29"/>
        <v>-7.6566735112936346</v>
      </c>
      <c r="AL40" s="46"/>
      <c r="AM40" s="46"/>
      <c r="AN40" s="58"/>
      <c r="AO40" s="46"/>
      <c r="AP40" s="65"/>
      <c r="AQ40" s="66">
        <f t="shared" si="10"/>
        <v>17</v>
      </c>
      <c r="AR40" s="46">
        <f t="shared" ca="1" si="30"/>
        <v>1.0086959512710441</v>
      </c>
      <c r="AS40" s="46">
        <f t="shared" ca="1" si="31"/>
        <v>1.0961364490853647</v>
      </c>
      <c r="AT40" s="46">
        <f t="shared" ca="1" si="32"/>
        <v>0.88574798895228746</v>
      </c>
      <c r="AU40" s="46">
        <f t="shared" ca="1" si="33"/>
        <v>0.78565692263880127</v>
      </c>
      <c r="AV40" s="46"/>
      <c r="AW40" s="46"/>
      <c r="AX40" s="46"/>
      <c r="AY40" s="58">
        <f t="shared" ca="1" si="11"/>
        <v>100.8695951271044</v>
      </c>
      <c r="AZ40" s="58">
        <f t="shared" ca="1" si="21"/>
        <v>109.61364490853647</v>
      </c>
      <c r="BA40" s="58">
        <f t="shared" ca="1" si="22"/>
        <v>88.574798895228753</v>
      </c>
      <c r="BB40" s="58">
        <f t="shared" ca="1" si="23"/>
        <v>78.565692263880123</v>
      </c>
      <c r="BD40" s="62"/>
      <c r="BE40" s="62"/>
      <c r="BF40" s="46"/>
      <c r="BG40" s="46"/>
      <c r="BH40" s="46"/>
      <c r="BI40" s="46"/>
      <c r="BJ40" s="88"/>
      <c r="BK40" s="88"/>
      <c r="BL40" s="88"/>
      <c r="BM40" s="88"/>
      <c r="BN40" s="88"/>
      <c r="BO40" s="61"/>
    </row>
    <row r="41" spans="1:74" ht="12.75">
      <c r="A41" s="42"/>
      <c r="B41" s="43"/>
      <c r="G41" s="25"/>
      <c r="H41" s="25"/>
      <c r="AF41" s="4"/>
      <c r="AH41" s="4"/>
      <c r="AI41" s="4"/>
      <c r="AP41" s="65"/>
      <c r="AQ41" s="66">
        <f t="shared" si="10"/>
        <v>17.5</v>
      </c>
      <c r="AR41" s="46">
        <f t="shared" ca="1" si="30"/>
        <v>1.0059384954009645</v>
      </c>
      <c r="AS41" s="46">
        <f t="shared" ca="1" si="31"/>
        <v>1.097817636711814</v>
      </c>
      <c r="AT41" s="46">
        <f t="shared" ca="1" si="32"/>
        <v>0.88250287561084473</v>
      </c>
      <c r="AU41" s="46">
        <f t="shared" ca="1" si="33"/>
        <v>0.77936149880711492</v>
      </c>
      <c r="AV41" s="46"/>
      <c r="AW41" s="46"/>
      <c r="AX41" s="46"/>
      <c r="AY41" s="58">
        <f t="shared" ca="1" si="11"/>
        <v>100.59384954009644</v>
      </c>
      <c r="AZ41" s="58">
        <f t="shared" ca="1" si="21"/>
        <v>109.78176367118139</v>
      </c>
      <c r="BA41" s="58">
        <f t="shared" ca="1" si="22"/>
        <v>88.250287561084477</v>
      </c>
      <c r="BB41" s="58">
        <f t="shared" ca="1" si="23"/>
        <v>77.936149880711497</v>
      </c>
      <c r="BD41" s="62"/>
      <c r="BE41" s="62"/>
      <c r="BF41" s="46"/>
      <c r="BG41" s="46"/>
      <c r="BH41" s="46"/>
      <c r="BI41" s="46"/>
      <c r="BJ41" s="88"/>
      <c r="BK41" s="88"/>
      <c r="BL41" s="88"/>
      <c r="BM41" s="88"/>
      <c r="BN41" s="88"/>
      <c r="BO41" s="61"/>
    </row>
    <row r="42" spans="1:74" ht="13.5">
      <c r="A42" s="44"/>
      <c r="B42" s="44"/>
      <c r="G42" s="25"/>
      <c r="H42" s="25"/>
      <c r="AF42" s="4"/>
      <c r="AH42" s="4"/>
      <c r="AI42" s="4"/>
      <c r="AP42" s="65"/>
      <c r="AQ42" s="66">
        <f t="shared" si="10"/>
        <v>18</v>
      </c>
      <c r="AR42" s="46">
        <f t="shared" ca="1" si="30"/>
        <v>1.0031810395308849</v>
      </c>
      <c r="AS42" s="46">
        <f t="shared" ca="1" si="31"/>
        <v>1.0994988243382635</v>
      </c>
      <c r="AT42" s="46">
        <f t="shared" ca="1" si="32"/>
        <v>0.87925776226940211</v>
      </c>
      <c r="AU42" s="46">
        <f t="shared" ca="1" si="33"/>
        <v>0.77306607497542856</v>
      </c>
      <c r="AV42" s="46"/>
      <c r="AW42" s="46"/>
      <c r="AX42" s="46"/>
      <c r="AY42" s="58">
        <f t="shared" ca="1" si="11"/>
        <v>100.3181039530885</v>
      </c>
      <c r="AZ42" s="58">
        <f t="shared" ca="1" si="21"/>
        <v>109.94988243382635</v>
      </c>
      <c r="BA42" s="58">
        <f t="shared" ca="1" si="22"/>
        <v>87.925776226940215</v>
      </c>
      <c r="BB42" s="58">
        <f t="shared" ca="1" si="23"/>
        <v>77.306607497542856</v>
      </c>
      <c r="BD42" s="62"/>
      <c r="BE42" s="62"/>
      <c r="BF42" s="46"/>
      <c r="BG42" s="46"/>
      <c r="BH42" s="46"/>
      <c r="BI42" s="46"/>
      <c r="BJ42" s="88"/>
      <c r="BK42" s="88"/>
      <c r="BL42" s="88"/>
      <c r="BM42" s="88"/>
      <c r="BN42" s="88"/>
    </row>
    <row r="43" spans="1:74">
      <c r="A43" s="39"/>
      <c r="B43" s="45"/>
      <c r="AE43" s="3" t="s">
        <v>75</v>
      </c>
      <c r="AF43" s="56" t="s">
        <v>11</v>
      </c>
      <c r="AG43" s="46"/>
      <c r="AH43" s="46"/>
      <c r="AI43" s="46"/>
      <c r="AJ43" s="56" t="s">
        <v>15</v>
      </c>
      <c r="AK43" s="46"/>
      <c r="AL43" s="46"/>
      <c r="AM43" s="46"/>
      <c r="AN43" s="58"/>
      <c r="AO43" s="46"/>
      <c r="AP43" s="65"/>
      <c r="AQ43" s="66">
        <f t="shared" si="10"/>
        <v>18.5</v>
      </c>
      <c r="AR43" s="46">
        <f t="shared" ca="1" si="30"/>
        <v>1.0004235836608053</v>
      </c>
      <c r="AS43" s="46">
        <f t="shared" ca="1" si="31"/>
        <v>1.1011800119647128</v>
      </c>
      <c r="AT43" s="46">
        <f t="shared" ca="1" si="32"/>
        <v>0.87601264892795938</v>
      </c>
      <c r="AU43" s="46">
        <f t="shared" ca="1" si="33"/>
        <v>0.76677065114374232</v>
      </c>
      <c r="AV43" s="46"/>
      <c r="AW43" s="46"/>
      <c r="AX43" s="46"/>
      <c r="AY43" s="58">
        <f t="shared" ca="1" si="11"/>
        <v>100.04235836608053</v>
      </c>
      <c r="AZ43" s="58">
        <f t="shared" ca="1" si="21"/>
        <v>110.11800119647128</v>
      </c>
      <c r="BA43" s="58">
        <f t="shared" ca="1" si="22"/>
        <v>87.601264892795939</v>
      </c>
      <c r="BB43" s="58">
        <f t="shared" ca="1" si="23"/>
        <v>76.67706511437423</v>
      </c>
      <c r="BD43" s="62"/>
      <c r="BE43" s="62"/>
      <c r="BF43" s="46"/>
      <c r="BG43" s="46"/>
      <c r="BH43" s="46"/>
      <c r="BI43" s="46"/>
      <c r="BJ43" s="88"/>
      <c r="BK43" s="88"/>
      <c r="BL43" s="88"/>
      <c r="BM43" s="88"/>
      <c r="BN43" s="88"/>
    </row>
    <row r="44" spans="1:74">
      <c r="A44" s="39"/>
      <c r="B44" s="40"/>
      <c r="U44" s="115"/>
      <c r="V44" s="39"/>
      <c r="W44" s="39"/>
      <c r="X44" s="39"/>
      <c r="Y44" s="39"/>
      <c r="Z44" s="83"/>
      <c r="AA44" s="83"/>
      <c r="AB44" s="83"/>
      <c r="AE44" s="3" t="s">
        <v>31</v>
      </c>
      <c r="AF44" s="56" t="s">
        <v>12</v>
      </c>
      <c r="AG44" s="46" t="s">
        <v>14</v>
      </c>
      <c r="AH44" s="46" t="s">
        <v>13</v>
      </c>
      <c r="AI44" s="46"/>
      <c r="AJ44" s="56" t="s">
        <v>62</v>
      </c>
      <c r="AK44" s="46" t="s">
        <v>63</v>
      </c>
      <c r="AL44" s="46" t="s">
        <v>64</v>
      </c>
      <c r="AM44" s="46" t="s">
        <v>65</v>
      </c>
      <c r="AN44" s="58" t="s">
        <v>66</v>
      </c>
      <c r="AO44" s="46" t="s">
        <v>67</v>
      </c>
      <c r="AP44" s="65"/>
      <c r="AQ44" s="66">
        <f t="shared" si="10"/>
        <v>19</v>
      </c>
      <c r="AR44" s="46">
        <f t="shared" ca="1" si="30"/>
        <v>0.99766612779072583</v>
      </c>
      <c r="AS44" s="46">
        <f t="shared" ca="1" si="31"/>
        <v>1.1028611995911624</v>
      </c>
      <c r="AT44" s="46">
        <f t="shared" ca="1" si="32"/>
        <v>0.87276753558651676</v>
      </c>
      <c r="AU44" s="46">
        <f t="shared" ca="1" si="33"/>
        <v>0.76047522731205597</v>
      </c>
      <c r="AV44" s="46"/>
      <c r="AW44" s="46"/>
      <c r="AX44" s="46"/>
      <c r="AY44" s="58">
        <f t="shared" ca="1" si="11"/>
        <v>99.766612779072588</v>
      </c>
      <c r="AZ44" s="58">
        <f t="shared" ca="1" si="21"/>
        <v>110.28611995911623</v>
      </c>
      <c r="BA44" s="58">
        <f t="shared" ca="1" si="22"/>
        <v>87.276753558651677</v>
      </c>
      <c r="BB44" s="58">
        <f t="shared" ca="1" si="23"/>
        <v>76.047522731205603</v>
      </c>
      <c r="BD44" s="62"/>
      <c r="BE44" s="62"/>
      <c r="BF44" s="46"/>
      <c r="BG44" s="46"/>
      <c r="BH44" s="46"/>
      <c r="BI44" s="46"/>
      <c r="BJ44" s="88"/>
      <c r="BK44" s="88"/>
      <c r="BL44" s="88"/>
      <c r="BM44" s="88"/>
      <c r="BN44" s="88"/>
    </row>
    <row r="45" spans="1:74">
      <c r="A45" s="39"/>
      <c r="B45" s="41"/>
      <c r="U45" s="115"/>
      <c r="V45" s="39"/>
      <c r="W45" s="39"/>
      <c r="X45" s="39"/>
      <c r="Y45" s="39"/>
      <c r="Z45" s="83"/>
      <c r="AA45" s="83"/>
      <c r="AB45" s="83"/>
      <c r="AE45" s="3" t="s">
        <v>32</v>
      </c>
      <c r="AF45" s="56" t="s">
        <v>68</v>
      </c>
      <c r="AG45" s="46" t="s">
        <v>69</v>
      </c>
      <c r="AH45" s="46" t="s">
        <v>70</v>
      </c>
      <c r="AI45" s="46"/>
      <c r="AJ45" s="58">
        <f>_xll.BDP(AF45, $AE45)</f>
        <v>58.88</v>
      </c>
      <c r="AK45" s="58">
        <f>_xll.BDP(AG45, $AE45)</f>
        <v>30.66</v>
      </c>
      <c r="AL45" s="58">
        <f>_xll.BDP(AH45, $AE45)</f>
        <v>-53.74</v>
      </c>
      <c r="AM45" s="46"/>
      <c r="AN45" s="58"/>
      <c r="AO45" s="46"/>
      <c r="AP45" s="65"/>
      <c r="AQ45" s="66">
        <f t="shared" si="10"/>
        <v>19.5</v>
      </c>
      <c r="AR45" s="46">
        <f t="shared" ca="1" si="30"/>
        <v>0.99490867192064625</v>
      </c>
      <c r="AS45" s="46">
        <f t="shared" ca="1" si="31"/>
        <v>1.1045423872176119</v>
      </c>
      <c r="AT45" s="46">
        <f t="shared" ca="1" si="32"/>
        <v>0.86952242224507414</v>
      </c>
      <c r="AU45" s="46">
        <f t="shared" ca="1" si="33"/>
        <v>0.75417980348036961</v>
      </c>
      <c r="AY45" s="58">
        <f t="shared" ca="1" si="11"/>
        <v>99.490867192064627</v>
      </c>
      <c r="AZ45" s="58">
        <f t="shared" ca="1" si="21"/>
        <v>110.45423872176119</v>
      </c>
      <c r="BA45" s="58">
        <f t="shared" ca="1" si="22"/>
        <v>86.952242224507415</v>
      </c>
      <c r="BB45" s="58">
        <f t="shared" ca="1" si="23"/>
        <v>75.417980348036963</v>
      </c>
      <c r="BC45" s="27"/>
      <c r="BD45" s="46"/>
      <c r="BE45" s="46"/>
      <c r="BF45" s="46"/>
      <c r="BG45" s="46"/>
      <c r="BH45" s="46"/>
      <c r="BI45" s="46"/>
      <c r="BJ45" s="46"/>
      <c r="BK45" s="46"/>
      <c r="BL45" s="46"/>
      <c r="BM45" s="46"/>
      <c r="BN45" s="46"/>
    </row>
    <row r="46" spans="1:74" ht="12.75">
      <c r="K46" s="24"/>
      <c r="U46" s="115"/>
      <c r="V46" s="39"/>
      <c r="W46" s="39"/>
      <c r="X46" s="39"/>
      <c r="Y46" s="39"/>
      <c r="Z46" s="83"/>
      <c r="AA46" s="83"/>
      <c r="AB46" s="83"/>
      <c r="AE46" s="3" t="s">
        <v>33</v>
      </c>
      <c r="AF46" s="56" t="s">
        <v>68</v>
      </c>
      <c r="AG46" s="46" t="s">
        <v>69</v>
      </c>
      <c r="AH46" s="46" t="s">
        <v>70</v>
      </c>
      <c r="AI46" s="46"/>
      <c r="AJ46" s="58">
        <f>_xll.BDP(AF46, $AE46)</f>
        <v>59.14</v>
      </c>
      <c r="AK46" s="58">
        <f>_xll.BDP(AG46, $AE46)</f>
        <v>30.96</v>
      </c>
      <c r="AL46" s="58">
        <f>_xll.BDP(AH46, $AE46)</f>
        <v>-53.43</v>
      </c>
      <c r="AM46" s="46"/>
      <c r="AN46" s="58"/>
      <c r="AO46" s="46"/>
      <c r="AP46" s="63"/>
      <c r="AQ46" s="66">
        <f t="shared" si="10"/>
        <v>20</v>
      </c>
      <c r="AR46" s="46">
        <f t="shared" ca="1" si="30"/>
        <v>0.99215441102002122</v>
      </c>
      <c r="AS46" s="46">
        <f t="shared" ca="1" si="31"/>
        <v>1.1062231357169898</v>
      </c>
      <c r="AT46" s="46">
        <f t="shared" ca="1" si="32"/>
        <v>0.86627800452182191</v>
      </c>
      <c r="AU46" s="46">
        <f t="shared" ca="1" si="33"/>
        <v>0.74788752544746673</v>
      </c>
      <c r="AY46" s="58">
        <f t="shared" ca="1" si="11"/>
        <v>99.215441102002117</v>
      </c>
      <c r="AZ46" s="58">
        <f t="shared" ca="1" si="21"/>
        <v>110.62231357169898</v>
      </c>
      <c r="BA46" s="58">
        <f t="shared" ca="1" si="22"/>
        <v>86.627800452182186</v>
      </c>
      <c r="BB46" s="58">
        <f t="shared" ca="1" si="23"/>
        <v>74.788752544746671</v>
      </c>
      <c r="BC46" s="58"/>
      <c r="BD46" s="46"/>
      <c r="BE46" s="46"/>
      <c r="BF46" s="46"/>
      <c r="BG46" s="46"/>
      <c r="BH46" s="46"/>
      <c r="BI46" s="46"/>
      <c r="BJ46" s="88"/>
      <c r="BK46" s="88"/>
      <c r="BL46" s="88"/>
      <c r="BM46" s="46"/>
      <c r="BN46" s="46"/>
      <c r="BP46" s="46"/>
      <c r="BQ46" s="46"/>
      <c r="BR46" s="46"/>
      <c r="BS46" s="46"/>
      <c r="BT46" s="46"/>
      <c r="BU46" s="46"/>
      <c r="BV46" s="46"/>
    </row>
    <row r="47" spans="1:74" ht="12.75">
      <c r="K47" s="24"/>
      <c r="T47" s="4"/>
      <c r="U47" s="115"/>
      <c r="V47" s="39"/>
      <c r="W47" s="39"/>
      <c r="X47" s="39"/>
      <c r="Y47" s="39"/>
      <c r="Z47" s="83"/>
      <c r="AA47" s="83"/>
      <c r="AB47" s="83"/>
      <c r="AE47" s="3" t="s">
        <v>34</v>
      </c>
      <c r="AF47" s="56" t="s">
        <v>71</v>
      </c>
      <c r="AG47" s="46" t="s">
        <v>72</v>
      </c>
      <c r="AH47" s="46" t="s">
        <v>73</v>
      </c>
      <c r="AI47" s="46"/>
      <c r="AJ47" s="58">
        <f>_xll.BDP(AF47, $AE47)</f>
        <v>1.0837000000000001</v>
      </c>
      <c r="AK47" s="58">
        <f>_xll.BDP(AG47, $AE47)</f>
        <v>1.2963</v>
      </c>
      <c r="AL47" s="58">
        <f>_xll.BDP(AH47, $AE47)</f>
        <v>110.52</v>
      </c>
      <c r="AM47" s="46">
        <f>AJ47/AK47</f>
        <v>0.83599475430070203</v>
      </c>
      <c r="AN47" s="58">
        <f>AL47*AJ47</f>
        <v>119.77052400000001</v>
      </c>
      <c r="AO47" s="46">
        <f>AL47*AK47</f>
        <v>143.267076</v>
      </c>
      <c r="AP47" s="63"/>
      <c r="AQ47" s="66">
        <f t="shared" si="10"/>
        <v>20.5</v>
      </c>
      <c r="AR47" s="46">
        <f t="shared" ca="1" si="30"/>
        <v>0.99021390883946125</v>
      </c>
      <c r="AS47" s="46">
        <f t="shared" ca="1" si="31"/>
        <v>1.1077920385512892</v>
      </c>
      <c r="AT47" s="46">
        <f t="shared" ca="1" si="32"/>
        <v>0.86321076075167913</v>
      </c>
      <c r="AU47" s="46">
        <f t="shared" ca="1" si="33"/>
        <v>0.74239648236468858</v>
      </c>
      <c r="AY47" s="58">
        <f t="shared" ca="1" si="11"/>
        <v>99.021390883946125</v>
      </c>
      <c r="AZ47" s="58">
        <f t="shared" ca="1" si="21"/>
        <v>110.77920385512891</v>
      </c>
      <c r="BA47" s="58">
        <f t="shared" ca="1" si="22"/>
        <v>86.321076075167909</v>
      </c>
      <c r="BB47" s="58">
        <f t="shared" ca="1" si="23"/>
        <v>74.239648236468852</v>
      </c>
      <c r="BC47" s="58"/>
      <c r="BD47" s="46"/>
      <c r="BE47" s="46"/>
      <c r="BF47" s="46"/>
      <c r="BG47" s="46"/>
      <c r="BH47" s="46"/>
      <c r="BI47" s="46"/>
      <c r="BJ47" s="88"/>
      <c r="BK47" s="46"/>
      <c r="BL47" s="46"/>
      <c r="BM47" s="88"/>
      <c r="BN47" s="88"/>
      <c r="BP47" s="46"/>
      <c r="BQ47" s="46"/>
      <c r="BR47" s="46"/>
      <c r="BS47" s="46"/>
      <c r="BT47" s="46"/>
      <c r="BU47" s="46"/>
      <c r="BV47" s="46"/>
    </row>
    <row r="48" spans="1:74" ht="12.75">
      <c r="K48" s="24"/>
      <c r="T48" s="115"/>
      <c r="U48" s="116"/>
      <c r="V48" s="116"/>
      <c r="W48" s="39"/>
      <c r="X48" s="39"/>
      <c r="Y48" s="39"/>
      <c r="Z48" s="39"/>
      <c r="AA48" s="39"/>
      <c r="AB48" s="39"/>
      <c r="AC48" s="39"/>
      <c r="AF48" s="56" t="s">
        <v>74</v>
      </c>
      <c r="AG48" s="46"/>
      <c r="AH48" s="46"/>
      <c r="AI48" s="46"/>
      <c r="AJ48" s="58">
        <f>AJ47+AVERAGE(AJ45:AJ46)/10^4</f>
        <v>1.089601</v>
      </c>
      <c r="AK48" s="58">
        <f>AK47+AVERAGE(AK45:AK46)/10^4</f>
        <v>1.2993809999999999</v>
      </c>
      <c r="AL48" s="58">
        <f>AL47+AVERAGE(AL45:AL46)/10^2</f>
        <v>109.98415</v>
      </c>
      <c r="AM48" s="58">
        <f>AJ48/AK48</f>
        <v>0.83855389604742581</v>
      </c>
      <c r="AN48" s="58">
        <f>AL48*AJ48</f>
        <v>119.83883982415</v>
      </c>
      <c r="AO48" s="58">
        <f>AL48*AK48</f>
        <v>142.91131481114999</v>
      </c>
      <c r="AP48" s="63"/>
      <c r="AQ48" s="66">
        <f t="shared" si="10"/>
        <v>21</v>
      </c>
      <c r="AR48" s="46">
        <f t="shared" ca="1" si="30"/>
        <v>0.98827340665890129</v>
      </c>
      <c r="AS48" s="46">
        <f t="shared" ca="1" si="31"/>
        <v>1.1093609413855887</v>
      </c>
      <c r="AT48" s="46">
        <f t="shared" ca="1" si="32"/>
        <v>0.86014351698153646</v>
      </c>
      <c r="AU48" s="46">
        <f t="shared" ca="1" si="33"/>
        <v>0.73690543928191055</v>
      </c>
      <c r="AY48" s="58">
        <f t="shared" ca="1" si="11"/>
        <v>98.827340665890134</v>
      </c>
      <c r="AZ48" s="58">
        <f t="shared" ca="1" si="21"/>
        <v>110.93609413855887</v>
      </c>
      <c r="BA48" s="58">
        <f t="shared" ca="1" si="22"/>
        <v>86.014351698153646</v>
      </c>
      <c r="BB48" s="58">
        <f t="shared" ca="1" si="23"/>
        <v>73.690543928191062</v>
      </c>
      <c r="BC48" s="58"/>
      <c r="BD48" s="46"/>
      <c r="BE48" s="46"/>
      <c r="BF48" s="46"/>
      <c r="BG48" s="46"/>
      <c r="BH48" s="46"/>
      <c r="BI48" s="46"/>
      <c r="BJ48" s="46"/>
      <c r="BK48" s="46"/>
      <c r="BL48" s="46"/>
      <c r="BM48" s="46"/>
      <c r="BN48" s="46"/>
      <c r="BO48" s="46"/>
      <c r="BP48" s="46"/>
      <c r="BQ48" s="46"/>
      <c r="BR48" s="46"/>
      <c r="BS48" s="46"/>
      <c r="BT48" s="46"/>
      <c r="BU48" s="46"/>
      <c r="BV48" s="46"/>
    </row>
    <row r="49" spans="20:74">
      <c r="T49" s="48"/>
      <c r="U49" s="39"/>
      <c r="V49" s="39"/>
      <c r="W49" s="39"/>
      <c r="X49" s="39"/>
      <c r="Y49" s="39"/>
      <c r="Z49" s="39"/>
      <c r="AA49" s="39"/>
      <c r="AB49" s="39"/>
      <c r="AC49" s="39"/>
      <c r="AF49" s="56" t="s">
        <v>35</v>
      </c>
      <c r="AG49" s="46"/>
      <c r="AH49" s="46"/>
      <c r="AI49" s="46"/>
      <c r="AJ49" s="58">
        <f>(AJ48/AJ47 - 1)*10^4</f>
        <v>54.452339208266309</v>
      </c>
      <c r="AK49" s="58">
        <f>(AK48/AK47 - 1)*10^4</f>
        <v>23.767646378152207</v>
      </c>
      <c r="AL49" s="58">
        <f>(1-AL48/AL47)*10^4</f>
        <v>48.484437205935649</v>
      </c>
      <c r="AM49" s="58">
        <f>(AM48/AM47 - 1)*10^4</f>
        <v>30.611935464408546</v>
      </c>
      <c r="AN49" s="58">
        <f>(1-AN48/AN47)*10^4</f>
        <v>-5.7038929002262151</v>
      </c>
      <c r="AO49" s="58">
        <f>(1-AO48/AO47)*10^4</f>
        <v>24.832026923619075</v>
      </c>
      <c r="AP49" s="63"/>
      <c r="AQ49" s="66">
        <f t="shared" si="10"/>
        <v>21.5</v>
      </c>
      <c r="AR49" s="46">
        <f t="shared" ca="1" si="30"/>
        <v>0.98633290447834132</v>
      </c>
      <c r="AS49" s="46">
        <f t="shared" ca="1" si="31"/>
        <v>1.1109298442198881</v>
      </c>
      <c r="AT49" s="46">
        <f t="shared" ca="1" si="32"/>
        <v>0.85707627321139379</v>
      </c>
      <c r="AU49" s="46">
        <f t="shared" ca="1" si="33"/>
        <v>0.73141439619913251</v>
      </c>
      <c r="AY49" s="58">
        <f t="shared" ca="1" si="11"/>
        <v>98.633290447834128</v>
      </c>
      <c r="AZ49" s="58">
        <f t="shared" ca="1" si="21"/>
        <v>111.0929844219888</v>
      </c>
      <c r="BA49" s="58">
        <f t="shared" ca="1" si="22"/>
        <v>85.707627321139384</v>
      </c>
      <c r="BB49" s="58">
        <f t="shared" ca="1" si="23"/>
        <v>73.141439619913257</v>
      </c>
      <c r="BC49" s="58"/>
      <c r="BO49" s="46"/>
      <c r="BP49" s="46"/>
      <c r="BQ49" s="46"/>
      <c r="BR49" s="46"/>
      <c r="BS49" s="46"/>
      <c r="BT49" s="46"/>
      <c r="BU49" s="46"/>
      <c r="BV49" s="46"/>
    </row>
    <row r="50" spans="20:74">
      <c r="T50" s="115"/>
      <c r="U50" s="115"/>
      <c r="V50" s="115"/>
      <c r="W50" s="115"/>
      <c r="X50" s="39"/>
      <c r="Y50" s="39"/>
      <c r="Z50" s="115"/>
      <c r="AA50" s="115"/>
      <c r="AB50" s="39"/>
      <c r="AC50" s="115"/>
      <c r="AF50" s="56" t="s">
        <v>37</v>
      </c>
      <c r="AG50" s="46"/>
      <c r="AH50" s="46"/>
      <c r="AI50" s="46"/>
      <c r="AJ50" s="58">
        <f t="shared" ref="AJ50:AO50" si="34">AJ49*4</f>
        <v>217.80935683306524</v>
      </c>
      <c r="AK50" s="58">
        <f t="shared" si="34"/>
        <v>95.07058551260883</v>
      </c>
      <c r="AL50" s="58">
        <f t="shared" si="34"/>
        <v>193.9377488237426</v>
      </c>
      <c r="AM50" s="58">
        <f t="shared" si="34"/>
        <v>122.44774185763418</v>
      </c>
      <c r="AN50" s="58">
        <f t="shared" si="34"/>
        <v>-22.81557160090486</v>
      </c>
      <c r="AO50" s="58">
        <f t="shared" si="34"/>
        <v>99.328107694476302</v>
      </c>
      <c r="AP50" s="63"/>
      <c r="AQ50" s="66">
        <f t="shared" si="10"/>
        <v>22</v>
      </c>
      <c r="AR50" s="46">
        <f t="shared" ca="1" si="30"/>
        <v>0.98439240229778124</v>
      </c>
      <c r="AS50" s="46">
        <f t="shared" ca="1" si="31"/>
        <v>1.1124987470541876</v>
      </c>
      <c r="AT50" s="46">
        <f t="shared" ca="1" si="32"/>
        <v>0.85400902944125101</v>
      </c>
      <c r="AU50" s="46">
        <f t="shared" ca="1" si="33"/>
        <v>0.72592335311635448</v>
      </c>
      <c r="AX50" s="6"/>
      <c r="AY50" s="58">
        <f t="shared" ca="1" si="11"/>
        <v>98.439240229778122</v>
      </c>
      <c r="AZ50" s="58">
        <f t="shared" ca="1" si="21"/>
        <v>111.24987470541876</v>
      </c>
      <c r="BA50" s="58">
        <f t="shared" ca="1" si="22"/>
        <v>85.400902944125107</v>
      </c>
      <c r="BB50" s="58">
        <f t="shared" ca="1" si="23"/>
        <v>72.592335311635452</v>
      </c>
      <c r="BC50" s="58"/>
      <c r="BD50" s="57"/>
      <c r="BE50" s="46"/>
      <c r="BF50" s="57"/>
      <c r="BG50" s="57"/>
      <c r="BH50" s="46"/>
      <c r="BI50" s="46"/>
      <c r="BJ50" s="46"/>
      <c r="BK50" s="46"/>
      <c r="BL50" s="46"/>
      <c r="BM50" s="46"/>
      <c r="BN50" s="46"/>
      <c r="BO50" s="46"/>
      <c r="BP50" s="46"/>
      <c r="BQ50" s="46"/>
      <c r="BR50" s="46"/>
      <c r="BS50" s="46"/>
      <c r="BT50" s="46"/>
      <c r="BU50" s="46"/>
      <c r="BV50" s="46"/>
    </row>
    <row r="51" spans="20:74">
      <c r="T51" s="115"/>
      <c r="U51" s="115"/>
      <c r="V51" s="39"/>
      <c r="W51" s="39"/>
      <c r="X51" s="39"/>
      <c r="Y51" s="70"/>
      <c r="Z51" s="83"/>
      <c r="AA51" s="83"/>
      <c r="AB51" s="83"/>
      <c r="AC51" s="83"/>
      <c r="AP51" s="63"/>
      <c r="AQ51" s="66">
        <f t="shared" si="10"/>
        <v>22.5</v>
      </c>
      <c r="AR51" s="46">
        <f t="shared" ca="1" si="30"/>
        <v>0.98245190011722128</v>
      </c>
      <c r="AS51" s="46">
        <f t="shared" ca="1" si="31"/>
        <v>1.1140676498884869</v>
      </c>
      <c r="AT51" s="46">
        <f t="shared" ca="1" si="32"/>
        <v>0.85094178567110834</v>
      </c>
      <c r="AU51" s="46">
        <f t="shared" ca="1" si="33"/>
        <v>0.72043231003357633</v>
      </c>
      <c r="AX51" s="6"/>
      <c r="AY51" s="58">
        <f t="shared" ca="1" si="11"/>
        <v>98.24519001172213</v>
      </c>
      <c r="AZ51" s="58">
        <f t="shared" ca="1" si="21"/>
        <v>111.40676498884869</v>
      </c>
      <c r="BA51" s="58">
        <f t="shared" ca="1" si="22"/>
        <v>85.094178567110831</v>
      </c>
      <c r="BB51" s="58">
        <f t="shared" ca="1" si="23"/>
        <v>72.043231003357633</v>
      </c>
      <c r="BC51" s="58"/>
      <c r="BD51" s="57"/>
      <c r="BE51" s="46"/>
      <c r="BF51" s="57"/>
      <c r="BG51" s="57"/>
      <c r="BH51" s="46"/>
      <c r="BI51" s="46"/>
      <c r="BJ51" s="46"/>
      <c r="BK51" s="46"/>
      <c r="BL51" s="46"/>
      <c r="BM51" s="46"/>
      <c r="BN51" s="46"/>
      <c r="BO51" s="46"/>
      <c r="BP51" s="46"/>
      <c r="BQ51" s="46"/>
      <c r="BR51" s="46"/>
      <c r="BS51" s="46"/>
      <c r="BT51" s="46"/>
      <c r="BU51" s="46"/>
      <c r="BV51" s="46"/>
    </row>
    <row r="52" spans="20:74">
      <c r="T52" s="115"/>
      <c r="U52" s="115"/>
      <c r="V52" s="39"/>
      <c r="W52" s="39"/>
      <c r="X52" s="39"/>
      <c r="Y52" s="70"/>
      <c r="Z52" s="39"/>
      <c r="AA52" s="39"/>
      <c r="AB52" s="39"/>
      <c r="AC52" s="39"/>
      <c r="AE52" s="3" t="s">
        <v>76</v>
      </c>
      <c r="AF52" s="56" t="s">
        <v>11</v>
      </c>
      <c r="AG52" s="46"/>
      <c r="AH52" s="46"/>
      <c r="AI52" s="46"/>
      <c r="AJ52" s="56" t="s">
        <v>15</v>
      </c>
      <c r="AK52" s="46"/>
      <c r="AL52" s="46"/>
      <c r="AM52" s="46"/>
      <c r="AN52" s="58"/>
      <c r="AO52" s="46"/>
      <c r="AP52" s="63"/>
      <c r="AQ52" s="66">
        <f t="shared" si="10"/>
        <v>23</v>
      </c>
      <c r="AR52" s="46">
        <f t="shared" ca="1" si="30"/>
        <v>0.98051139793666131</v>
      </c>
      <c r="AS52" s="46">
        <f t="shared" ca="1" si="31"/>
        <v>1.1156365527227865</v>
      </c>
      <c r="AT52" s="46">
        <f t="shared" ca="1" si="32"/>
        <v>0.84787454190096567</v>
      </c>
      <c r="AU52" s="46">
        <f t="shared" ca="1" si="33"/>
        <v>0.71494126695079829</v>
      </c>
      <c r="AX52" s="6"/>
      <c r="AY52" s="58">
        <f t="shared" ca="1" si="11"/>
        <v>98.051139793666124</v>
      </c>
      <c r="AZ52" s="58">
        <f t="shared" ca="1" si="21"/>
        <v>111.56365527227865</v>
      </c>
      <c r="BA52" s="58">
        <f t="shared" ca="1" si="22"/>
        <v>84.787454190096568</v>
      </c>
      <c r="BB52" s="58">
        <f t="shared" ca="1" si="23"/>
        <v>71.494126695079828</v>
      </c>
      <c r="BC52" s="58"/>
      <c r="BD52" s="57"/>
      <c r="BE52" s="46"/>
      <c r="BF52" s="57"/>
      <c r="BG52" s="57"/>
      <c r="BH52" s="46"/>
      <c r="BI52" s="46"/>
      <c r="BJ52" s="46"/>
      <c r="BK52" s="46"/>
      <c r="BL52" s="46"/>
      <c r="BM52" s="46"/>
      <c r="BN52" s="46"/>
      <c r="BO52" s="46"/>
      <c r="BP52" s="46"/>
      <c r="BQ52" s="46"/>
      <c r="BR52" s="46"/>
      <c r="BS52" s="46"/>
      <c r="BT52" s="46"/>
      <c r="BU52" s="46"/>
      <c r="BV52" s="46"/>
    </row>
    <row r="53" spans="20:74">
      <c r="T53" s="115"/>
      <c r="U53" s="115"/>
      <c r="V53" s="39"/>
      <c r="W53" s="39"/>
      <c r="X53" s="39"/>
      <c r="Y53" s="39"/>
      <c r="Z53" s="83"/>
      <c r="AA53" s="83"/>
      <c r="AB53" s="83"/>
      <c r="AC53" s="83"/>
      <c r="AE53" s="3" t="s">
        <v>31</v>
      </c>
      <c r="AF53" s="56" t="s">
        <v>12</v>
      </c>
      <c r="AG53" s="46" t="s">
        <v>14</v>
      </c>
      <c r="AH53" s="46" t="s">
        <v>13</v>
      </c>
      <c r="AI53" s="46"/>
      <c r="AJ53" s="56" t="s">
        <v>62</v>
      </c>
      <c r="AK53" s="46" t="s">
        <v>63</v>
      </c>
      <c r="AL53" s="46" t="s">
        <v>64</v>
      </c>
      <c r="AM53" s="46" t="s">
        <v>65</v>
      </c>
      <c r="AN53" s="58" t="s">
        <v>66</v>
      </c>
      <c r="AO53" s="46" t="s">
        <v>67</v>
      </c>
      <c r="AP53" s="63"/>
      <c r="AQ53" s="66">
        <f t="shared" si="10"/>
        <v>23.5</v>
      </c>
      <c r="AR53" s="46">
        <f t="shared" ca="1" si="30"/>
        <v>0.97857089575610134</v>
      </c>
      <c r="AS53" s="46">
        <f t="shared" ca="1" si="31"/>
        <v>1.1172054555570858</v>
      </c>
      <c r="AT53" s="46">
        <f t="shared" ca="1" si="32"/>
        <v>0.84480729813082289</v>
      </c>
      <c r="AU53" s="46">
        <f t="shared" ca="1" si="33"/>
        <v>0.70945022386802026</v>
      </c>
      <c r="AX53" s="6"/>
      <c r="AY53" s="58">
        <f t="shared" ca="1" si="11"/>
        <v>97.857089575610132</v>
      </c>
      <c r="AZ53" s="58">
        <f t="shared" ca="1" si="21"/>
        <v>111.72054555570858</v>
      </c>
      <c r="BA53" s="58">
        <f t="shared" ca="1" si="22"/>
        <v>84.480729813082291</v>
      </c>
      <c r="BB53" s="58">
        <f t="shared" ca="1" si="23"/>
        <v>70.945022386802023</v>
      </c>
      <c r="BC53" s="58"/>
      <c r="BD53" s="57"/>
      <c r="BE53" s="46"/>
      <c r="BF53" s="57"/>
      <c r="BG53" s="57"/>
      <c r="BH53" s="46"/>
      <c r="BI53" s="46"/>
      <c r="BJ53" s="46"/>
      <c r="BK53" s="46"/>
      <c r="BL53" s="46"/>
      <c r="BM53" s="46"/>
      <c r="BN53" s="46"/>
      <c r="BO53" s="46"/>
      <c r="BP53" s="46"/>
      <c r="BQ53" s="46"/>
      <c r="BR53" s="46"/>
      <c r="BS53" s="46"/>
      <c r="BT53" s="46"/>
      <c r="BU53" s="46"/>
      <c r="BV53" s="46"/>
    </row>
    <row r="54" spans="20:74">
      <c r="T54" s="115"/>
      <c r="U54" s="115"/>
      <c r="V54" s="39"/>
      <c r="W54" s="39"/>
      <c r="X54" s="39"/>
      <c r="Y54" s="39"/>
      <c r="Z54" s="83"/>
      <c r="AA54" s="83"/>
      <c r="AB54" s="83"/>
      <c r="AC54" s="83"/>
      <c r="AE54" s="3" t="s">
        <v>32</v>
      </c>
      <c r="AF54" s="56" t="s">
        <v>77</v>
      </c>
      <c r="AG54" s="46" t="s">
        <v>78</v>
      </c>
      <c r="AH54" s="46" t="s">
        <v>79</v>
      </c>
      <c r="AI54" s="46"/>
      <c r="AJ54" s="58">
        <f>_xll.BDP(AF54, $AE54)</f>
        <v>19.09</v>
      </c>
      <c r="AK54" s="58">
        <f>_xll.BDP(AG54, $AE54)</f>
        <v>9.8699999999999992</v>
      </c>
      <c r="AL54" s="58">
        <f>_xll.BDP(AH54, $AE54)</f>
        <v>-16.88</v>
      </c>
      <c r="AM54" s="46"/>
      <c r="AN54" s="58"/>
      <c r="AO54" s="46"/>
      <c r="AP54" s="63"/>
      <c r="AQ54" s="66">
        <f t="shared" si="10"/>
        <v>24</v>
      </c>
      <c r="AR54" s="46">
        <f t="shared" ca="1" si="30"/>
        <v>0.97663039357554127</v>
      </c>
      <c r="AS54" s="46">
        <f t="shared" ca="1" si="31"/>
        <v>1.1187743583913854</v>
      </c>
      <c r="AT54" s="46">
        <f t="shared" ca="1" si="32"/>
        <v>0.84174005436068022</v>
      </c>
      <c r="AU54" s="46">
        <f t="shared" ca="1" si="33"/>
        <v>0.70395918078524222</v>
      </c>
      <c r="AX54" s="6"/>
      <c r="AY54" s="58">
        <f t="shared" ca="1" si="11"/>
        <v>97.663039357554126</v>
      </c>
      <c r="AZ54" s="58">
        <f t="shared" ca="1" si="21"/>
        <v>111.87743583913854</v>
      </c>
      <c r="BA54" s="58">
        <f t="shared" ca="1" si="22"/>
        <v>84.174005436068029</v>
      </c>
      <c r="BB54" s="58">
        <f t="shared" ca="1" si="23"/>
        <v>70.395918078524218</v>
      </c>
      <c r="BC54" s="58"/>
      <c r="BD54" s="57"/>
      <c r="BE54" s="46"/>
      <c r="BF54" s="57"/>
      <c r="BG54" s="57"/>
      <c r="BH54" s="46"/>
      <c r="BI54" s="46"/>
      <c r="BJ54" s="46"/>
      <c r="BK54" s="46"/>
      <c r="BL54" s="46"/>
      <c r="BM54" s="46"/>
      <c r="BN54" s="46"/>
      <c r="BO54" s="46"/>
      <c r="BP54" s="46"/>
      <c r="BQ54" s="46"/>
      <c r="BR54" s="46"/>
      <c r="BS54" s="46"/>
      <c r="BT54" s="46"/>
      <c r="BU54" s="46"/>
      <c r="BV54" s="46"/>
    </row>
    <row r="55" spans="20:74">
      <c r="T55" s="115"/>
      <c r="U55" s="48"/>
      <c r="V55" s="39"/>
      <c r="W55" s="39"/>
      <c r="X55" s="39"/>
      <c r="Y55" s="39"/>
      <c r="Z55" s="83"/>
      <c r="AA55" s="83"/>
      <c r="AB55" s="83"/>
      <c r="AC55" s="83"/>
      <c r="AE55" s="3" t="s">
        <v>33</v>
      </c>
      <c r="AF55" s="56" t="s">
        <v>77</v>
      </c>
      <c r="AG55" s="46" t="s">
        <v>78</v>
      </c>
      <c r="AH55" s="46" t="s">
        <v>79</v>
      </c>
      <c r="AI55" s="46"/>
      <c r="AJ55" s="58">
        <f>_xll.BDP(AF55, $AE55)</f>
        <v>19.21</v>
      </c>
      <c r="AK55" s="58">
        <f>_xll.BDP(AG55, $AE55)</f>
        <v>10.029999999999999</v>
      </c>
      <c r="AL55" s="58">
        <f>_xll.BDP(AH55, $AE55)</f>
        <v>-16.72</v>
      </c>
      <c r="AM55" s="46"/>
      <c r="AN55" s="58"/>
      <c r="AO55" s="46"/>
      <c r="AP55" s="63"/>
      <c r="AQ55" s="66">
        <f t="shared" si="10"/>
        <v>24.5</v>
      </c>
      <c r="AR55" s="46">
        <f t="shared" ca="1" si="30"/>
        <v>0.9746898913949813</v>
      </c>
      <c r="AS55" s="46">
        <f t="shared" ca="1" si="31"/>
        <v>1.1203432612256847</v>
      </c>
      <c r="AT55" s="46">
        <f t="shared" ca="1" si="32"/>
        <v>0.83867281059053744</v>
      </c>
      <c r="AU55" s="46">
        <f t="shared" ca="1" si="33"/>
        <v>0.69846813770246408</v>
      </c>
      <c r="AX55" s="6"/>
      <c r="AY55" s="58">
        <f t="shared" ca="1" si="11"/>
        <v>97.468989139498134</v>
      </c>
      <c r="AZ55" s="58">
        <f t="shared" ca="1" si="21"/>
        <v>112.03432612256847</v>
      </c>
      <c r="BA55" s="58">
        <f t="shared" ca="1" si="22"/>
        <v>83.867281059053738</v>
      </c>
      <c r="BB55" s="58">
        <f t="shared" ca="1" si="23"/>
        <v>69.846813770246413</v>
      </c>
      <c r="BC55" s="58"/>
      <c r="BD55" s="57"/>
      <c r="BE55" s="46"/>
      <c r="BF55" s="57"/>
      <c r="BG55" s="57"/>
      <c r="BH55" s="46"/>
      <c r="BI55" s="46"/>
      <c r="BJ55" s="46"/>
      <c r="BK55" s="46"/>
      <c r="BL55" s="46"/>
      <c r="BM55" s="46"/>
      <c r="BN55" s="46"/>
      <c r="BO55" s="46"/>
      <c r="BP55" s="46"/>
      <c r="BQ55" s="46"/>
      <c r="BR55" s="46"/>
      <c r="BS55" s="46"/>
      <c r="BT55" s="46"/>
      <c r="BU55" s="46"/>
      <c r="BV55" s="46"/>
    </row>
    <row r="56" spans="20:74">
      <c r="T56" s="48"/>
      <c r="U56" s="115"/>
      <c r="V56" s="39"/>
      <c r="W56" s="39"/>
      <c r="X56" s="39"/>
      <c r="Y56" s="39"/>
      <c r="Z56" s="83"/>
      <c r="AA56" s="83"/>
      <c r="AB56" s="83"/>
      <c r="AC56" s="83"/>
      <c r="AE56" s="3" t="s">
        <v>34</v>
      </c>
      <c r="AF56" s="56" t="s">
        <v>71</v>
      </c>
      <c r="AG56" s="46" t="s">
        <v>72</v>
      </c>
      <c r="AH56" s="46" t="s">
        <v>73</v>
      </c>
      <c r="AI56" s="46"/>
      <c r="AJ56" s="58">
        <f>_xll.BDP(AF56, $AE56)</f>
        <v>1.0837000000000001</v>
      </c>
      <c r="AK56" s="58">
        <f>_xll.BDP(AG56, $AE56)</f>
        <v>1.2963</v>
      </c>
      <c r="AL56" s="58">
        <f>_xll.BDP(AH56, $AE56)</f>
        <v>110.52</v>
      </c>
      <c r="AM56" s="46">
        <f>AJ56/AK56</f>
        <v>0.83599475430070203</v>
      </c>
      <c r="AN56" s="58">
        <f>AL56*AJ56</f>
        <v>119.77052400000001</v>
      </c>
      <c r="AO56" s="46">
        <f>AL56*AK56</f>
        <v>143.267076</v>
      </c>
      <c r="AP56" s="63"/>
      <c r="AQ56" s="66">
        <f t="shared" si="10"/>
        <v>25</v>
      </c>
      <c r="AR56" s="46">
        <f t="shared" ca="1" si="30"/>
        <v>0.97274938921442133</v>
      </c>
      <c r="AS56" s="46">
        <f t="shared" ca="1" si="31"/>
        <v>1.1219121640599841</v>
      </c>
      <c r="AT56" s="46">
        <f t="shared" ca="1" si="32"/>
        <v>0.83560556682039477</v>
      </c>
      <c r="AU56" s="46">
        <f t="shared" ca="1" si="33"/>
        <v>0.69297709461968604</v>
      </c>
      <c r="AX56" s="6"/>
      <c r="AY56" s="58">
        <f t="shared" ca="1" si="11"/>
        <v>97.274938921442129</v>
      </c>
      <c r="AZ56" s="58">
        <f t="shared" ca="1" si="21"/>
        <v>112.1912164059984</v>
      </c>
      <c r="BA56" s="58">
        <f t="shared" ca="1" si="22"/>
        <v>83.560556682039476</v>
      </c>
      <c r="BB56" s="58">
        <f t="shared" ca="1" si="23"/>
        <v>69.297709461968608</v>
      </c>
      <c r="BC56" s="58"/>
      <c r="BD56" s="57"/>
      <c r="BE56" s="46"/>
      <c r="BF56" s="57"/>
      <c r="BG56" s="57"/>
      <c r="BH56" s="46"/>
      <c r="BI56" s="46"/>
      <c r="BJ56" s="46"/>
      <c r="BK56" s="46"/>
      <c r="BL56" s="46"/>
      <c r="BM56" s="46"/>
      <c r="BN56" s="46"/>
      <c r="BO56" s="46"/>
      <c r="BP56" s="46"/>
      <c r="BQ56" s="46"/>
      <c r="BR56" s="46"/>
      <c r="BS56" s="46"/>
      <c r="BT56" s="46"/>
      <c r="BU56" s="46"/>
      <c r="BV56" s="46"/>
    </row>
    <row r="57" spans="20:74">
      <c r="T57" s="48"/>
      <c r="U57" s="115"/>
      <c r="V57" s="39"/>
      <c r="W57" s="39"/>
      <c r="X57" s="39"/>
      <c r="Y57" s="39"/>
      <c r="Z57" s="83"/>
      <c r="AA57" s="83"/>
      <c r="AB57" s="83"/>
      <c r="AC57" s="83"/>
      <c r="AF57" s="56" t="s">
        <v>74</v>
      </c>
      <c r="AG57" s="46"/>
      <c r="AH57" s="46"/>
      <c r="AI57" s="46"/>
      <c r="AJ57" s="58">
        <f>AJ56+AVERAGE(AJ54:AJ55)/10^4</f>
        <v>1.085615</v>
      </c>
      <c r="AK57" s="58">
        <f>AK56+AVERAGE(AK54:AK55)/10^4</f>
        <v>1.2972950000000001</v>
      </c>
      <c r="AL57" s="58">
        <f>AL56+AVERAGE(AL54:AL55)/10^2</f>
        <v>110.35199999999999</v>
      </c>
      <c r="AM57" s="58">
        <f>AJ57/AK57</f>
        <v>0.83682971105261328</v>
      </c>
      <c r="AN57" s="58">
        <f>AL57*AJ57</f>
        <v>119.79978647999999</v>
      </c>
      <c r="AO57" s="58">
        <f>AL57*AK57</f>
        <v>143.15909783999999</v>
      </c>
      <c r="AP57" s="63"/>
      <c r="AQ57" s="66">
        <f t="shared" si="10"/>
        <v>25.5</v>
      </c>
      <c r="AR57" s="46">
        <f t="shared" ca="1" si="30"/>
        <v>0.97080888703386137</v>
      </c>
      <c r="AS57" s="46">
        <f t="shared" ca="1" si="31"/>
        <v>1.1234810668942836</v>
      </c>
      <c r="AT57" s="46">
        <f t="shared" ca="1" si="32"/>
        <v>0.8325383230502521</v>
      </c>
      <c r="AU57" s="46">
        <f t="shared" ca="1" si="33"/>
        <v>0.68812797197240838</v>
      </c>
      <c r="AX57" s="6"/>
      <c r="AY57" s="58">
        <f t="shared" ca="1" si="11"/>
        <v>97.080888703386137</v>
      </c>
      <c r="AZ57" s="58">
        <f t="shared" ca="1" si="21"/>
        <v>112.34810668942836</v>
      </c>
      <c r="BA57" s="58">
        <f t="shared" ca="1" si="22"/>
        <v>83.253832305025213</v>
      </c>
      <c r="BB57" s="58">
        <f t="shared" ca="1" si="23"/>
        <v>68.81279719724084</v>
      </c>
      <c r="BC57" s="58"/>
      <c r="BD57" s="57"/>
      <c r="BE57" s="46"/>
      <c r="BF57" s="57"/>
      <c r="BG57" s="57"/>
      <c r="BH57" s="46"/>
      <c r="BI57" s="46"/>
      <c r="BJ57" s="46"/>
      <c r="BK57" s="46"/>
      <c r="BL57" s="46"/>
      <c r="BM57" s="46"/>
      <c r="BN57" s="46"/>
      <c r="BO57" s="46"/>
      <c r="BP57" s="46"/>
      <c r="BQ57" s="46"/>
      <c r="BR57" s="46"/>
      <c r="BS57" s="46"/>
      <c r="BT57" s="46"/>
      <c r="BU57" s="46"/>
      <c r="BV57" s="46"/>
    </row>
    <row r="58" spans="20:74">
      <c r="T58" s="39"/>
      <c r="U58" s="115"/>
      <c r="V58" s="39"/>
      <c r="W58" s="39"/>
      <c r="X58" s="39"/>
      <c r="Y58" s="39"/>
      <c r="Z58" s="83"/>
      <c r="AA58" s="83"/>
      <c r="AB58" s="83"/>
      <c r="AC58" s="83"/>
      <c r="AF58" s="56" t="s">
        <v>36</v>
      </c>
      <c r="AG58" s="46"/>
      <c r="AH58" s="46"/>
      <c r="AI58" s="46"/>
      <c r="AJ58" s="58">
        <f>(AJ57/AJ56 - 1)*10^4</f>
        <v>17.670942142657964</v>
      </c>
      <c r="AK58" s="58">
        <f>(AK57/AK56 - 1)*10^4</f>
        <v>7.6756923551646317</v>
      </c>
      <c r="AL58" s="58">
        <f>(1-AL57/AL56)*10^4</f>
        <v>15.200868621064734</v>
      </c>
      <c r="AM58" s="58">
        <f>(AM57/AM56 - 1)*10^4</f>
        <v>9.9875836255658434</v>
      </c>
      <c r="AN58" s="58">
        <f>(1-AN57/AN56)*10^4</f>
        <v>-2.4432121546014152</v>
      </c>
      <c r="AO58" s="58">
        <f>(1-AO57/AO56)*10^4</f>
        <v>7.5368439850076463</v>
      </c>
      <c r="AP58" s="63"/>
      <c r="AQ58" s="66">
        <f t="shared" si="10"/>
        <v>26</v>
      </c>
      <c r="AR58" s="46">
        <f t="shared" ca="1" si="30"/>
        <v>0.96886838485330129</v>
      </c>
      <c r="AS58" s="46">
        <f t="shared" ca="1" si="31"/>
        <v>1.125049969728583</v>
      </c>
      <c r="AT58" s="46">
        <f t="shared" ca="1" si="32"/>
        <v>0.82947107928010932</v>
      </c>
      <c r="AU58" s="46">
        <f t="shared" ca="1" si="33"/>
        <v>0.68327979700899633</v>
      </c>
      <c r="AX58" s="6"/>
      <c r="AY58" s="58">
        <f t="shared" ca="1" si="11"/>
        <v>96.886838485330131</v>
      </c>
      <c r="AZ58" s="58">
        <f t="shared" ca="1" si="21"/>
        <v>112.50499697285829</v>
      </c>
      <c r="BA58" s="58">
        <f t="shared" ca="1" si="22"/>
        <v>82.947107928010936</v>
      </c>
      <c r="BB58" s="58">
        <f t="shared" ca="1" si="23"/>
        <v>68.327979700899633</v>
      </c>
      <c r="BC58" s="58"/>
      <c r="BD58" s="57"/>
      <c r="BE58" s="46"/>
      <c r="BF58" s="57"/>
      <c r="BG58" s="57"/>
      <c r="BH58" s="46"/>
      <c r="BI58" s="46"/>
      <c r="BJ58" s="46"/>
      <c r="BK58" s="46"/>
      <c r="BL58" s="46"/>
      <c r="BM58" s="46"/>
      <c r="BN58" s="46"/>
      <c r="BO58" s="46"/>
      <c r="BP58" s="46"/>
      <c r="BQ58" s="46"/>
      <c r="BR58" s="46"/>
      <c r="BS58" s="46"/>
      <c r="BT58" s="46"/>
      <c r="BU58" s="46"/>
      <c r="BV58" s="46"/>
    </row>
    <row r="59" spans="20:74">
      <c r="T59" s="39"/>
      <c r="U59" s="115"/>
      <c r="V59" s="39"/>
      <c r="W59" s="39"/>
      <c r="X59" s="39"/>
      <c r="Y59" s="39"/>
      <c r="Z59" s="83"/>
      <c r="AA59" s="83"/>
      <c r="AB59" s="83"/>
      <c r="AC59" s="83"/>
      <c r="AF59" s="56" t="s">
        <v>38</v>
      </c>
      <c r="AG59" s="46"/>
      <c r="AH59" s="46"/>
      <c r="AI59" s="46"/>
      <c r="AJ59" s="58">
        <f>AJ58*12</f>
        <v>212.05130571189557</v>
      </c>
      <c r="AK59" s="58">
        <f t="shared" ref="AK59:AO59" si="35">AK58*12</f>
        <v>92.10830826197558</v>
      </c>
      <c r="AL59" s="58">
        <f t="shared" si="35"/>
        <v>182.4104234527768</v>
      </c>
      <c r="AM59" s="58">
        <f t="shared" si="35"/>
        <v>119.85100350679012</v>
      </c>
      <c r="AN59" s="58">
        <f t="shared" si="35"/>
        <v>-29.318545855216982</v>
      </c>
      <c r="AO59" s="58">
        <f t="shared" si="35"/>
        <v>90.442127820091756</v>
      </c>
      <c r="AP59" s="63"/>
      <c r="AQ59" s="66">
        <f t="shared" si="10"/>
        <v>26.5</v>
      </c>
      <c r="AR59" s="46">
        <f t="shared" ca="1" si="30"/>
        <v>0.96692788267274132</v>
      </c>
      <c r="AS59" s="46">
        <f t="shared" ca="1" si="31"/>
        <v>1.1266188725628825</v>
      </c>
      <c r="AT59" s="46">
        <f t="shared" ca="1" si="32"/>
        <v>0.82640383550996666</v>
      </c>
      <c r="AU59" s="46">
        <f t="shared" ca="1" si="33"/>
        <v>0.67843162204558427</v>
      </c>
      <c r="AX59" s="6"/>
      <c r="AY59" s="58">
        <f t="shared" ca="1" si="11"/>
        <v>96.692788267274139</v>
      </c>
      <c r="AZ59" s="58">
        <f t="shared" ca="1" si="21"/>
        <v>112.66188725628825</v>
      </c>
      <c r="BA59" s="58">
        <f t="shared" ca="1" si="22"/>
        <v>82.64038355099666</v>
      </c>
      <c r="BB59" s="58">
        <f t="shared" ca="1" si="23"/>
        <v>67.843162204558425</v>
      </c>
      <c r="BC59" s="58"/>
      <c r="BD59" s="57"/>
      <c r="BE59" s="46"/>
      <c r="BF59" s="57"/>
      <c r="BG59" s="57"/>
      <c r="BH59" s="46"/>
      <c r="BI59" s="46"/>
      <c r="BJ59" s="46"/>
      <c r="BK59" s="46"/>
      <c r="BL59" s="46"/>
      <c r="BM59" s="46"/>
      <c r="BN59" s="46"/>
      <c r="BO59" s="46"/>
      <c r="BP59" s="46"/>
      <c r="BQ59" s="46"/>
      <c r="BR59" s="46"/>
      <c r="BS59" s="46"/>
      <c r="BT59" s="46"/>
      <c r="BU59" s="46"/>
      <c r="BV59" s="46"/>
    </row>
    <row r="60" spans="20:74">
      <c r="T60" s="39"/>
      <c r="U60" s="115"/>
      <c r="V60" s="39"/>
      <c r="W60" s="39"/>
      <c r="X60" s="39"/>
      <c r="Y60" s="39"/>
      <c r="Z60" s="83"/>
      <c r="AA60" s="83"/>
      <c r="AB60" s="83"/>
      <c r="AC60" s="83"/>
      <c r="AF60" s="56"/>
      <c r="AG60" s="46"/>
      <c r="AL60" s="46"/>
      <c r="AM60" s="46"/>
      <c r="AN60" s="58"/>
      <c r="AO60" s="46"/>
      <c r="AP60" s="63"/>
      <c r="AQ60" s="66">
        <f t="shared" si="10"/>
        <v>27</v>
      </c>
      <c r="AR60" s="46">
        <f t="shared" ca="1" si="30"/>
        <v>0.96498738049218136</v>
      </c>
      <c r="AS60" s="46">
        <f t="shared" ca="1" si="31"/>
        <v>1.1281877753971818</v>
      </c>
      <c r="AT60" s="46">
        <f t="shared" ca="1" si="32"/>
        <v>0.82333659173982388</v>
      </c>
      <c r="AU60" s="46">
        <f t="shared" ca="1" si="33"/>
        <v>0.67358344708217222</v>
      </c>
      <c r="AX60" s="6"/>
      <c r="AY60" s="58">
        <f t="shared" ca="1" si="11"/>
        <v>96.498738049218133</v>
      </c>
      <c r="AZ60" s="58">
        <f t="shared" ca="1" si="21"/>
        <v>112.81877753971818</v>
      </c>
      <c r="BA60" s="58">
        <f t="shared" ca="1" si="22"/>
        <v>82.333659173982383</v>
      </c>
      <c r="BB60" s="58">
        <f t="shared" ca="1" si="23"/>
        <v>67.358344708217217</v>
      </c>
      <c r="BC60" s="58"/>
      <c r="BD60" s="57"/>
      <c r="BE60" s="46"/>
      <c r="BF60" s="57"/>
      <c r="BG60" s="57"/>
      <c r="BH60" s="46"/>
      <c r="BI60" s="46"/>
      <c r="BJ60" s="46"/>
      <c r="BK60" s="46"/>
      <c r="BL60" s="46"/>
      <c r="BM60" s="46"/>
      <c r="BN60" s="46"/>
      <c r="BO60" s="46"/>
      <c r="BP60" s="46"/>
      <c r="BQ60" s="46"/>
      <c r="BR60" s="46"/>
      <c r="BS60" s="46"/>
      <c r="BT60" s="46"/>
      <c r="BU60" s="46"/>
      <c r="BV60" s="46"/>
    </row>
    <row r="61" spans="20:74">
      <c r="T61" s="39"/>
      <c r="U61" s="115"/>
      <c r="V61" s="39"/>
      <c r="W61" s="39"/>
      <c r="X61" s="39"/>
      <c r="Y61" s="39"/>
      <c r="Z61" s="83"/>
      <c r="AA61" s="83"/>
      <c r="AB61" s="83"/>
      <c r="AC61" s="83"/>
      <c r="AF61" s="56"/>
      <c r="AG61" s="46"/>
      <c r="AL61" s="46"/>
      <c r="AM61" s="46"/>
      <c r="AN61" s="58"/>
      <c r="AO61" s="46"/>
      <c r="AP61" s="63"/>
      <c r="AQ61" s="66">
        <f t="shared" si="10"/>
        <v>27.5</v>
      </c>
      <c r="AR61" s="46">
        <f t="shared" ca="1" si="30"/>
        <v>0.96304687831162128</v>
      </c>
      <c r="AS61" s="46">
        <f t="shared" ca="1" si="31"/>
        <v>1.1297566782314814</v>
      </c>
      <c r="AT61" s="46">
        <f t="shared" ca="1" si="32"/>
        <v>0.82026934796968121</v>
      </c>
      <c r="AU61" s="46">
        <f t="shared" ca="1" si="33"/>
        <v>0.66873527211876005</v>
      </c>
      <c r="AX61" s="6"/>
      <c r="AY61" s="58">
        <f t="shared" ca="1" si="11"/>
        <v>96.304687831162127</v>
      </c>
      <c r="AZ61" s="58">
        <f t="shared" ca="1" si="21"/>
        <v>112.97566782314814</v>
      </c>
      <c r="BA61" s="58">
        <f t="shared" ca="1" si="22"/>
        <v>82.026934796968121</v>
      </c>
      <c r="BB61" s="58">
        <f t="shared" ca="1" si="23"/>
        <v>66.873527211876009</v>
      </c>
      <c r="BC61" s="58"/>
      <c r="BD61" s="57"/>
      <c r="BE61" s="46"/>
      <c r="BF61" s="57"/>
      <c r="BG61" s="57"/>
      <c r="BH61" s="46"/>
      <c r="BI61" s="46"/>
      <c r="BJ61" s="46"/>
      <c r="BK61" s="46"/>
      <c r="BL61" s="46"/>
      <c r="BM61" s="46"/>
      <c r="BN61" s="46"/>
      <c r="BO61" s="46"/>
      <c r="BP61" s="46"/>
      <c r="BQ61" s="46"/>
      <c r="BR61" s="46"/>
      <c r="BS61" s="46"/>
      <c r="BT61" s="46"/>
      <c r="BU61" s="46"/>
      <c r="BV61" s="46"/>
    </row>
    <row r="62" spans="20:74">
      <c r="T62" s="39"/>
      <c r="U62" s="48"/>
      <c r="V62" s="39"/>
      <c r="W62" s="39"/>
      <c r="X62" s="39"/>
      <c r="Y62" s="39"/>
      <c r="Z62" s="83"/>
      <c r="AA62" s="83"/>
      <c r="AB62" s="83"/>
      <c r="AC62" s="83"/>
      <c r="AD62" s="46"/>
      <c r="AF62" s="56"/>
      <c r="AG62" s="46"/>
      <c r="AL62" s="46"/>
      <c r="AM62" s="46"/>
      <c r="AN62" s="58"/>
      <c r="AO62" s="46"/>
      <c r="AP62" s="63"/>
      <c r="AQ62" s="66">
        <f t="shared" si="10"/>
        <v>28</v>
      </c>
      <c r="AR62" s="46">
        <f t="shared" ca="1" si="30"/>
        <v>0.96110637613106131</v>
      </c>
      <c r="AS62" s="46">
        <f t="shared" ca="1" si="31"/>
        <v>1.1313255810657807</v>
      </c>
      <c r="AT62" s="46">
        <f t="shared" ca="1" si="32"/>
        <v>0.81720210419953854</v>
      </c>
      <c r="AU62" s="46">
        <f t="shared" ca="1" si="33"/>
        <v>0.66388709715534799</v>
      </c>
      <c r="AX62" s="6"/>
      <c r="AY62" s="58">
        <f t="shared" ca="1" si="11"/>
        <v>96.110637613106135</v>
      </c>
      <c r="AZ62" s="58">
        <f t="shared" ca="1" si="21"/>
        <v>113.13255810657807</v>
      </c>
      <c r="BA62" s="58">
        <f t="shared" ca="1" si="22"/>
        <v>81.720210419953858</v>
      </c>
      <c r="BB62" s="58">
        <f t="shared" ca="1" si="23"/>
        <v>66.388709715534802</v>
      </c>
      <c r="BC62" s="58"/>
      <c r="BD62" s="57"/>
      <c r="BE62" s="46"/>
      <c r="BF62" s="57"/>
      <c r="BG62" s="57"/>
      <c r="BH62" s="46"/>
      <c r="BI62" s="46"/>
      <c r="BJ62" s="46"/>
      <c r="BK62" s="46"/>
      <c r="BL62" s="46"/>
      <c r="BM62" s="46"/>
      <c r="BN62" s="46"/>
      <c r="BO62" s="46"/>
      <c r="BP62" s="46"/>
      <c r="BQ62" s="46"/>
      <c r="BR62" s="46"/>
      <c r="BS62" s="46"/>
      <c r="BT62" s="46"/>
      <c r="BU62" s="46"/>
      <c r="BV62" s="46"/>
    </row>
    <row r="63" spans="20:74">
      <c r="T63" s="39"/>
      <c r="U63" s="115"/>
      <c r="V63" s="39"/>
      <c r="W63" s="39"/>
      <c r="X63" s="39"/>
      <c r="Y63" s="39"/>
      <c r="Z63" s="83"/>
      <c r="AA63" s="83"/>
      <c r="AB63" s="83"/>
      <c r="AC63" s="83"/>
      <c r="AD63" s="46"/>
      <c r="AF63" s="56"/>
      <c r="AG63" s="46"/>
      <c r="AL63" s="46"/>
      <c r="AM63" s="46"/>
      <c r="AN63" s="58"/>
      <c r="AO63" s="46"/>
      <c r="AP63" s="63"/>
      <c r="AQ63" s="66">
        <f t="shared" si="10"/>
        <v>28.5</v>
      </c>
      <c r="AR63" s="46">
        <f t="shared" ca="1" si="30"/>
        <v>0.95916587395050135</v>
      </c>
      <c r="AS63" s="46">
        <f t="shared" ca="1" si="31"/>
        <v>1.1328944839000803</v>
      </c>
      <c r="AT63" s="46">
        <f t="shared" ca="1" si="32"/>
        <v>0.81413486042939576</v>
      </c>
      <c r="AU63" s="46">
        <f t="shared" ca="1" si="33"/>
        <v>0.65903892219193594</v>
      </c>
      <c r="AX63" s="6"/>
      <c r="AY63" s="58">
        <f t="shared" ca="1" si="11"/>
        <v>95.916587395050129</v>
      </c>
      <c r="AZ63" s="58">
        <f t="shared" ca="1" si="21"/>
        <v>113.28944839000803</v>
      </c>
      <c r="BA63" s="58">
        <f t="shared" ca="1" si="22"/>
        <v>81.413486042939581</v>
      </c>
      <c r="BB63" s="58">
        <f t="shared" ca="1" si="23"/>
        <v>65.903892219193594</v>
      </c>
      <c r="BC63" s="58"/>
      <c r="BD63" s="57"/>
      <c r="BE63" s="46"/>
      <c r="BF63" s="57"/>
      <c r="BG63" s="57"/>
      <c r="BH63" s="46"/>
      <c r="BI63" s="46"/>
      <c r="BJ63" s="46"/>
      <c r="BK63" s="46"/>
      <c r="BL63" s="46"/>
      <c r="BM63" s="46"/>
      <c r="BN63" s="46"/>
      <c r="BO63" s="46"/>
      <c r="BP63" s="46"/>
      <c r="BQ63" s="46"/>
      <c r="BR63" s="46"/>
      <c r="BS63" s="46"/>
      <c r="BT63" s="46"/>
      <c r="BU63" s="46"/>
      <c r="BV63" s="46"/>
    </row>
    <row r="64" spans="20:74"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46"/>
      <c r="AE64" s="62" t="s">
        <v>50</v>
      </c>
      <c r="AF64" s="62" t="s">
        <v>51</v>
      </c>
      <c r="AG64" s="98" t="s">
        <v>59</v>
      </c>
      <c r="AH64" s="62" t="s">
        <v>80</v>
      </c>
      <c r="AI64" s="4" t="s">
        <v>81</v>
      </c>
      <c r="AL64" s="46"/>
      <c r="AM64" s="46"/>
      <c r="AN64" s="58"/>
      <c r="AO64" s="46"/>
      <c r="AP64" s="63"/>
      <c r="AQ64" s="66">
        <f t="shared" si="10"/>
        <v>29</v>
      </c>
      <c r="AR64" s="46">
        <f t="shared" ca="1" si="30"/>
        <v>0.95722537176994138</v>
      </c>
      <c r="AS64" s="46">
        <f t="shared" ca="1" si="31"/>
        <v>1.1344633867343796</v>
      </c>
      <c r="AT64" s="46">
        <f t="shared" ca="1" si="32"/>
        <v>0.81106761665925309</v>
      </c>
      <c r="AU64" s="46">
        <f t="shared" ca="1" si="33"/>
        <v>0.65419074722852388</v>
      </c>
      <c r="AX64" s="6"/>
      <c r="AY64" s="58">
        <f t="shared" ca="1" si="11"/>
        <v>95.722537176994138</v>
      </c>
      <c r="AZ64" s="58">
        <f t="shared" ca="1" si="21"/>
        <v>113.44633867343796</v>
      </c>
      <c r="BA64" s="58">
        <f t="shared" ca="1" si="22"/>
        <v>81.106761665925305</v>
      </c>
      <c r="BB64" s="58">
        <f t="shared" ca="1" si="23"/>
        <v>65.419074722852386</v>
      </c>
      <c r="BC64" s="58"/>
      <c r="BD64" s="57"/>
      <c r="BE64" s="46"/>
      <c r="BF64" s="57"/>
      <c r="BG64" s="57"/>
      <c r="BH64" s="46"/>
      <c r="BI64" s="46"/>
      <c r="BJ64" s="46"/>
      <c r="BK64" s="46"/>
      <c r="BL64" s="46"/>
      <c r="BM64" s="46"/>
      <c r="BN64" s="46"/>
      <c r="BO64" s="46"/>
      <c r="BP64" s="46"/>
      <c r="BQ64" s="46"/>
      <c r="BR64" s="46"/>
      <c r="BS64" s="46"/>
      <c r="BT64" s="46"/>
      <c r="BU64" s="46"/>
      <c r="BV64" s="46"/>
    </row>
    <row r="65" spans="20:74">
      <c r="T65" s="39"/>
      <c r="U65" s="115"/>
      <c r="V65" s="39"/>
      <c r="W65" s="39"/>
      <c r="X65" s="39"/>
      <c r="Y65" s="39"/>
      <c r="Z65" s="83"/>
      <c r="AA65" s="83"/>
      <c r="AB65" s="83"/>
      <c r="AC65" s="83"/>
      <c r="AD65" s="46"/>
      <c r="AE65" s="62" t="s">
        <v>20</v>
      </c>
      <c r="AF65" s="62" t="s">
        <v>20</v>
      </c>
      <c r="AG65" s="98" t="str">
        <f>AE65&amp;":"&amp;AF65</f>
        <v>USD:USD</v>
      </c>
      <c r="AH65" s="114">
        <v>0</v>
      </c>
      <c r="AI65" s="30">
        <v>0</v>
      </c>
      <c r="AL65" s="46"/>
      <c r="AM65" s="46"/>
      <c r="AN65" s="58"/>
      <c r="AO65" s="46"/>
      <c r="AP65" s="63"/>
      <c r="AQ65" s="66">
        <f t="shared" si="10"/>
        <v>29.5</v>
      </c>
      <c r="AR65" s="46">
        <f t="shared" ca="1" si="30"/>
        <v>0.9552848695893813</v>
      </c>
      <c r="AS65" s="46">
        <f t="shared" ca="1" si="31"/>
        <v>1.136032289568679</v>
      </c>
      <c r="AT65" s="46">
        <f t="shared" ca="1" si="32"/>
        <v>0.80800037288911042</v>
      </c>
      <c r="AU65" s="46">
        <f t="shared" ca="1" si="33"/>
        <v>0.64934257226511183</v>
      </c>
      <c r="AX65" s="6"/>
      <c r="AY65" s="58">
        <f t="shared" ca="1" si="11"/>
        <v>95.528486958938132</v>
      </c>
      <c r="AZ65" s="58">
        <f t="shared" ca="1" si="21"/>
        <v>113.60322895686789</v>
      </c>
      <c r="BA65" s="58">
        <f t="shared" ca="1" si="22"/>
        <v>80.800037288911042</v>
      </c>
      <c r="BB65" s="58">
        <f t="shared" ca="1" si="23"/>
        <v>64.934257226511178</v>
      </c>
      <c r="BC65" s="58"/>
      <c r="BD65" s="57"/>
      <c r="BE65" s="46"/>
      <c r="BF65" s="57"/>
      <c r="BG65" s="57"/>
      <c r="BH65" s="46"/>
      <c r="BI65" s="46"/>
      <c r="BJ65" s="46"/>
      <c r="BK65" s="46"/>
      <c r="BL65" s="46"/>
      <c r="BM65" s="46"/>
      <c r="BN65" s="46"/>
      <c r="BO65" s="46"/>
      <c r="BP65" s="46"/>
      <c r="BQ65" s="46"/>
      <c r="BR65" s="46"/>
      <c r="BS65" s="46"/>
      <c r="BT65" s="46"/>
      <c r="BU65" s="46"/>
      <c r="BV65" s="46"/>
    </row>
    <row r="66" spans="20:74">
      <c r="T66" s="39"/>
      <c r="U66" s="115"/>
      <c r="V66" s="39"/>
      <c r="W66" s="39"/>
      <c r="X66" s="39"/>
      <c r="Y66" s="39"/>
      <c r="Z66" s="83"/>
      <c r="AA66" s="83"/>
      <c r="AB66" s="83"/>
      <c r="AC66" s="83"/>
      <c r="AD66" s="46"/>
      <c r="AE66" s="62" t="s">
        <v>20</v>
      </c>
      <c r="AF66" s="62" t="s">
        <v>12</v>
      </c>
      <c r="AG66" s="98" t="str">
        <f t="shared" ref="AG66:AG76" si="36">AE66&amp;":"&amp;AF66</f>
        <v>USD:EUR</v>
      </c>
      <c r="AH66" s="114">
        <f>AJ50</f>
        <v>217.80935683306524</v>
      </c>
      <c r="AI66" s="30">
        <f>AJ59</f>
        <v>212.05130571189557</v>
      </c>
      <c r="AL66" s="46"/>
      <c r="AM66" s="46"/>
      <c r="AN66" s="58"/>
      <c r="AO66" s="46"/>
      <c r="AP66" s="63"/>
      <c r="AQ66" s="66">
        <f t="shared" si="10"/>
        <v>30</v>
      </c>
      <c r="AR66" s="46">
        <f t="shared" ca="1" si="30"/>
        <v>0.95334436740882134</v>
      </c>
      <c r="AS66" s="46">
        <f t="shared" ca="1" si="31"/>
        <v>1.1376011924029785</v>
      </c>
      <c r="AT66" s="46">
        <f t="shared" ca="1" si="32"/>
        <v>0.80493312911896764</v>
      </c>
      <c r="AU66" s="46">
        <f t="shared" ca="1" si="33"/>
        <v>0.64449439730169966</v>
      </c>
      <c r="AX66" s="6"/>
      <c r="AY66" s="58">
        <f t="shared" ca="1" si="11"/>
        <v>95.33443674088214</v>
      </c>
      <c r="AZ66" s="58">
        <f t="shared" ca="1" si="21"/>
        <v>113.76011924029785</v>
      </c>
      <c r="BA66" s="58">
        <f t="shared" ca="1" si="22"/>
        <v>80.493312911896766</v>
      </c>
      <c r="BB66" s="58">
        <f t="shared" ca="1" si="23"/>
        <v>64.449439730169971</v>
      </c>
      <c r="BC66" s="58"/>
      <c r="BD66" s="57"/>
      <c r="BE66" s="46"/>
      <c r="BF66" s="57"/>
      <c r="BG66" s="57"/>
      <c r="BH66" s="46"/>
      <c r="BI66" s="46"/>
      <c r="BJ66" s="46"/>
      <c r="BK66" s="46"/>
      <c r="BL66" s="46"/>
      <c r="BM66" s="46"/>
      <c r="BN66" s="46"/>
      <c r="BO66" s="46"/>
      <c r="BP66" s="46"/>
      <c r="BQ66" s="46"/>
      <c r="BR66" s="46"/>
      <c r="BS66" s="46"/>
      <c r="BT66" s="46"/>
      <c r="BU66" s="46"/>
      <c r="BV66" s="46"/>
    </row>
    <row r="67" spans="20:74">
      <c r="T67" s="39"/>
      <c r="U67" s="115"/>
      <c r="V67" s="39"/>
      <c r="W67" s="39"/>
      <c r="X67" s="39"/>
      <c r="Y67" s="39"/>
      <c r="Z67" s="83"/>
      <c r="AA67" s="83"/>
      <c r="AB67" s="83"/>
      <c r="AC67" s="83"/>
      <c r="AD67" s="46"/>
      <c r="AE67" s="62" t="s">
        <v>20</v>
      </c>
      <c r="AF67" s="62" t="s">
        <v>14</v>
      </c>
      <c r="AG67" s="98" t="str">
        <f t="shared" si="36"/>
        <v>USD:GBP</v>
      </c>
      <c r="AH67" s="114">
        <f>AK50</f>
        <v>95.07058551260883</v>
      </c>
      <c r="AI67" s="30">
        <f>AK59</f>
        <v>92.10830826197558</v>
      </c>
      <c r="AL67" s="46"/>
      <c r="AM67" s="46"/>
      <c r="AN67" s="58"/>
      <c r="AO67" s="46"/>
      <c r="AP67" s="46"/>
      <c r="AQ67" s="66">
        <f t="shared" si="10"/>
        <v>30.5</v>
      </c>
      <c r="AR67" s="91">
        <f ca="1">TREND(AR$46:AR$66, $AQ$46:$AQ$66, $AQ67)</f>
        <v>0.95140386522826115</v>
      </c>
      <c r="AS67" s="91">
        <f ca="1">TREND(AS$46:AS$66, $AQ$46:$AQ$66, $AQ67)</f>
        <v>1.1391700952372779</v>
      </c>
      <c r="AT67" s="91">
        <f ca="1">TREND(AT$46:AT$66, $AQ$46:$AQ$66, $AQ67)</f>
        <v>0.80186588534882508</v>
      </c>
      <c r="AU67" s="46">
        <f t="shared" ca="1" si="33"/>
        <v>0.64087570246959302</v>
      </c>
      <c r="AX67" s="6"/>
      <c r="AY67" s="58">
        <f t="shared" ref="AY67:AY77" ca="1" si="37">$AR$2*AR67</f>
        <v>95.14038652282612</v>
      </c>
      <c r="AZ67" s="58">
        <f t="shared" ref="AZ67:AZ77" ca="1" si="38">$AR$2*AS67</f>
        <v>113.91700952372778</v>
      </c>
      <c r="BA67" s="58">
        <f t="shared" ref="BA67:BA77" ca="1" si="39">$AR$2*AT67</f>
        <v>80.186588534882503</v>
      </c>
      <c r="BB67" s="58">
        <f t="shared" ref="BB67:BB77" ca="1" si="40">$AR$2*AU67</f>
        <v>64.087570246959302</v>
      </c>
      <c r="BC67" s="58"/>
      <c r="BD67" s="57"/>
      <c r="BE67" s="46"/>
      <c r="BF67" s="57"/>
      <c r="BG67" s="57"/>
      <c r="BH67" s="46"/>
      <c r="BI67" s="46"/>
      <c r="BJ67" s="46"/>
      <c r="BK67" s="46"/>
      <c r="BL67" s="46"/>
      <c r="BM67" s="46"/>
      <c r="BN67" s="46"/>
      <c r="BO67" s="46"/>
      <c r="BP67" s="46"/>
      <c r="BQ67" s="46"/>
      <c r="BR67" s="46"/>
      <c r="BS67" s="46"/>
      <c r="BT67" s="46"/>
      <c r="BU67" s="46"/>
      <c r="BV67" s="46"/>
    </row>
    <row r="68" spans="20:74">
      <c r="T68" s="39"/>
      <c r="U68" s="115"/>
      <c r="V68" s="39"/>
      <c r="W68" s="39"/>
      <c r="X68" s="39"/>
      <c r="Y68" s="39"/>
      <c r="Z68" s="83"/>
      <c r="AA68" s="83"/>
      <c r="AB68" s="83"/>
      <c r="AC68" s="83"/>
      <c r="AD68" s="46"/>
      <c r="AE68" s="62" t="s">
        <v>20</v>
      </c>
      <c r="AF68" s="62" t="s">
        <v>13</v>
      </c>
      <c r="AG68" s="98" t="str">
        <f t="shared" si="36"/>
        <v>USD:JPY</v>
      </c>
      <c r="AH68" s="114">
        <f>AL50</f>
        <v>193.9377488237426</v>
      </c>
      <c r="AI68" s="30">
        <f>AL59</f>
        <v>182.4104234527768</v>
      </c>
      <c r="AL68" s="46"/>
      <c r="AM68" s="46"/>
      <c r="AN68" s="58"/>
      <c r="AO68" s="46"/>
      <c r="AP68" s="46"/>
      <c r="AQ68" s="66">
        <f t="shared" si="10"/>
        <v>31</v>
      </c>
      <c r="AR68" s="91">
        <f t="shared" ref="AR68:AT77" ca="1" si="41">TREND(AR$46:AR$66, $AQ$46:$AQ$66, $AQ68)</f>
        <v>0.94946336304770118</v>
      </c>
      <c r="AS68" s="91">
        <f t="shared" ca="1" si="41"/>
        <v>1.1407389980715774</v>
      </c>
      <c r="AT68" s="91">
        <f t="shared" ca="1" si="41"/>
        <v>0.7987986415786823</v>
      </c>
      <c r="AU68" s="46">
        <f t="shared" ca="1" si="33"/>
        <v>0.6372655358233682</v>
      </c>
      <c r="AX68" s="6"/>
      <c r="AY68" s="58">
        <f t="shared" ca="1" si="37"/>
        <v>94.946336304770114</v>
      </c>
      <c r="AZ68" s="58">
        <f t="shared" ca="1" si="38"/>
        <v>114.07389980715774</v>
      </c>
      <c r="BA68" s="58">
        <f t="shared" ca="1" si="39"/>
        <v>79.879864157868226</v>
      </c>
      <c r="BB68" s="58">
        <f t="shared" ca="1" si="40"/>
        <v>63.72655358233682</v>
      </c>
      <c r="BC68" s="58"/>
      <c r="BD68" s="57"/>
      <c r="BE68" s="46"/>
      <c r="BF68" s="57"/>
      <c r="BG68" s="57"/>
      <c r="BH68" s="46"/>
      <c r="BI68" s="46"/>
      <c r="BJ68" s="46"/>
      <c r="BK68" s="46"/>
      <c r="BL68" s="46"/>
      <c r="BM68" s="46"/>
      <c r="BN68" s="46"/>
      <c r="BO68" s="46"/>
      <c r="BP68" s="46"/>
      <c r="BQ68" s="46"/>
      <c r="BR68" s="46"/>
      <c r="BS68" s="46"/>
      <c r="BT68" s="46"/>
      <c r="BU68" s="46"/>
      <c r="BV68" s="46"/>
    </row>
    <row r="69" spans="20:74"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46"/>
      <c r="AE69" s="62" t="s">
        <v>12</v>
      </c>
      <c r="AF69" s="62" t="s">
        <v>20</v>
      </c>
      <c r="AG69" s="98" t="str">
        <f t="shared" si="36"/>
        <v>EUR:USD</v>
      </c>
      <c r="AH69" s="114">
        <f>-AJ50</f>
        <v>-217.80935683306524</v>
      </c>
      <c r="AI69" s="30">
        <f>-AI66</f>
        <v>-212.05130571189557</v>
      </c>
      <c r="AL69" s="46"/>
      <c r="AM69" s="46"/>
      <c r="AN69" s="58"/>
      <c r="AO69" s="46"/>
      <c r="AP69" s="46"/>
      <c r="AQ69" s="66">
        <f t="shared" si="10"/>
        <v>31.5</v>
      </c>
      <c r="AR69" s="91">
        <f t="shared" ca="1" si="41"/>
        <v>0.94752286086714121</v>
      </c>
      <c r="AS69" s="91">
        <f t="shared" ca="1" si="41"/>
        <v>1.1423079009058767</v>
      </c>
      <c r="AT69" s="91">
        <f t="shared" ca="1" si="41"/>
        <v>0.79573139780853963</v>
      </c>
      <c r="AU69" s="46">
        <f t="shared" ca="1" si="33"/>
        <v>0.63365536917714327</v>
      </c>
      <c r="AX69" s="6"/>
      <c r="AY69" s="58">
        <f t="shared" ca="1" si="37"/>
        <v>94.752286086714122</v>
      </c>
      <c r="AZ69" s="58">
        <f t="shared" ca="1" si="38"/>
        <v>114.23079009058767</v>
      </c>
      <c r="BA69" s="58">
        <f t="shared" ca="1" si="39"/>
        <v>79.573139780853964</v>
      </c>
      <c r="BB69" s="58">
        <f t="shared" ca="1" si="40"/>
        <v>63.36553691771433</v>
      </c>
      <c r="BC69" s="58"/>
      <c r="BD69" s="57"/>
      <c r="BE69" s="46"/>
      <c r="BF69" s="57"/>
      <c r="BG69" s="57"/>
      <c r="BH69" s="46"/>
      <c r="BI69" s="46"/>
      <c r="BJ69" s="46"/>
      <c r="BK69" s="46"/>
      <c r="BL69" s="46"/>
      <c r="BM69" s="46"/>
      <c r="BN69" s="46"/>
      <c r="BO69" s="46"/>
      <c r="BP69" s="46"/>
      <c r="BQ69" s="46"/>
      <c r="BR69" s="46"/>
      <c r="BS69" s="46"/>
      <c r="BT69" s="46"/>
      <c r="BU69" s="46"/>
      <c r="BV69" s="46"/>
    </row>
    <row r="70" spans="20:74">
      <c r="T70" s="39"/>
      <c r="U70" s="39"/>
      <c r="V70" s="115"/>
      <c r="W70" s="115"/>
      <c r="X70" s="115"/>
      <c r="Y70" s="115"/>
      <c r="Z70" s="39"/>
      <c r="AA70" s="39"/>
      <c r="AB70" s="39"/>
      <c r="AC70" s="39"/>
      <c r="AD70" s="46"/>
      <c r="AE70" s="62" t="s">
        <v>12</v>
      </c>
      <c r="AF70" s="62" t="s">
        <v>12</v>
      </c>
      <c r="AG70" s="98" t="str">
        <f t="shared" si="36"/>
        <v>EUR:EUR</v>
      </c>
      <c r="AH70" s="114">
        <v>0</v>
      </c>
      <c r="AI70" s="114">
        <v>0</v>
      </c>
      <c r="AJ70" s="56"/>
      <c r="AK70" s="46"/>
      <c r="AL70" s="46"/>
      <c r="AM70" s="46"/>
      <c r="AN70" s="58"/>
      <c r="AO70" s="46"/>
      <c r="AP70" s="46"/>
      <c r="AQ70" s="66">
        <f t="shared" si="10"/>
        <v>32</v>
      </c>
      <c r="AR70" s="91">
        <f t="shared" ca="1" si="41"/>
        <v>0.94558235868658114</v>
      </c>
      <c r="AS70" s="91">
        <f t="shared" ca="1" si="41"/>
        <v>1.1438768037401763</v>
      </c>
      <c r="AT70" s="91">
        <f t="shared" ca="1" si="41"/>
        <v>0.79266415403839696</v>
      </c>
      <c r="AU70" s="46">
        <f t="shared" ca="1" si="33"/>
        <v>0.63004520253091845</v>
      </c>
      <c r="AX70" s="6"/>
      <c r="AY70" s="58">
        <f t="shared" ca="1" si="37"/>
        <v>94.558235868658116</v>
      </c>
      <c r="AZ70" s="58">
        <f t="shared" ca="1" si="38"/>
        <v>114.38768037401763</v>
      </c>
      <c r="BA70" s="58">
        <f t="shared" ca="1" si="39"/>
        <v>79.266415403839702</v>
      </c>
      <c r="BB70" s="58">
        <f t="shared" ca="1" si="40"/>
        <v>63.004520253091847</v>
      </c>
      <c r="BC70" s="58"/>
      <c r="BD70" s="57"/>
      <c r="BE70" s="46"/>
      <c r="BF70" s="57"/>
      <c r="BG70" s="57"/>
      <c r="BH70" s="46"/>
      <c r="BI70" s="46"/>
      <c r="BJ70" s="46"/>
      <c r="BK70" s="46"/>
      <c r="BL70" s="46"/>
      <c r="BM70" s="46"/>
      <c r="BN70" s="46"/>
      <c r="BO70" s="46"/>
      <c r="BP70" s="46"/>
      <c r="BQ70" s="46"/>
      <c r="BR70" s="46"/>
      <c r="BS70" s="46"/>
      <c r="BT70" s="46"/>
      <c r="BU70" s="46"/>
      <c r="BV70" s="46"/>
    </row>
    <row r="71" spans="20:74">
      <c r="U71" s="46"/>
      <c r="V71" s="46"/>
      <c r="W71" s="46"/>
      <c r="X71" s="46"/>
      <c r="Y71" s="46"/>
      <c r="Z71" s="89"/>
      <c r="AA71" s="89"/>
      <c r="AB71" s="89"/>
      <c r="AC71" s="89"/>
      <c r="AD71" s="46"/>
      <c r="AE71" s="62" t="s">
        <v>12</v>
      </c>
      <c r="AF71" s="62" t="s">
        <v>14</v>
      </c>
      <c r="AG71" s="98" t="str">
        <f t="shared" si="36"/>
        <v>EUR:GBP</v>
      </c>
      <c r="AH71" s="114">
        <f>-AM50</f>
        <v>-122.44774185763418</v>
      </c>
      <c r="AI71" s="114">
        <f>-AM59</f>
        <v>-119.85100350679012</v>
      </c>
      <c r="AJ71" s="56"/>
      <c r="AK71" s="46"/>
      <c r="AL71" s="46"/>
      <c r="AM71" s="46"/>
      <c r="AN71" s="58"/>
      <c r="AO71" s="46"/>
      <c r="AP71" s="46"/>
      <c r="AQ71" s="66">
        <f t="shared" si="10"/>
        <v>32.5</v>
      </c>
      <c r="AR71" s="91">
        <f t="shared" ca="1" si="41"/>
        <v>0.94364185650602117</v>
      </c>
      <c r="AS71" s="91">
        <f t="shared" ca="1" si="41"/>
        <v>1.1454457065744756</v>
      </c>
      <c r="AT71" s="91">
        <f t="shared" ca="1" si="41"/>
        <v>0.78959691026825418</v>
      </c>
      <c r="AU71" s="46">
        <f t="shared" ref="AU71:AU77" ca="1" si="42">InterpLinearLocal($AU$111:$AU$134, AX$111:AX$134, $AQ71)</f>
        <v>0.62643503588469363</v>
      </c>
      <c r="AX71" s="6"/>
      <c r="AY71" s="58">
        <f t="shared" ca="1" si="37"/>
        <v>94.36418565060211</v>
      </c>
      <c r="AZ71" s="58">
        <f t="shared" ca="1" si="38"/>
        <v>114.54457065744757</v>
      </c>
      <c r="BA71" s="58">
        <f t="shared" ca="1" si="39"/>
        <v>78.959691026825425</v>
      </c>
      <c r="BB71" s="58">
        <f t="shared" ca="1" si="40"/>
        <v>62.643503588469365</v>
      </c>
      <c r="BC71" s="58"/>
      <c r="BD71" s="57"/>
      <c r="BE71" s="46"/>
      <c r="BF71" s="57"/>
      <c r="BG71" s="57"/>
      <c r="BH71" s="46"/>
      <c r="BI71" s="46"/>
      <c r="BJ71" s="46"/>
      <c r="BK71" s="46"/>
      <c r="BL71" s="46"/>
      <c r="BM71" s="46"/>
      <c r="BN71" s="46"/>
      <c r="BO71" s="46"/>
      <c r="BP71" s="46"/>
      <c r="BQ71" s="46"/>
      <c r="BR71" s="46"/>
      <c r="BS71" s="46"/>
      <c r="BT71" s="46"/>
      <c r="BU71" s="46"/>
      <c r="BV71" s="46"/>
    </row>
    <row r="72" spans="20:74">
      <c r="U72" s="46"/>
      <c r="V72" s="46"/>
      <c r="W72" s="46"/>
      <c r="X72" s="46"/>
      <c r="Y72" s="46"/>
      <c r="Z72" s="89"/>
      <c r="AA72" s="89"/>
      <c r="AB72" s="89"/>
      <c r="AC72" s="89"/>
      <c r="AD72" s="46"/>
      <c r="AE72" s="62" t="s">
        <v>12</v>
      </c>
      <c r="AF72" s="62" t="s">
        <v>13</v>
      </c>
      <c r="AG72" s="98" t="str">
        <f t="shared" si="36"/>
        <v>EUR:JPY</v>
      </c>
      <c r="AH72" s="114">
        <f>AN50</f>
        <v>-22.81557160090486</v>
      </c>
      <c r="AI72" s="114">
        <f>AN59</f>
        <v>-29.318545855216982</v>
      </c>
      <c r="AJ72" s="56"/>
      <c r="AK72" s="46"/>
      <c r="AL72" s="46"/>
      <c r="AM72" s="46"/>
      <c r="AN72" s="58"/>
      <c r="AO72" s="46"/>
      <c r="AP72" s="46"/>
      <c r="AQ72" s="66">
        <f t="shared" ref="AQ72:AQ77" si="43">AQ71+0.5</f>
        <v>33</v>
      </c>
      <c r="AR72" s="91">
        <f t="shared" ca="1" si="41"/>
        <v>0.9417013543254612</v>
      </c>
      <c r="AS72" s="91">
        <f t="shared" ca="1" si="41"/>
        <v>1.1470146094087752</v>
      </c>
      <c r="AT72" s="91">
        <f t="shared" ca="1" si="41"/>
        <v>0.78652966649811151</v>
      </c>
      <c r="AU72" s="46">
        <f t="shared" ca="1" si="42"/>
        <v>0.6228248692384688</v>
      </c>
      <c r="AX72" s="6"/>
      <c r="AY72" s="58">
        <f t="shared" ca="1" si="37"/>
        <v>94.170135432546118</v>
      </c>
      <c r="AZ72" s="58">
        <f t="shared" ca="1" si="38"/>
        <v>114.70146094087752</v>
      </c>
      <c r="BA72" s="58">
        <f t="shared" ca="1" si="39"/>
        <v>78.652966649811148</v>
      </c>
      <c r="BB72" s="58">
        <f t="shared" ca="1" si="40"/>
        <v>62.282486923846882</v>
      </c>
      <c r="BC72" s="58"/>
      <c r="BD72" s="57"/>
      <c r="BE72" s="46"/>
      <c r="BF72" s="57"/>
      <c r="BG72" s="57"/>
      <c r="BH72" s="46"/>
      <c r="BI72" s="46"/>
      <c r="BJ72" s="46"/>
      <c r="BK72" s="46"/>
      <c r="BL72" s="46"/>
      <c r="BM72" s="46"/>
      <c r="BN72" s="46"/>
      <c r="BO72" s="46"/>
      <c r="BP72" s="46"/>
      <c r="BQ72" s="46"/>
      <c r="BR72" s="46"/>
      <c r="BS72" s="46"/>
      <c r="BT72" s="46"/>
      <c r="BU72" s="46"/>
      <c r="BV72" s="46"/>
    </row>
    <row r="73" spans="20:74">
      <c r="U73" s="46"/>
      <c r="V73" s="46"/>
      <c r="W73" s="46"/>
      <c r="X73" s="46"/>
      <c r="Y73" s="46"/>
      <c r="Z73" s="89"/>
      <c r="AA73" s="89"/>
      <c r="AB73" s="89"/>
      <c r="AC73" s="89"/>
      <c r="AD73" s="46"/>
      <c r="AE73" s="62" t="s">
        <v>14</v>
      </c>
      <c r="AF73" s="62" t="s">
        <v>20</v>
      </c>
      <c r="AG73" s="98" t="str">
        <f t="shared" si="36"/>
        <v>GBP:USD</v>
      </c>
      <c r="AH73" s="114">
        <f>-AK50</f>
        <v>-95.07058551260883</v>
      </c>
      <c r="AI73" s="114">
        <f>-AI67</f>
        <v>-92.10830826197558</v>
      </c>
      <c r="AJ73" s="56"/>
      <c r="AK73" s="46"/>
      <c r="AL73" s="46"/>
      <c r="AM73" s="46"/>
      <c r="AN73" s="58"/>
      <c r="AO73" s="46"/>
      <c r="AP73" s="46"/>
      <c r="AQ73" s="66">
        <f t="shared" si="43"/>
        <v>33.5</v>
      </c>
      <c r="AR73" s="91">
        <f t="shared" ca="1" si="41"/>
        <v>0.93976085214490124</v>
      </c>
      <c r="AS73" s="91">
        <f t="shared" ca="1" si="41"/>
        <v>1.1485835122430745</v>
      </c>
      <c r="AT73" s="91">
        <f t="shared" ca="1" si="41"/>
        <v>0.78346242272796873</v>
      </c>
      <c r="AU73" s="46">
        <f t="shared" ca="1" si="42"/>
        <v>0.61921470259224398</v>
      </c>
      <c r="AX73" s="6"/>
      <c r="AY73" s="58">
        <f t="shared" ca="1" si="37"/>
        <v>93.976085214490126</v>
      </c>
      <c r="AZ73" s="58">
        <f t="shared" ca="1" si="38"/>
        <v>114.85835122430746</v>
      </c>
      <c r="BA73" s="58">
        <f t="shared" ca="1" si="39"/>
        <v>78.346242272796871</v>
      </c>
      <c r="BB73" s="58">
        <f t="shared" ca="1" si="40"/>
        <v>61.9214702592244</v>
      </c>
      <c r="BC73" s="58"/>
      <c r="BD73" s="57"/>
      <c r="BE73" s="46"/>
      <c r="BF73" s="57"/>
      <c r="BG73" s="57"/>
      <c r="BH73" s="46"/>
      <c r="BI73" s="46"/>
      <c r="BJ73" s="46"/>
      <c r="BK73" s="46"/>
      <c r="BL73" s="46"/>
      <c r="BM73" s="46"/>
      <c r="BN73" s="46"/>
      <c r="BO73" s="46"/>
      <c r="BP73" s="46"/>
      <c r="BQ73" s="46"/>
      <c r="BR73" s="46"/>
      <c r="BS73" s="46"/>
      <c r="BT73" s="46"/>
      <c r="BU73" s="46"/>
      <c r="BV73" s="46"/>
    </row>
    <row r="74" spans="20:74">
      <c r="U74" s="46"/>
      <c r="V74" s="46"/>
      <c r="W74" s="46"/>
      <c r="X74" s="46"/>
      <c r="Y74" s="46"/>
      <c r="Z74" s="89"/>
      <c r="AA74" s="89"/>
      <c r="AB74" s="89"/>
      <c r="AC74" s="89"/>
      <c r="AD74" s="46"/>
      <c r="AE74" s="62" t="s">
        <v>14</v>
      </c>
      <c r="AF74" s="62" t="s">
        <v>12</v>
      </c>
      <c r="AG74" s="98" t="str">
        <f t="shared" si="36"/>
        <v>GBP:EUR</v>
      </c>
      <c r="AH74" s="114">
        <f>AM50</f>
        <v>122.44774185763418</v>
      </c>
      <c r="AI74" s="114">
        <f>-AI71</f>
        <v>119.85100350679012</v>
      </c>
      <c r="AJ74" s="56"/>
      <c r="AK74" s="46"/>
      <c r="AL74" s="46"/>
      <c r="AM74" s="46"/>
      <c r="AN74" s="58"/>
      <c r="AO74" s="46"/>
      <c r="AP74" s="46"/>
      <c r="AQ74" s="66">
        <f t="shared" si="43"/>
        <v>34</v>
      </c>
      <c r="AR74" s="91">
        <f t="shared" ca="1" si="41"/>
        <v>0.93782034996434116</v>
      </c>
      <c r="AS74" s="91">
        <f t="shared" ca="1" si="41"/>
        <v>1.1501524150773741</v>
      </c>
      <c r="AT74" s="91">
        <f t="shared" ca="1" si="41"/>
        <v>0.78039517895782606</v>
      </c>
      <c r="AU74" s="46">
        <f t="shared" ca="1" si="42"/>
        <v>0.61560453594601916</v>
      </c>
      <c r="AX74" s="6"/>
      <c r="AY74" s="58">
        <f t="shared" ca="1" si="37"/>
        <v>93.78203499643412</v>
      </c>
      <c r="AZ74" s="58">
        <f t="shared" ca="1" si="38"/>
        <v>115.01524150773741</v>
      </c>
      <c r="BA74" s="58">
        <f t="shared" ca="1" si="39"/>
        <v>78.039517895782609</v>
      </c>
      <c r="BB74" s="58">
        <f t="shared" ca="1" si="40"/>
        <v>61.560453594601917</v>
      </c>
      <c r="BC74" s="58"/>
      <c r="BD74" s="57"/>
      <c r="BE74" s="46"/>
      <c r="BF74" s="57"/>
      <c r="BG74" s="57"/>
      <c r="BH74" s="46"/>
      <c r="BI74" s="46"/>
      <c r="BJ74" s="46"/>
      <c r="BK74" s="46"/>
      <c r="BL74" s="46"/>
      <c r="BM74" s="46"/>
      <c r="BN74" s="46"/>
      <c r="BO74" s="46"/>
      <c r="BP74" s="46"/>
      <c r="BQ74" s="46"/>
      <c r="BR74" s="46"/>
      <c r="BS74" s="46"/>
      <c r="BT74" s="46"/>
      <c r="BU74" s="46"/>
      <c r="BV74" s="46"/>
    </row>
    <row r="75" spans="20:74">
      <c r="U75" s="46"/>
      <c r="V75" s="46"/>
      <c r="W75" s="46"/>
      <c r="X75" s="46"/>
      <c r="Y75" s="46"/>
      <c r="Z75" s="89"/>
      <c r="AA75" s="89"/>
      <c r="AB75" s="89"/>
      <c r="AC75" s="89"/>
      <c r="AD75" s="46"/>
      <c r="AE75" s="62" t="s">
        <v>14</v>
      </c>
      <c r="AF75" s="62" t="s">
        <v>14</v>
      </c>
      <c r="AG75" s="98" t="str">
        <f t="shared" si="36"/>
        <v>GBP:GBP</v>
      </c>
      <c r="AH75" s="114">
        <v>0</v>
      </c>
      <c r="AI75" s="114">
        <v>0</v>
      </c>
      <c r="AJ75" s="56"/>
      <c r="AK75" s="46"/>
      <c r="AL75" s="46"/>
      <c r="AM75" s="46"/>
      <c r="AN75" s="58"/>
      <c r="AO75" s="46"/>
      <c r="AP75" s="46"/>
      <c r="AQ75" s="66">
        <f t="shared" si="43"/>
        <v>34.5</v>
      </c>
      <c r="AR75" s="91">
        <f t="shared" ca="1" si="41"/>
        <v>0.93587984778378119</v>
      </c>
      <c r="AS75" s="91">
        <f t="shared" ca="1" si="41"/>
        <v>1.1517213179116734</v>
      </c>
      <c r="AT75" s="91">
        <f t="shared" ca="1" si="41"/>
        <v>0.77732793518768339</v>
      </c>
      <c r="AU75" s="46">
        <f t="shared" ca="1" si="42"/>
        <v>0.61199436929979434</v>
      </c>
      <c r="AX75" s="6"/>
      <c r="AY75" s="58">
        <f t="shared" ca="1" si="37"/>
        <v>93.587984778378114</v>
      </c>
      <c r="AZ75" s="58">
        <f t="shared" ca="1" si="38"/>
        <v>115.17213179116735</v>
      </c>
      <c r="BA75" s="58">
        <f t="shared" ca="1" si="39"/>
        <v>77.732793518768347</v>
      </c>
      <c r="BB75" s="58">
        <f t="shared" ca="1" si="40"/>
        <v>61.199436929979434</v>
      </c>
      <c r="BC75" s="58"/>
      <c r="BD75" s="57"/>
      <c r="BE75" s="46"/>
      <c r="BF75" s="57"/>
      <c r="BG75" s="57"/>
      <c r="BH75" s="46"/>
      <c r="BI75" s="46"/>
      <c r="BJ75" s="46"/>
      <c r="BK75" s="46"/>
      <c r="BL75" s="46"/>
      <c r="BM75" s="46"/>
      <c r="BN75" s="46"/>
      <c r="BO75" s="46"/>
      <c r="BP75" s="46"/>
      <c r="BQ75" s="46"/>
      <c r="BR75" s="46"/>
      <c r="BS75" s="46"/>
      <c r="BT75" s="46"/>
      <c r="BU75" s="46"/>
      <c r="BV75" s="46"/>
    </row>
    <row r="76" spans="20:74">
      <c r="U76" s="46"/>
      <c r="V76" s="46"/>
      <c r="W76" s="46"/>
      <c r="X76" s="46"/>
      <c r="Y76" s="46"/>
      <c r="Z76" s="89"/>
      <c r="AA76" s="89"/>
      <c r="AB76" s="89"/>
      <c r="AC76" s="89"/>
      <c r="AD76" s="46"/>
      <c r="AE76" s="62" t="s">
        <v>14</v>
      </c>
      <c r="AF76" s="62" t="s">
        <v>13</v>
      </c>
      <c r="AG76" s="98" t="str">
        <f t="shared" si="36"/>
        <v>GBP:JPY</v>
      </c>
      <c r="AH76" s="114">
        <f>AO50</f>
        <v>99.328107694476302</v>
      </c>
      <c r="AI76" s="114">
        <f>AO59</f>
        <v>90.442127820091756</v>
      </c>
      <c r="AJ76" s="56"/>
      <c r="AK76" s="46"/>
      <c r="AL76" s="46"/>
      <c r="AM76" s="46"/>
      <c r="AN76" s="58"/>
      <c r="AO76" s="46"/>
      <c r="AP76" s="46"/>
      <c r="AQ76" s="66">
        <f t="shared" si="43"/>
        <v>35</v>
      </c>
      <c r="AR76" s="91">
        <f t="shared" ca="1" si="41"/>
        <v>0.93393934560322123</v>
      </c>
      <c r="AS76" s="91">
        <f t="shared" ca="1" si="41"/>
        <v>1.1532902207459728</v>
      </c>
      <c r="AT76" s="91">
        <f t="shared" ca="1" si="41"/>
        <v>0.77426069141754073</v>
      </c>
      <c r="AU76" s="46">
        <f t="shared" ca="1" si="42"/>
        <v>0.60838420265356952</v>
      </c>
      <c r="AX76" s="6"/>
      <c r="AY76" s="58">
        <f t="shared" ca="1" si="37"/>
        <v>93.393934560322123</v>
      </c>
      <c r="AZ76" s="58">
        <f t="shared" ca="1" si="38"/>
        <v>115.32902207459728</v>
      </c>
      <c r="BA76" s="58">
        <f t="shared" ca="1" si="39"/>
        <v>77.42606914175407</v>
      </c>
      <c r="BB76" s="58">
        <f t="shared" ca="1" si="40"/>
        <v>60.838420265356952</v>
      </c>
      <c r="BC76" s="58"/>
      <c r="BD76" s="57"/>
      <c r="BE76" s="46"/>
      <c r="BF76" s="57"/>
      <c r="BG76" s="57"/>
      <c r="BH76" s="46"/>
      <c r="BI76" s="46"/>
      <c r="BJ76" s="46"/>
      <c r="BK76" s="46"/>
      <c r="BL76" s="46"/>
      <c r="BM76" s="46"/>
      <c r="BN76" s="46"/>
      <c r="BO76" s="46"/>
      <c r="BP76" s="46"/>
      <c r="BQ76" s="46"/>
      <c r="BR76" s="46"/>
      <c r="BS76" s="46"/>
      <c r="BT76" s="46"/>
      <c r="BU76" s="46"/>
      <c r="BV76" s="46"/>
    </row>
    <row r="77" spans="20:74">
      <c r="U77" s="46"/>
      <c r="V77" s="46"/>
      <c r="W77" s="46"/>
      <c r="X77" s="46"/>
      <c r="Y77" s="46"/>
      <c r="Z77" s="89"/>
      <c r="AA77" s="89"/>
      <c r="AB77" s="89"/>
      <c r="AC77" s="89"/>
      <c r="AD77" s="46"/>
      <c r="AP77" s="46"/>
      <c r="AQ77" s="66">
        <f t="shared" si="43"/>
        <v>35.5</v>
      </c>
      <c r="AR77" s="91">
        <f t="shared" ca="1" si="41"/>
        <v>0.93199884342266115</v>
      </c>
      <c r="AS77" s="91">
        <f t="shared" ca="1" si="41"/>
        <v>1.1548591235802723</v>
      </c>
      <c r="AT77" s="91">
        <f t="shared" ca="1" si="41"/>
        <v>0.77119344764739794</v>
      </c>
      <c r="AU77" s="46">
        <f t="shared" ca="1" si="42"/>
        <v>0.6047740360073447</v>
      </c>
      <c r="AX77" s="6"/>
      <c r="AY77" s="58">
        <f t="shared" ca="1" si="37"/>
        <v>93.199884342266117</v>
      </c>
      <c r="AZ77" s="58">
        <f t="shared" ca="1" si="38"/>
        <v>115.48591235802724</v>
      </c>
      <c r="BA77" s="58">
        <f t="shared" ca="1" si="39"/>
        <v>77.119344764739793</v>
      </c>
      <c r="BB77" s="58">
        <f t="shared" ca="1" si="40"/>
        <v>60.477403600734469</v>
      </c>
      <c r="BC77" s="58"/>
      <c r="BD77" s="57"/>
      <c r="BE77" s="46"/>
      <c r="BF77" s="57"/>
      <c r="BG77" s="57"/>
      <c r="BH77" s="46"/>
      <c r="BI77" s="46"/>
      <c r="BJ77" s="46"/>
      <c r="BK77" s="46"/>
      <c r="BL77" s="46"/>
      <c r="BM77" s="46"/>
      <c r="BN77" s="46"/>
      <c r="BO77" s="46"/>
      <c r="BP77" s="46"/>
      <c r="BQ77" s="46"/>
      <c r="BR77" s="46"/>
      <c r="BS77" s="46"/>
      <c r="BT77" s="46"/>
      <c r="BU77" s="46"/>
      <c r="BV77" s="46"/>
    </row>
    <row r="78" spans="20:74">
      <c r="U78" s="46"/>
      <c r="V78" s="46"/>
      <c r="W78" s="46"/>
      <c r="X78" s="46"/>
      <c r="Y78" s="46"/>
      <c r="Z78" s="89"/>
      <c r="AA78" s="89"/>
      <c r="AB78" s="89"/>
      <c r="AC78" s="89"/>
      <c r="AD78" s="46"/>
      <c r="AP78" s="46"/>
      <c r="BC78" s="58"/>
      <c r="BD78" s="57"/>
      <c r="BE78" s="46"/>
      <c r="BF78" s="57"/>
      <c r="BG78" s="57"/>
      <c r="BH78" s="46"/>
      <c r="BI78" s="46"/>
      <c r="BJ78" s="46"/>
      <c r="BK78" s="46"/>
      <c r="BL78" s="46"/>
      <c r="BM78" s="46"/>
      <c r="BN78" s="46"/>
      <c r="BO78" s="46"/>
      <c r="BP78" s="46"/>
      <c r="BQ78" s="46"/>
      <c r="BR78" s="46"/>
      <c r="BS78" s="46"/>
      <c r="BT78" s="46"/>
      <c r="BU78" s="46"/>
      <c r="BV78" s="46"/>
    </row>
    <row r="79" spans="20:74">
      <c r="U79" s="46"/>
      <c r="V79" s="46"/>
      <c r="W79" s="46"/>
      <c r="X79" s="46"/>
      <c r="Y79" s="46"/>
      <c r="Z79" s="89"/>
      <c r="AA79" s="89"/>
      <c r="AB79" s="89"/>
      <c r="AC79" s="89"/>
      <c r="AD79" s="46"/>
      <c r="AP79" s="46"/>
      <c r="BC79" s="58"/>
      <c r="BD79" s="57"/>
      <c r="BE79" s="46"/>
      <c r="BF79" s="57"/>
      <c r="BG79" s="57"/>
      <c r="BH79" s="46"/>
      <c r="BI79" s="46"/>
      <c r="BJ79" s="46"/>
      <c r="BK79" s="46"/>
      <c r="BL79" s="46"/>
      <c r="BM79" s="46"/>
      <c r="BN79" s="46"/>
      <c r="BO79" s="46"/>
      <c r="BP79" s="46"/>
      <c r="BQ79" s="46"/>
      <c r="BR79" s="46"/>
      <c r="BS79" s="46"/>
      <c r="BT79" s="46"/>
      <c r="BU79" s="46"/>
      <c r="BV79" s="46"/>
    </row>
    <row r="80" spans="20:74">
      <c r="U80" s="46"/>
      <c r="V80" s="46"/>
      <c r="W80" s="46"/>
      <c r="X80" s="46"/>
      <c r="Y80" s="46"/>
      <c r="Z80" s="89"/>
      <c r="AA80" s="89"/>
      <c r="AB80" s="89"/>
      <c r="AC80" s="89"/>
      <c r="AD80" s="46"/>
      <c r="AP80" s="46"/>
      <c r="BC80" s="58"/>
      <c r="BD80" s="57"/>
      <c r="BE80" s="46"/>
      <c r="BF80" s="57"/>
      <c r="BG80" s="57"/>
      <c r="BH80" s="46"/>
      <c r="BI80" s="46"/>
      <c r="BJ80" s="46"/>
      <c r="BK80" s="46"/>
      <c r="BL80" s="46"/>
      <c r="BM80" s="46"/>
      <c r="BN80" s="46"/>
      <c r="BO80" s="46"/>
      <c r="BP80" s="46"/>
      <c r="BQ80" s="46"/>
      <c r="BR80" s="46"/>
      <c r="BS80" s="46"/>
      <c r="BT80" s="46"/>
      <c r="BU80" s="46"/>
      <c r="BV80" s="46"/>
    </row>
    <row r="81" spans="21:74">
      <c r="U81" s="46"/>
      <c r="V81" s="46"/>
      <c r="W81" s="46"/>
      <c r="X81" s="46"/>
      <c r="Y81" s="46"/>
      <c r="Z81" s="89"/>
      <c r="AA81" s="89"/>
      <c r="AB81" s="89"/>
      <c r="AC81" s="89"/>
      <c r="AD81" s="46"/>
      <c r="AP81" s="46"/>
      <c r="BC81" s="58"/>
      <c r="BD81" s="57"/>
      <c r="BE81" s="46"/>
      <c r="BF81" s="57"/>
      <c r="BG81" s="57"/>
      <c r="BH81" s="46"/>
      <c r="BI81" s="46"/>
      <c r="BJ81" s="46"/>
      <c r="BK81" s="46"/>
      <c r="BL81" s="46"/>
      <c r="BM81" s="46"/>
      <c r="BN81" s="46"/>
      <c r="BO81" s="46"/>
      <c r="BP81" s="46"/>
      <c r="BQ81" s="46"/>
      <c r="BR81" s="46"/>
      <c r="BS81" s="46"/>
      <c r="BT81" s="46"/>
      <c r="BU81" s="46"/>
      <c r="BV81" s="46"/>
    </row>
    <row r="82" spans="21:74">
      <c r="U82" s="46"/>
      <c r="V82" s="46"/>
      <c r="W82" s="46"/>
      <c r="X82" s="46"/>
      <c r="Y82" s="46"/>
      <c r="Z82" s="89"/>
      <c r="AA82" s="89"/>
      <c r="AB82" s="89"/>
      <c r="AC82" s="89"/>
      <c r="AD82" s="46"/>
      <c r="AP82" s="46"/>
      <c r="BC82" s="58"/>
      <c r="BD82" s="57"/>
      <c r="BE82" s="46"/>
      <c r="BF82" s="57"/>
      <c r="BG82" s="57"/>
      <c r="BH82" s="46"/>
      <c r="BI82" s="46"/>
      <c r="BJ82" s="46"/>
      <c r="BK82" s="46"/>
      <c r="BL82" s="46"/>
      <c r="BM82" s="46"/>
      <c r="BN82" s="46"/>
      <c r="BO82" s="46"/>
      <c r="BP82" s="46"/>
      <c r="BQ82" s="46"/>
      <c r="BR82" s="46"/>
      <c r="BS82" s="46"/>
      <c r="BT82" s="46"/>
      <c r="BU82" s="46"/>
      <c r="BV82" s="46"/>
    </row>
    <row r="83" spans="21:74">
      <c r="U83" s="46"/>
      <c r="V83" s="46"/>
      <c r="W83" s="46"/>
      <c r="X83" s="46"/>
      <c r="Y83" s="46"/>
      <c r="Z83" s="89"/>
      <c r="AA83" s="89"/>
      <c r="AB83" s="89"/>
      <c r="AC83" s="89"/>
      <c r="AD83" s="46"/>
      <c r="AP83" s="46"/>
      <c r="BC83" s="58"/>
      <c r="BD83" s="57"/>
      <c r="BE83" s="46"/>
      <c r="BF83" s="57"/>
      <c r="BG83" s="57"/>
      <c r="BH83" s="46"/>
      <c r="BI83" s="46"/>
      <c r="BJ83" s="46"/>
      <c r="BK83" s="46"/>
      <c r="BL83" s="46"/>
      <c r="BM83" s="46"/>
      <c r="BN83" s="46"/>
      <c r="BO83" s="46"/>
      <c r="BP83" s="46"/>
      <c r="BQ83" s="46"/>
      <c r="BR83" s="46"/>
      <c r="BS83" s="46"/>
      <c r="BT83" s="46"/>
      <c r="BU83" s="46"/>
      <c r="BV83" s="46"/>
    </row>
    <row r="84" spans="21:74">
      <c r="U84" s="46"/>
      <c r="V84" s="46"/>
      <c r="W84" s="46"/>
      <c r="X84" s="46"/>
      <c r="Y84" s="46"/>
      <c r="Z84" s="89"/>
      <c r="AA84" s="89"/>
      <c r="AB84" s="89"/>
      <c r="AC84" s="89"/>
      <c r="AD84" s="46"/>
      <c r="AP84" s="46"/>
      <c r="BC84" s="58"/>
      <c r="BD84" s="57"/>
      <c r="BE84" s="46"/>
      <c r="BF84" s="57"/>
      <c r="BG84" s="57"/>
      <c r="BH84" s="46"/>
      <c r="BI84" s="46"/>
      <c r="BJ84" s="46"/>
      <c r="BK84" s="46"/>
      <c r="BL84" s="46"/>
      <c r="BM84" s="46"/>
      <c r="BN84" s="46"/>
      <c r="BO84" s="46"/>
      <c r="BP84" s="46"/>
      <c r="BQ84" s="46"/>
      <c r="BR84" s="46"/>
      <c r="BS84" s="46"/>
      <c r="BT84" s="46"/>
      <c r="BU84" s="46"/>
      <c r="BV84" s="46"/>
    </row>
    <row r="85" spans="21:74">
      <c r="U85" s="46"/>
      <c r="V85" s="46"/>
      <c r="W85" s="46"/>
      <c r="X85" s="46"/>
      <c r="Y85" s="46"/>
      <c r="Z85" s="89"/>
      <c r="AA85" s="89"/>
      <c r="AB85" s="89"/>
      <c r="AC85" s="89"/>
      <c r="AD85" s="46"/>
      <c r="AP85" s="46"/>
      <c r="BC85" s="58"/>
      <c r="BD85" s="57"/>
      <c r="BE85" s="46"/>
      <c r="BF85" s="57"/>
      <c r="BG85" s="57"/>
      <c r="BH85" s="46"/>
      <c r="BI85" s="46"/>
      <c r="BJ85" s="46"/>
      <c r="BK85" s="46"/>
      <c r="BL85" s="46"/>
      <c r="BM85" s="46"/>
      <c r="BN85" s="46"/>
      <c r="BO85" s="46"/>
      <c r="BP85" s="46"/>
      <c r="BQ85" s="46"/>
      <c r="BR85" s="46"/>
      <c r="BS85" s="46"/>
      <c r="BT85" s="46"/>
      <c r="BU85" s="46"/>
      <c r="BV85" s="46"/>
    </row>
    <row r="86" spans="21:74">
      <c r="AD86" s="46"/>
      <c r="AP86" s="46"/>
      <c r="BC86" s="58"/>
      <c r="BD86" s="57"/>
      <c r="BE86" s="46"/>
      <c r="BF86" s="57"/>
      <c r="BG86" s="57"/>
      <c r="BH86" s="46"/>
      <c r="BI86" s="46"/>
      <c r="BJ86" s="46"/>
      <c r="BK86" s="46"/>
      <c r="BL86" s="46"/>
      <c r="BM86" s="46"/>
      <c r="BN86" s="46"/>
      <c r="BO86" s="46"/>
      <c r="BP86" s="46"/>
      <c r="BQ86" s="46"/>
      <c r="BR86" s="46"/>
      <c r="BS86" s="46"/>
      <c r="BT86" s="46"/>
      <c r="BU86" s="46"/>
      <c r="BV86" s="46"/>
    </row>
    <row r="87" spans="21:74">
      <c r="AD87" s="46"/>
      <c r="AP87" s="46"/>
      <c r="BC87" s="58"/>
      <c r="BD87" s="57"/>
      <c r="BE87" s="46"/>
      <c r="BF87" s="57"/>
      <c r="BG87" s="57"/>
      <c r="BH87" s="46"/>
      <c r="BI87" s="46"/>
      <c r="BJ87" s="46"/>
      <c r="BK87" s="46"/>
      <c r="BL87" s="46"/>
      <c r="BM87" s="46"/>
      <c r="BN87" s="46"/>
      <c r="BO87" s="46"/>
      <c r="BP87" s="46"/>
      <c r="BQ87" s="46"/>
      <c r="BR87" s="46"/>
      <c r="BS87" s="46"/>
      <c r="BT87" s="46"/>
      <c r="BU87" s="46"/>
      <c r="BV87" s="46"/>
    </row>
    <row r="88" spans="21:74">
      <c r="V88" s="7"/>
      <c r="AP88" s="46"/>
      <c r="BC88" s="58"/>
      <c r="BD88" s="57"/>
      <c r="BE88" s="46"/>
      <c r="BF88" s="57"/>
      <c r="BG88" s="57"/>
      <c r="BH88" s="46"/>
      <c r="BI88" s="46"/>
      <c r="BJ88" s="46"/>
      <c r="BK88" s="46"/>
      <c r="BL88" s="46"/>
      <c r="BM88" s="46"/>
      <c r="BN88" s="46"/>
      <c r="BO88" s="46"/>
      <c r="BP88" s="46"/>
      <c r="BQ88" s="46"/>
      <c r="BR88" s="46"/>
      <c r="BS88" s="46"/>
      <c r="BT88" s="46"/>
      <c r="BU88" s="46"/>
      <c r="BV88" s="46"/>
    </row>
    <row r="89" spans="21:74">
      <c r="AP89" s="46"/>
      <c r="BC89" s="58"/>
      <c r="BD89" s="57"/>
      <c r="BE89" s="46"/>
      <c r="BF89" s="57"/>
      <c r="BG89" s="57"/>
      <c r="BH89" s="46"/>
      <c r="BI89" s="46"/>
      <c r="BJ89" s="46"/>
      <c r="BK89" s="46"/>
      <c r="BL89" s="46"/>
      <c r="BM89" s="46"/>
      <c r="BN89" s="46"/>
      <c r="BO89" s="46"/>
      <c r="BP89" s="46"/>
      <c r="BQ89" s="46"/>
      <c r="BR89" s="46"/>
      <c r="BS89" s="46"/>
      <c r="BT89" s="46"/>
      <c r="BU89" s="46"/>
      <c r="BV89" s="46"/>
    </row>
    <row r="90" spans="21:74">
      <c r="V90" s="4"/>
      <c r="W90" s="4"/>
      <c r="X90" s="4"/>
      <c r="Y90" s="4"/>
      <c r="AP90" s="46"/>
      <c r="BC90" s="58"/>
      <c r="BD90" s="57"/>
      <c r="BE90" s="46"/>
      <c r="BF90" s="57"/>
      <c r="BG90" s="57"/>
      <c r="BH90" s="46"/>
      <c r="BI90" s="46"/>
      <c r="BJ90" s="46"/>
      <c r="BK90" s="46"/>
      <c r="BL90" s="46"/>
      <c r="BM90" s="46"/>
      <c r="BN90" s="46"/>
      <c r="BO90" s="46"/>
      <c r="BP90" s="46"/>
      <c r="BQ90" s="46"/>
      <c r="BR90" s="46"/>
      <c r="BS90" s="46"/>
      <c r="BT90" s="46"/>
      <c r="BU90" s="46"/>
      <c r="BV90" s="46"/>
    </row>
    <row r="91" spans="21:74">
      <c r="V91" s="4"/>
      <c r="W91" s="4"/>
      <c r="Z91" s="4"/>
      <c r="AA91" s="4"/>
      <c r="AP91" s="46"/>
      <c r="BC91" s="58"/>
      <c r="BD91" s="57"/>
      <c r="BE91" s="46"/>
      <c r="BF91" s="57"/>
      <c r="BG91" s="57"/>
      <c r="BH91" s="46"/>
      <c r="BI91" s="46"/>
      <c r="BJ91" s="46"/>
      <c r="BK91" s="46"/>
      <c r="BL91" s="46"/>
      <c r="BM91" s="46"/>
      <c r="BN91" s="46"/>
      <c r="BO91" s="46"/>
      <c r="BP91" s="46"/>
      <c r="BQ91" s="46"/>
      <c r="BR91" s="46"/>
      <c r="BS91" s="46"/>
      <c r="BT91" s="46"/>
      <c r="BU91" s="46"/>
      <c r="BV91" s="46"/>
    </row>
    <row r="92" spans="21:74">
      <c r="V92" s="81"/>
      <c r="W92" s="81"/>
      <c r="X92" s="81"/>
      <c r="AP92" s="46"/>
      <c r="BC92" s="58"/>
      <c r="BD92" s="57"/>
      <c r="BE92" s="46"/>
      <c r="BF92" s="57"/>
      <c r="BG92" s="57"/>
      <c r="BH92" s="46"/>
      <c r="BI92" s="46"/>
      <c r="BJ92" s="46"/>
      <c r="BK92" s="46"/>
      <c r="BL92" s="46"/>
      <c r="BM92" s="46"/>
      <c r="BN92" s="46"/>
      <c r="BO92" s="46"/>
      <c r="BP92" s="46"/>
      <c r="BQ92" s="46"/>
      <c r="BR92" s="46"/>
      <c r="BS92" s="46"/>
      <c r="BT92" s="46"/>
      <c r="BU92" s="46"/>
      <c r="BV92" s="46"/>
    </row>
    <row r="93" spans="21:74">
      <c r="V93" s="81"/>
      <c r="W93" s="81"/>
      <c r="X93" s="81"/>
      <c r="AP93" s="46"/>
      <c r="BC93" s="58"/>
      <c r="BD93" s="57"/>
      <c r="BE93" s="46"/>
      <c r="BF93" s="57"/>
      <c r="BG93" s="57"/>
      <c r="BH93" s="46"/>
      <c r="BI93" s="46"/>
      <c r="BJ93" s="46"/>
      <c r="BK93" s="46"/>
      <c r="BL93" s="46"/>
      <c r="BM93" s="46"/>
      <c r="BN93" s="46"/>
      <c r="BO93" s="46"/>
      <c r="BP93" s="46"/>
      <c r="BQ93" s="46"/>
      <c r="BR93" s="46"/>
      <c r="BS93" s="46"/>
      <c r="BT93" s="46"/>
      <c r="BU93" s="46"/>
      <c r="BV93" s="46"/>
    </row>
    <row r="94" spans="21:74">
      <c r="AP94" s="46"/>
      <c r="BC94" s="58"/>
      <c r="BD94" s="57"/>
      <c r="BE94" s="46"/>
      <c r="BF94" s="57"/>
      <c r="BG94" s="57"/>
      <c r="BH94" s="46"/>
      <c r="BI94" s="46"/>
      <c r="BJ94" s="46"/>
      <c r="BK94" s="46"/>
      <c r="BL94" s="46"/>
      <c r="BM94" s="46"/>
      <c r="BN94" s="46"/>
      <c r="BO94" s="46"/>
      <c r="BP94" s="46"/>
      <c r="BQ94" s="46"/>
      <c r="BR94" s="46"/>
      <c r="BS94" s="46"/>
      <c r="BT94" s="46"/>
      <c r="BU94" s="46"/>
      <c r="BV94" s="46"/>
    </row>
    <row r="95" spans="21:74">
      <c r="AP95" s="46"/>
      <c r="BC95" s="58"/>
      <c r="BD95" s="57"/>
      <c r="BE95" s="46"/>
      <c r="BF95" s="57"/>
      <c r="BG95" s="57"/>
      <c r="BH95" s="46"/>
      <c r="BI95" s="46"/>
      <c r="BJ95" s="46"/>
      <c r="BK95" s="46"/>
      <c r="BL95" s="46"/>
      <c r="BM95" s="46"/>
      <c r="BN95" s="46"/>
      <c r="BO95" s="46"/>
      <c r="BP95" s="46"/>
      <c r="BQ95" s="46"/>
      <c r="BR95" s="46"/>
      <c r="BS95" s="46"/>
      <c r="BT95" s="46"/>
      <c r="BU95" s="46"/>
      <c r="BV95" s="46"/>
    </row>
    <row r="96" spans="21:74">
      <c r="Z96" s="82"/>
      <c r="AA96" s="82"/>
      <c r="AB96" s="82"/>
      <c r="AP96" s="46"/>
      <c r="BC96" s="58"/>
      <c r="BD96" s="57"/>
      <c r="BE96" s="46"/>
      <c r="BF96" s="57"/>
      <c r="BG96" s="57"/>
      <c r="BH96" s="46"/>
      <c r="BI96" s="46"/>
      <c r="BJ96" s="46"/>
      <c r="BK96" s="46"/>
      <c r="BL96" s="46"/>
      <c r="BM96" s="46"/>
      <c r="BN96" s="46"/>
      <c r="BO96" s="46"/>
      <c r="BP96" s="46"/>
      <c r="BQ96" s="46"/>
      <c r="BR96" s="46"/>
      <c r="BS96" s="46"/>
      <c r="BT96" s="46"/>
      <c r="BU96" s="46"/>
      <c r="BV96" s="46"/>
    </row>
    <row r="97" spans="22:79">
      <c r="Z97" s="82"/>
      <c r="AA97" s="82"/>
      <c r="AB97" s="82"/>
      <c r="AP97" s="46"/>
      <c r="BC97" s="58"/>
      <c r="BD97" s="57"/>
      <c r="BE97" s="46"/>
      <c r="BF97" s="57"/>
      <c r="BG97" s="57"/>
      <c r="BH97" s="46"/>
      <c r="BI97" s="46"/>
      <c r="BJ97" s="46"/>
      <c r="BK97" s="46"/>
      <c r="BL97" s="46"/>
      <c r="BM97" s="46"/>
      <c r="BN97" s="46"/>
      <c r="BO97" s="46"/>
      <c r="BP97" s="46"/>
      <c r="BQ97" s="46"/>
      <c r="BR97" s="46"/>
      <c r="BS97" s="46"/>
      <c r="BT97" s="46"/>
      <c r="BU97" s="46"/>
      <c r="BV97" s="46"/>
    </row>
    <row r="98" spans="22:79">
      <c r="AP98" s="46"/>
      <c r="BC98" s="58"/>
      <c r="BD98" s="57"/>
      <c r="BE98" s="46"/>
      <c r="BF98" s="57"/>
      <c r="BG98" s="57"/>
      <c r="BH98" s="46"/>
      <c r="BI98" s="46"/>
      <c r="BJ98" s="46"/>
      <c r="BK98" s="46"/>
      <c r="BL98" s="46"/>
      <c r="BM98" s="46"/>
      <c r="BN98" s="46"/>
      <c r="BO98" s="46"/>
      <c r="BP98" s="46"/>
      <c r="BQ98" s="46"/>
      <c r="BR98" s="46"/>
      <c r="BS98" s="46"/>
      <c r="BT98" s="46"/>
      <c r="BU98" s="46"/>
      <c r="BV98" s="46"/>
    </row>
    <row r="99" spans="22:79">
      <c r="V99" s="81"/>
      <c r="W99" s="81"/>
      <c r="X99" s="81"/>
      <c r="AP99" s="46"/>
      <c r="BC99" s="58"/>
      <c r="BD99" s="57"/>
      <c r="BE99" s="46"/>
      <c r="BF99" s="57"/>
      <c r="BG99" s="57"/>
      <c r="BH99" s="46"/>
      <c r="BI99" s="46"/>
      <c r="BJ99" s="46"/>
      <c r="BK99" s="46"/>
      <c r="BL99" s="46"/>
      <c r="BM99" s="46"/>
      <c r="BN99" s="46"/>
      <c r="BO99" s="46"/>
      <c r="BP99" s="46"/>
      <c r="BQ99" s="46"/>
      <c r="BR99" s="46"/>
      <c r="BS99" s="46"/>
      <c r="BT99" s="46"/>
      <c r="BU99" s="46"/>
      <c r="BV99" s="46"/>
    </row>
    <row r="100" spans="22:79">
      <c r="V100" s="81"/>
      <c r="W100" s="81"/>
      <c r="X100" s="81"/>
      <c r="AF100" s="56"/>
      <c r="AG100" s="46"/>
      <c r="AH100" s="46"/>
      <c r="AI100" s="46"/>
      <c r="AJ100" s="56"/>
      <c r="AK100" s="46"/>
      <c r="AL100" s="46"/>
      <c r="AM100" s="46"/>
      <c r="AN100" s="58"/>
      <c r="AO100" s="46"/>
      <c r="AP100" s="46"/>
      <c r="BC100" s="58"/>
      <c r="BD100" s="57"/>
      <c r="BE100" s="46"/>
      <c r="BF100" s="57"/>
      <c r="BG100" s="57"/>
      <c r="BH100" s="46"/>
      <c r="BI100" s="46"/>
      <c r="BJ100" s="46"/>
      <c r="BK100" s="46"/>
      <c r="BL100" s="46"/>
      <c r="BM100" s="46"/>
      <c r="BN100" s="46"/>
      <c r="BO100" s="46"/>
      <c r="BP100" s="46"/>
      <c r="BQ100" s="46"/>
      <c r="BR100" s="46"/>
      <c r="BS100" s="46"/>
      <c r="BT100" s="46"/>
      <c r="BU100" s="46"/>
      <c r="BV100" s="46"/>
    </row>
    <row r="101" spans="22:79">
      <c r="AF101" s="56"/>
      <c r="AG101" s="46"/>
      <c r="AH101" s="46"/>
      <c r="AI101" s="46"/>
      <c r="AJ101" s="56"/>
      <c r="AK101" s="46"/>
      <c r="AL101" s="46"/>
      <c r="AM101" s="46"/>
      <c r="AN101" s="58"/>
      <c r="AO101" s="46"/>
      <c r="AP101" s="46"/>
      <c r="BC101" s="58"/>
      <c r="BD101" s="57"/>
      <c r="BE101" s="46"/>
      <c r="BF101" s="57"/>
      <c r="BG101" s="57"/>
      <c r="BH101" s="46"/>
      <c r="BI101" s="46"/>
      <c r="BJ101" s="46"/>
      <c r="BK101" s="46"/>
      <c r="BL101" s="46"/>
      <c r="BM101" s="46"/>
      <c r="BN101" s="46"/>
      <c r="BO101" s="46"/>
      <c r="BP101" s="46"/>
      <c r="BQ101" s="46"/>
      <c r="BR101" s="46"/>
      <c r="BS101" s="46"/>
      <c r="BT101" s="46"/>
      <c r="BU101" s="46"/>
      <c r="BV101" s="46"/>
    </row>
    <row r="102" spans="22:79">
      <c r="Z102" s="82"/>
      <c r="AA102" s="82"/>
      <c r="AB102" s="82"/>
      <c r="AF102" s="56"/>
      <c r="AG102" s="46"/>
      <c r="AH102" s="46"/>
      <c r="AI102" s="46"/>
      <c r="AJ102" s="56"/>
      <c r="AK102" s="46"/>
      <c r="AL102" s="46"/>
      <c r="AM102" s="46"/>
      <c r="AN102" s="58"/>
      <c r="AO102" s="46"/>
      <c r="AP102" s="46"/>
      <c r="BC102" s="58"/>
      <c r="BD102" s="57"/>
      <c r="BE102" s="46"/>
      <c r="BF102" s="57"/>
      <c r="BG102" s="57"/>
      <c r="BH102" s="46"/>
      <c r="BI102" s="46"/>
      <c r="BJ102" s="46"/>
      <c r="BK102" s="46"/>
      <c r="BL102" s="46"/>
      <c r="BM102" s="46"/>
      <c r="BN102" s="46"/>
      <c r="BO102" s="46"/>
      <c r="BP102" s="46"/>
      <c r="BQ102" s="46"/>
      <c r="BR102" s="46"/>
      <c r="BS102" s="46"/>
      <c r="BT102" s="46"/>
      <c r="BU102" s="46"/>
      <c r="BV102" s="46"/>
    </row>
    <row r="103" spans="22:79">
      <c r="Z103" s="82"/>
      <c r="AA103" s="82"/>
      <c r="AB103" s="82"/>
      <c r="AF103" s="56"/>
      <c r="AG103" s="46"/>
      <c r="AH103" s="46"/>
      <c r="AI103" s="46"/>
      <c r="AJ103" s="56"/>
      <c r="AK103" s="46"/>
      <c r="AL103" s="46"/>
      <c r="AM103" s="46"/>
      <c r="AN103" s="58"/>
      <c r="AO103" s="46"/>
      <c r="AP103" s="46"/>
      <c r="BC103" s="58"/>
      <c r="BD103" s="57"/>
      <c r="BE103" s="46"/>
      <c r="BF103" s="57"/>
      <c r="BG103" s="57"/>
      <c r="BH103" s="46"/>
      <c r="BI103" s="46"/>
      <c r="BJ103" s="46"/>
      <c r="BK103" s="46"/>
      <c r="BL103" s="46"/>
      <c r="BM103" s="46"/>
      <c r="BN103" s="46"/>
      <c r="BO103" s="46"/>
      <c r="BP103" s="46"/>
      <c r="BQ103" s="46"/>
      <c r="BR103" s="46"/>
      <c r="BS103" s="46"/>
      <c r="BT103" s="46"/>
      <c r="BU103" s="46"/>
      <c r="BV103" s="46"/>
    </row>
    <row r="104" spans="22:79">
      <c r="AF104" s="56"/>
      <c r="AG104" s="46"/>
      <c r="AH104" s="46"/>
      <c r="AI104" s="46"/>
      <c r="AJ104" s="56"/>
      <c r="AK104" s="46"/>
      <c r="AL104" s="46"/>
      <c r="AM104" s="46"/>
      <c r="AN104" s="58"/>
      <c r="AO104" s="46"/>
      <c r="AP104" s="46"/>
      <c r="BC104" s="58"/>
      <c r="BD104" s="57"/>
      <c r="BE104" s="46"/>
      <c r="BF104" s="57"/>
      <c r="BG104" s="57"/>
      <c r="BH104" s="46"/>
      <c r="BI104" s="46"/>
      <c r="BJ104" s="46"/>
      <c r="BK104" s="46"/>
      <c r="BL104" s="46"/>
      <c r="BM104" s="46"/>
      <c r="BN104" s="46"/>
      <c r="BO104" s="46"/>
      <c r="BP104" s="46"/>
      <c r="BQ104" s="46"/>
      <c r="BR104" s="46"/>
      <c r="BS104" s="46"/>
      <c r="BT104" s="46"/>
      <c r="BU104" s="46"/>
      <c r="BV104" s="46"/>
    </row>
    <row r="105" spans="22:79">
      <c r="AF105" s="56"/>
      <c r="AG105" s="46"/>
      <c r="AH105" s="46"/>
      <c r="AI105" s="46"/>
      <c r="AJ105" s="56"/>
      <c r="AK105" s="46"/>
      <c r="AL105" s="46"/>
      <c r="AM105" s="46"/>
      <c r="AN105" s="46"/>
      <c r="AO105" s="58"/>
      <c r="AP105" s="46"/>
      <c r="AQ105" s="46"/>
      <c r="BD105" s="58"/>
      <c r="BE105" s="57"/>
      <c r="BF105" s="46"/>
      <c r="BG105" s="57"/>
      <c r="BH105" s="57"/>
      <c r="BI105" s="46"/>
      <c r="BJ105" s="46"/>
      <c r="BK105" s="46"/>
      <c r="BL105" s="46"/>
      <c r="BM105" s="46"/>
      <c r="BN105" s="46"/>
      <c r="BO105" s="46"/>
      <c r="BP105" s="46"/>
      <c r="BQ105" s="46"/>
      <c r="BR105" s="46"/>
      <c r="BS105" s="46"/>
      <c r="BT105" s="46"/>
      <c r="BU105" s="46"/>
      <c r="BV105" s="46"/>
      <c r="BW105" s="46"/>
    </row>
    <row r="106" spans="22:79">
      <c r="AF106" s="56"/>
      <c r="AG106" s="46"/>
      <c r="AH106" s="46"/>
      <c r="AI106" s="46"/>
      <c r="AJ106" s="56"/>
      <c r="AK106" s="56"/>
      <c r="AL106" s="56"/>
      <c r="AM106" s="46"/>
      <c r="AN106" s="46"/>
      <c r="AO106" s="58"/>
      <c r="AP106" s="46"/>
      <c r="AQ106" s="46"/>
      <c r="BD106" s="58"/>
      <c r="BE106" s="57"/>
      <c r="BF106" s="46"/>
      <c r="BG106" s="57"/>
      <c r="BH106" s="57"/>
      <c r="BK106" s="46"/>
      <c r="BL106" s="46"/>
      <c r="BM106" s="46"/>
      <c r="BN106" s="46"/>
      <c r="BO106" s="46"/>
      <c r="BP106" s="46"/>
      <c r="BQ106" s="46"/>
      <c r="BR106" s="46"/>
      <c r="BS106" s="46"/>
      <c r="BT106" s="46"/>
      <c r="BU106" s="46"/>
      <c r="BV106" s="46"/>
      <c r="BW106" s="46"/>
      <c r="BX106" s="46"/>
      <c r="BY106" s="46"/>
    </row>
    <row r="107" spans="22:79">
      <c r="AF107" s="56"/>
      <c r="AG107" s="46"/>
      <c r="AH107" s="46"/>
      <c r="AI107" s="46"/>
      <c r="AJ107" s="56"/>
      <c r="AK107" s="46"/>
      <c r="AL107" s="46"/>
      <c r="AM107" s="46"/>
      <c r="AN107" s="46"/>
      <c r="AO107" s="58"/>
      <c r="AP107" s="46"/>
      <c r="AQ107" s="46"/>
      <c r="BD107" s="58"/>
      <c r="BE107" s="57"/>
      <c r="BF107" s="46"/>
      <c r="BG107" s="57"/>
      <c r="BH107" s="57"/>
      <c r="BI107" s="46"/>
      <c r="BJ107" s="46"/>
      <c r="BK107" s="46"/>
      <c r="BL107" s="46"/>
      <c r="BM107" s="46"/>
      <c r="BN107" s="46"/>
      <c r="BO107" s="46"/>
      <c r="BP107" s="46"/>
      <c r="BQ107" s="46"/>
      <c r="BR107" s="46"/>
      <c r="BS107" s="46"/>
      <c r="BT107" s="46"/>
      <c r="BU107" s="46"/>
      <c r="BV107" s="46"/>
      <c r="BW107" s="46"/>
      <c r="BX107" s="46"/>
      <c r="BY107" s="46"/>
    </row>
    <row r="108" spans="22:79">
      <c r="AC108" s="3" t="str">
        <f>_xll.BCurveStrip("EUR.Basis.3m.USD.3m")</f>
        <v>EUR.BASIS.3M.USD.3M:BLOOMBERG SC 676921</v>
      </c>
      <c r="AI108" s="3" t="str">
        <f>_xll.BCurveStrip("JPY.Basis.3m.USD.3m")</f>
        <v>JPY.BASIS.3M.USD.3M:BLOOMBERG SC 31723</v>
      </c>
      <c r="AO108" s="3" t="str">
        <f>_xll.BCurveStrip("GBP.Basis.3m.USD.3m")</f>
        <v>GBP.BASIS.3M.USD.3M:BLOOMBERG SC 407924</v>
      </c>
      <c r="AP108" s="56"/>
      <c r="AQ108" s="46"/>
      <c r="AR108" s="46"/>
      <c r="AS108" s="46"/>
      <c r="AT108" s="46"/>
      <c r="AU108" s="56" t="str">
        <f>_xll.BCurveStrip("USD.3M")</f>
        <v>USD.3M:BLOOMBERG 458968</v>
      </c>
      <c r="AV108" s="46"/>
      <c r="AW108" s="46"/>
      <c r="AX108" s="46"/>
      <c r="AY108" s="58"/>
      <c r="AZ108" s="46"/>
      <c r="BA108" s="56" t="str">
        <f>_xll.BCurveStrip("EUR.6M")</f>
        <v>EUR.6M:BLOOMBERG 143767</v>
      </c>
      <c r="BB108" s="46"/>
      <c r="BC108" s="46"/>
      <c r="BD108" s="46"/>
      <c r="BE108" s="58"/>
      <c r="BG108" s="56" t="str">
        <f>_xll.BCurveStrip("GBP.6M")</f>
        <v>GBP.6M:BLOOMBERG 541400</v>
      </c>
      <c r="BH108" s="46"/>
      <c r="BI108" s="46"/>
      <c r="BJ108" s="46"/>
      <c r="BK108" s="58"/>
      <c r="BM108" s="56" t="str">
        <f>_xll.BCurveStrip("JPY.6M")</f>
        <v>JPY.6M:BLOOMBERG 74984</v>
      </c>
      <c r="BN108" s="46"/>
      <c r="BO108" s="46"/>
      <c r="BP108" s="46"/>
      <c r="BQ108" s="58"/>
      <c r="BR108" s="57"/>
      <c r="BS108" s="56"/>
      <c r="BT108" s="46"/>
      <c r="BU108" s="46"/>
      <c r="BV108" s="46"/>
      <c r="BW108" s="58"/>
      <c r="BX108" s="46"/>
      <c r="BY108" s="56"/>
      <c r="BZ108" s="46"/>
      <c r="CA108" s="58"/>
    </row>
    <row r="109" spans="22:79">
      <c r="AP109" s="56"/>
      <c r="AQ109" s="46"/>
      <c r="AR109" s="46"/>
      <c r="AS109" s="46"/>
      <c r="AT109" s="46"/>
      <c r="AU109" s="56"/>
      <c r="AV109" s="46"/>
      <c r="AW109" s="46"/>
      <c r="AX109" s="46"/>
      <c r="AY109" s="58"/>
      <c r="AZ109" s="46"/>
      <c r="BA109" s="56"/>
      <c r="BB109" s="46"/>
      <c r="BC109" s="46"/>
      <c r="BD109" s="46"/>
      <c r="BE109" s="58"/>
      <c r="BG109" s="56"/>
      <c r="BH109" s="46"/>
      <c r="BI109" s="46"/>
      <c r="BJ109" s="46"/>
      <c r="BK109" s="58"/>
      <c r="BM109" s="56"/>
      <c r="BN109" s="46"/>
      <c r="BO109" s="46"/>
      <c r="BP109" s="46"/>
      <c r="BQ109" s="58"/>
      <c r="BR109" s="57"/>
      <c r="BS109" s="56"/>
      <c r="BT109" s="46"/>
      <c r="BU109" s="46"/>
      <c r="BV109" s="46"/>
      <c r="BW109" s="58"/>
      <c r="BX109" s="46"/>
      <c r="BY109" s="56"/>
      <c r="BZ109" s="46"/>
      <c r="CA109" s="58"/>
    </row>
    <row r="110" spans="22:79">
      <c r="AC110" s="3" t="s">
        <v>43</v>
      </c>
      <c r="AD110" s="3" t="str">
        <f>_xll.BView(AC108,"SettlementDate,Maturity,Df.mid, Market.Mid","headers=true","cols=4;rows=18")</f>
        <v>SettlementDate</v>
      </c>
      <c r="AE110" s="3" t="s">
        <v>1</v>
      </c>
      <c r="AF110" s="3" t="s">
        <v>42</v>
      </c>
      <c r="AG110" s="3" t="s">
        <v>46</v>
      </c>
      <c r="AI110" s="3" t="s">
        <v>43</v>
      </c>
      <c r="AJ110" s="3" t="str">
        <f>_xll.BView(AI108,"SettlementDate,Maturity,Df.mid, Market.Mid","headers=true","cols=4;rows=19")</f>
        <v>SettlementDate</v>
      </c>
      <c r="AK110" s="3" t="s">
        <v>1</v>
      </c>
      <c r="AL110" s="3" t="s">
        <v>42</v>
      </c>
      <c r="AM110" s="3" t="s">
        <v>46</v>
      </c>
      <c r="AO110" s="3" t="s">
        <v>43</v>
      </c>
      <c r="AP110" s="3" t="str">
        <f>_xll.BView(AO108,"SettlementDate,Maturity,Df.mid, Market.Mid","headers=true","cols=4;rows=18")</f>
        <v>SettlementDate</v>
      </c>
      <c r="AQ110" s="56" t="s">
        <v>1</v>
      </c>
      <c r="AR110" s="46" t="s">
        <v>42</v>
      </c>
      <c r="AS110" s="46" t="s">
        <v>46</v>
      </c>
      <c r="AT110" s="46"/>
      <c r="AU110" s="3" t="s">
        <v>43</v>
      </c>
      <c r="AV110" s="56" t="str">
        <f>_xll.BView(AU108,"SettlementDate,Maturity,Df.mid, Market.Mid","headers=true","cols=4;rows=25")</f>
        <v>SettlementDate</v>
      </c>
      <c r="AW110" s="56" t="s">
        <v>1</v>
      </c>
      <c r="AX110" s="87" t="s">
        <v>42</v>
      </c>
      <c r="AY110" s="92" t="s">
        <v>46</v>
      </c>
      <c r="AZ110" s="58"/>
      <c r="BA110" s="3" t="s">
        <v>43</v>
      </c>
      <c r="BB110" s="56" t="str">
        <f>_xll.BView(BA108,"SettlementDate,Maturity,Df.mid, Market.Mid","headers=true","cols=4;rows=33")</f>
        <v>SettlementDate</v>
      </c>
      <c r="BC110" s="56" t="s">
        <v>1</v>
      </c>
      <c r="BD110" s="87" t="s">
        <v>42</v>
      </c>
      <c r="BE110" s="92" t="s">
        <v>46</v>
      </c>
      <c r="BG110" s="3" t="s">
        <v>43</v>
      </c>
      <c r="BH110" s="56" t="str">
        <f>_xll.BView(BG108,"SettlementDate,Maturity,Df.mid, Market.Mid","headers=true","cols=4;rows=27")</f>
        <v>SettlementDate</v>
      </c>
      <c r="BI110" s="56" t="s">
        <v>1</v>
      </c>
      <c r="BJ110" s="87" t="s">
        <v>42</v>
      </c>
      <c r="BK110" s="92" t="s">
        <v>46</v>
      </c>
      <c r="BM110" s="3" t="s">
        <v>43</v>
      </c>
      <c r="BN110" s="56" t="str">
        <f>_xll.BView(BM108,"SettlementDate,Maturity,Df.mid, Market.Mid","headers=true","cols=4;rows=25")</f>
        <v>SettlementDate</v>
      </c>
      <c r="BO110" s="56" t="s">
        <v>1</v>
      </c>
      <c r="BP110" s="87" t="s">
        <v>42</v>
      </c>
      <c r="BQ110" s="92" t="s">
        <v>46</v>
      </c>
      <c r="BR110" s="57"/>
      <c r="BT110" s="56"/>
      <c r="BU110" s="56"/>
      <c r="BV110" s="87"/>
      <c r="BW110" s="92"/>
      <c r="BX110" s="46"/>
      <c r="BZ110" s="87"/>
      <c r="CA110" s="92"/>
    </row>
    <row r="111" spans="22:79">
      <c r="AC111" s="3">
        <f t="shared" ref="AC111:AC127" si="44">YEARFRAC(AD$111, AE111, 1)</f>
        <v>0.24590163934426229</v>
      </c>
      <c r="AD111" s="8">
        <v>43888</v>
      </c>
      <c r="AE111" s="8">
        <v>43978</v>
      </c>
      <c r="AF111" s="86">
        <v>1.0013380000000001</v>
      </c>
      <c r="AG111" s="93">
        <v>-12.0586</v>
      </c>
      <c r="AI111" s="3">
        <f t="shared" ref="AI111:AI128" si="45">YEARFRAC(AJ$111, AK111, 1)</f>
        <v>0.24590163934426229</v>
      </c>
      <c r="AJ111" s="8">
        <v>43888</v>
      </c>
      <c r="AK111" s="8">
        <v>43978</v>
      </c>
      <c r="AL111" s="86">
        <v>1.0007790000000001</v>
      </c>
      <c r="AM111" s="93">
        <v>-24.5</v>
      </c>
      <c r="AO111" s="3">
        <f t="shared" ref="AO111:AO127" si="46">YEARFRAC(AP$111, AQ111, 1)</f>
        <v>0.24590163934426229</v>
      </c>
      <c r="AP111" s="8">
        <v>43888</v>
      </c>
      <c r="AQ111" s="56">
        <v>43978</v>
      </c>
      <c r="AR111" s="87">
        <v>0.99828399999999995</v>
      </c>
      <c r="AS111" s="92">
        <v>-3.5</v>
      </c>
      <c r="AT111" s="46"/>
      <c r="AU111" s="3">
        <f t="shared" ref="AU111:AU134" si="47">YEARFRAC(AV$111, AW111, 1)</f>
        <v>0.24590163934426229</v>
      </c>
      <c r="AV111" s="56">
        <v>43888</v>
      </c>
      <c r="AW111" s="56">
        <v>43978</v>
      </c>
      <c r="AX111" s="87">
        <v>0.995923</v>
      </c>
      <c r="AY111" s="92">
        <v>1.6376299999999999</v>
      </c>
      <c r="AZ111" s="58"/>
      <c r="BA111" s="3">
        <f t="shared" ref="BA111:BA142" si="48">YEARFRAC(BB$111, BC111, 1)</f>
        <v>0.49726775956284153</v>
      </c>
      <c r="BB111" s="56">
        <v>43888</v>
      </c>
      <c r="BC111" s="56">
        <v>44070</v>
      </c>
      <c r="BD111" s="87">
        <v>1.001808</v>
      </c>
      <c r="BE111" s="92">
        <v>-0.35699999999999998</v>
      </c>
      <c r="BG111" s="3">
        <f t="shared" ref="BG111:BG135" si="49">YEARFRAC(BH$111, BI111, 1)</f>
        <v>0.49726775956284153</v>
      </c>
      <c r="BH111" s="56">
        <v>43886</v>
      </c>
      <c r="BI111" s="56">
        <v>44068</v>
      </c>
      <c r="BJ111" s="87">
        <v>0.99619400000000002</v>
      </c>
      <c r="BK111" s="92">
        <v>0.76612999999999998</v>
      </c>
      <c r="BM111" s="3">
        <f t="shared" ref="BM111:BM134" si="50">YEARFRAC(BN$111, BO111, 1)</f>
        <v>0.49726775956284153</v>
      </c>
      <c r="BN111" s="56">
        <v>43888</v>
      </c>
      <c r="BO111" s="56">
        <v>44070</v>
      </c>
      <c r="BP111" s="87">
        <v>1.0001690000000001</v>
      </c>
      <c r="BQ111" s="92">
        <v>-3.3500000000000002E-2</v>
      </c>
      <c r="BR111" s="57"/>
      <c r="BT111" s="56"/>
      <c r="BU111" s="56"/>
      <c r="BV111" s="87"/>
      <c r="BW111" s="92"/>
      <c r="BX111" s="46"/>
      <c r="BZ111" s="87"/>
      <c r="CA111" s="92"/>
    </row>
    <row r="112" spans="22:79">
      <c r="AC112" s="3">
        <f t="shared" si="44"/>
        <v>0.49726775956284153</v>
      </c>
      <c r="AD112" s="8"/>
      <c r="AE112" s="8">
        <v>44070</v>
      </c>
      <c r="AF112" s="86">
        <v>1.0027900000000001</v>
      </c>
      <c r="AG112" s="93">
        <v>-11.75</v>
      </c>
      <c r="AI112" s="3">
        <f t="shared" si="45"/>
        <v>0.49726775956284153</v>
      </c>
      <c r="AK112" s="8">
        <v>44070</v>
      </c>
      <c r="AL112" s="86">
        <v>1.0017940000000001</v>
      </c>
      <c r="AM112" s="93">
        <v>-26.75</v>
      </c>
      <c r="AO112" s="3">
        <f t="shared" si="46"/>
        <v>0.49726775956284153</v>
      </c>
      <c r="AQ112" s="56">
        <v>44070</v>
      </c>
      <c r="AR112" s="87">
        <v>0.99669200000000002</v>
      </c>
      <c r="AS112" s="92">
        <v>-1.75</v>
      </c>
      <c r="AT112" s="46"/>
      <c r="AU112" s="3">
        <f t="shared" si="47"/>
        <v>0.30327868852459017</v>
      </c>
      <c r="AV112" s="56"/>
      <c r="AW112" s="56">
        <v>43999</v>
      </c>
      <c r="AX112" s="87">
        <v>0.99501799999999996</v>
      </c>
      <c r="AY112" s="92">
        <v>1.6149100000000001</v>
      </c>
      <c r="AZ112" s="58"/>
      <c r="BA112" s="3">
        <f t="shared" si="48"/>
        <v>0.58469945355191255</v>
      </c>
      <c r="BB112" s="56"/>
      <c r="BC112" s="56">
        <v>44102</v>
      </c>
      <c r="BD112" s="87">
        <v>1.0021659999999999</v>
      </c>
      <c r="BE112" s="92">
        <v>-0.379</v>
      </c>
      <c r="BG112" s="3">
        <f t="shared" si="49"/>
        <v>0.58196721311475408</v>
      </c>
      <c r="BH112" s="56"/>
      <c r="BI112" s="56">
        <v>44099</v>
      </c>
      <c r="BJ112" s="87">
        <v>0.99563900000000005</v>
      </c>
      <c r="BK112" s="92">
        <v>0.73</v>
      </c>
      <c r="BM112" s="3">
        <f t="shared" si="50"/>
        <v>0.58469945355191255</v>
      </c>
      <c r="BN112" s="56"/>
      <c r="BO112" s="56">
        <v>44102</v>
      </c>
      <c r="BP112" s="87">
        <v>1.000237</v>
      </c>
      <c r="BQ112" s="92">
        <v>-2.8750000000000001E-2</v>
      </c>
      <c r="BR112" s="57"/>
      <c r="BT112" s="56"/>
      <c r="BU112" s="56"/>
      <c r="BV112" s="87"/>
      <c r="BW112" s="92"/>
      <c r="BX112" s="46"/>
      <c r="BZ112" s="87"/>
      <c r="CA112" s="92"/>
    </row>
    <row r="113" spans="29:80">
      <c r="AC113" s="3">
        <f t="shared" si="44"/>
        <v>0.74863387978142082</v>
      </c>
      <c r="AD113" s="8"/>
      <c r="AE113" s="8">
        <v>44162</v>
      </c>
      <c r="AF113" s="86">
        <v>1.0043150000000001</v>
      </c>
      <c r="AG113" s="93">
        <v>-11.876099999999999</v>
      </c>
      <c r="AI113" s="3">
        <f t="shared" si="45"/>
        <v>0.74863387978142082</v>
      </c>
      <c r="AK113" s="8">
        <v>44162</v>
      </c>
      <c r="AL113" s="86">
        <v>1.0029189999999999</v>
      </c>
      <c r="AM113" s="93">
        <v>-27.75</v>
      </c>
      <c r="AO113" s="3">
        <f t="shared" si="46"/>
        <v>0.74863387978142082</v>
      </c>
      <c r="AQ113" s="56">
        <v>44162</v>
      </c>
      <c r="AR113" s="87">
        <v>0.99522900000000003</v>
      </c>
      <c r="AS113" s="92">
        <v>-0.875</v>
      </c>
      <c r="AT113" s="46"/>
      <c r="AU113" s="3">
        <f t="shared" si="47"/>
        <v>0.55191256830601088</v>
      </c>
      <c r="AV113" s="56"/>
      <c r="AW113" s="56">
        <v>44090</v>
      </c>
      <c r="AX113" s="87">
        <v>0.99154799999999998</v>
      </c>
      <c r="AY113" s="92">
        <v>1.3843300000000001</v>
      </c>
      <c r="AZ113" s="58"/>
      <c r="BA113" s="3">
        <f t="shared" si="48"/>
        <v>0.66393442622950816</v>
      </c>
      <c r="BB113" s="56"/>
      <c r="BC113" s="56">
        <v>44131</v>
      </c>
      <c r="BD113" s="87">
        <v>1.0024960000000001</v>
      </c>
      <c r="BE113" s="92">
        <v>-0.39</v>
      </c>
      <c r="BG113" s="3">
        <f t="shared" si="49"/>
        <v>0.66666666666666663</v>
      </c>
      <c r="BH113" s="56"/>
      <c r="BI113" s="56">
        <v>44130</v>
      </c>
      <c r="BJ113" s="87">
        <v>0.99509499999999995</v>
      </c>
      <c r="BK113" s="92">
        <v>0.7</v>
      </c>
      <c r="BM113" s="3">
        <f t="shared" si="50"/>
        <v>0.66393442622950816</v>
      </c>
      <c r="BN113" s="56"/>
      <c r="BO113" s="56">
        <v>44131</v>
      </c>
      <c r="BP113" s="87">
        <v>1.000302</v>
      </c>
      <c r="BQ113" s="92">
        <v>-4.4999999999999998E-2</v>
      </c>
      <c r="BR113" s="57"/>
      <c r="BT113" s="56"/>
      <c r="BU113" s="56"/>
      <c r="BV113" s="87"/>
      <c r="BW113" s="92"/>
      <c r="BX113" s="46"/>
      <c r="BZ113" s="87"/>
      <c r="CA113" s="92"/>
    </row>
    <row r="114" spans="29:80">
      <c r="AC114" s="3">
        <f t="shared" si="44"/>
        <v>0.99726775956284153</v>
      </c>
      <c r="AD114" s="8"/>
      <c r="AE114" s="8">
        <v>44253</v>
      </c>
      <c r="AF114" s="86">
        <v>1.0061389999999999</v>
      </c>
      <c r="AG114" s="93">
        <v>-14.5</v>
      </c>
      <c r="AI114" s="3">
        <f t="shared" si="45"/>
        <v>0.99726775956284153</v>
      </c>
      <c r="AK114" s="8">
        <v>44253</v>
      </c>
      <c r="AL114" s="86">
        <v>1.004424</v>
      </c>
      <c r="AM114" s="93">
        <v>-31.5</v>
      </c>
      <c r="AO114" s="3">
        <f t="shared" si="46"/>
        <v>0.99726775956284153</v>
      </c>
      <c r="AQ114" s="56">
        <v>44253</v>
      </c>
      <c r="AR114" s="87">
        <v>0.99395999999999995</v>
      </c>
      <c r="AS114" s="92">
        <v>-1.625</v>
      </c>
      <c r="AT114" s="46"/>
      <c r="AU114" s="3">
        <f t="shared" si="47"/>
        <v>0.80054644808743169</v>
      </c>
      <c r="AV114" s="56"/>
      <c r="AW114" s="56">
        <v>44181</v>
      </c>
      <c r="AX114" s="87">
        <v>0.98835399999999995</v>
      </c>
      <c r="AY114" s="92">
        <v>1.2784199999999999</v>
      </c>
      <c r="AZ114" s="58"/>
      <c r="BA114" s="3">
        <f t="shared" si="48"/>
        <v>0.74863387978142082</v>
      </c>
      <c r="BB114" s="56"/>
      <c r="BC114" s="56">
        <v>44162</v>
      </c>
      <c r="BD114" s="87">
        <v>1.0028539999999999</v>
      </c>
      <c r="BE114" s="92">
        <v>-0.39700000000000002</v>
      </c>
      <c r="BG114" s="3">
        <f t="shared" si="49"/>
        <v>0.74863387978142082</v>
      </c>
      <c r="BH114" s="56"/>
      <c r="BI114" s="56">
        <v>44160</v>
      </c>
      <c r="BJ114" s="87">
        <v>0.99456999999999995</v>
      </c>
      <c r="BK114" s="92">
        <v>0.67200000000000004</v>
      </c>
      <c r="BM114" s="3">
        <f t="shared" si="50"/>
        <v>0.74863387978142082</v>
      </c>
      <c r="BN114" s="56"/>
      <c r="BO114" s="56">
        <v>44162</v>
      </c>
      <c r="BP114" s="87">
        <v>1.0003770000000001</v>
      </c>
      <c r="BQ114" s="92">
        <v>-5.8700000000000002E-2</v>
      </c>
      <c r="BR114" s="57"/>
      <c r="BT114" s="56"/>
      <c r="BU114" s="56"/>
      <c r="BV114" s="87"/>
      <c r="BW114" s="92"/>
      <c r="BX114" s="46"/>
      <c r="BZ114" s="87"/>
      <c r="CA114" s="92"/>
    </row>
    <row r="115" spans="29:80">
      <c r="AC115" s="3">
        <f t="shared" si="44"/>
        <v>2.0036496350364965</v>
      </c>
      <c r="AD115" s="8"/>
      <c r="AE115" s="8">
        <v>44620</v>
      </c>
      <c r="AF115" s="86">
        <v>1.0125630000000001</v>
      </c>
      <c r="AG115" s="93">
        <v>-14.75</v>
      </c>
      <c r="AI115" s="3">
        <f t="shared" si="45"/>
        <v>1.4965800273597811</v>
      </c>
      <c r="AK115" s="8">
        <v>44435</v>
      </c>
      <c r="AL115" s="86">
        <v>1.007109</v>
      </c>
      <c r="AM115" s="93">
        <v>-32.75</v>
      </c>
      <c r="AO115" s="3">
        <f t="shared" si="46"/>
        <v>2.0036496350364965</v>
      </c>
      <c r="AQ115" s="56">
        <v>44620</v>
      </c>
      <c r="AR115" s="87">
        <v>0.98850400000000005</v>
      </c>
      <c r="AS115" s="92">
        <v>0.125</v>
      </c>
      <c r="AT115" s="46"/>
      <c r="AU115" s="3">
        <f t="shared" si="47"/>
        <v>1.0506155950752394</v>
      </c>
      <c r="AV115" s="56"/>
      <c r="AW115" s="56">
        <v>44272</v>
      </c>
      <c r="AX115" s="87">
        <v>0.98528499999999997</v>
      </c>
      <c r="AY115" s="92">
        <v>1.2321800000000001</v>
      </c>
      <c r="AZ115" s="58"/>
      <c r="BA115" s="3">
        <f t="shared" si="48"/>
        <v>0.83333333333333337</v>
      </c>
      <c r="BB115" s="56"/>
      <c r="BC115" s="56">
        <v>44193</v>
      </c>
      <c r="BD115" s="87">
        <v>1.0032939999999999</v>
      </c>
      <c r="BE115" s="92">
        <v>-0.40500000000000003</v>
      </c>
      <c r="BG115" s="3">
        <f t="shared" si="49"/>
        <v>0.84153005464480879</v>
      </c>
      <c r="BH115" s="56"/>
      <c r="BI115" s="56">
        <v>44194</v>
      </c>
      <c r="BJ115" s="87">
        <v>0.99400299999999997</v>
      </c>
      <c r="BK115" s="92">
        <v>0.65349999999999997</v>
      </c>
      <c r="BM115" s="3">
        <f t="shared" si="50"/>
        <v>0.83606557377049184</v>
      </c>
      <c r="BN115" s="56"/>
      <c r="BO115" s="56">
        <v>44194</v>
      </c>
      <c r="BP115" s="87">
        <v>1.000461</v>
      </c>
      <c r="BQ115" s="92">
        <v>-7.1249999999999994E-2</v>
      </c>
      <c r="BR115" s="57"/>
      <c r="BT115" s="56"/>
      <c r="BU115" s="56"/>
      <c r="BV115" s="87"/>
      <c r="BW115" s="92"/>
      <c r="BX115" s="46"/>
      <c r="BZ115" s="87"/>
      <c r="CA115" s="92"/>
    </row>
    <row r="116" spans="29:80">
      <c r="AC116" s="3">
        <f t="shared" si="44"/>
        <v>3.0006844626967832</v>
      </c>
      <c r="AD116" s="8"/>
      <c r="AE116" s="8">
        <v>44984</v>
      </c>
      <c r="AF116" s="86">
        <v>1.018589</v>
      </c>
      <c r="AG116" s="93">
        <v>-14.875</v>
      </c>
      <c r="AI116" s="3">
        <f t="shared" si="45"/>
        <v>2.0036496350364965</v>
      </c>
      <c r="AK116" s="8">
        <v>44620</v>
      </c>
      <c r="AL116" s="86">
        <v>1.0101549999999999</v>
      </c>
      <c r="AM116" s="93">
        <v>-34.75</v>
      </c>
      <c r="AO116" s="3">
        <f t="shared" si="46"/>
        <v>3.0006844626967832</v>
      </c>
      <c r="AQ116" s="56">
        <v>44984</v>
      </c>
      <c r="AR116" s="87">
        <v>0.98324400000000001</v>
      </c>
      <c r="AS116" s="92">
        <v>0.75</v>
      </c>
      <c r="AT116" s="46"/>
      <c r="AU116" s="3">
        <f t="shared" si="47"/>
        <v>1.2995896032831737</v>
      </c>
      <c r="AV116" s="56"/>
      <c r="AW116" s="56">
        <v>44363</v>
      </c>
      <c r="AX116" s="87">
        <v>0.98252700000000004</v>
      </c>
      <c r="AY116" s="92">
        <v>1.11063</v>
      </c>
      <c r="AZ116" s="58"/>
      <c r="BA116" s="3">
        <f t="shared" si="48"/>
        <v>0.91530054644808745</v>
      </c>
      <c r="BB116" s="56"/>
      <c r="BC116" s="56">
        <v>44223</v>
      </c>
      <c r="BD116" s="87">
        <v>1.0036480000000001</v>
      </c>
      <c r="BE116" s="92">
        <v>-0.41</v>
      </c>
      <c r="BG116" s="3">
        <f t="shared" si="49"/>
        <v>0.91530054644808745</v>
      </c>
      <c r="BH116" s="56"/>
      <c r="BI116" s="56">
        <v>44221</v>
      </c>
      <c r="BJ116" s="87">
        <v>0.99355000000000004</v>
      </c>
      <c r="BK116" s="92">
        <v>0.64049999999999996</v>
      </c>
      <c r="BM116" s="3">
        <f t="shared" si="50"/>
        <v>0.91530054644808745</v>
      </c>
      <c r="BN116" s="56"/>
      <c r="BO116" s="56">
        <v>44223</v>
      </c>
      <c r="BP116" s="87">
        <v>1.00054</v>
      </c>
      <c r="BQ116" s="92">
        <v>-8.1250000000000003E-2</v>
      </c>
      <c r="BR116" s="57"/>
      <c r="BT116" s="56"/>
      <c r="BU116" s="56"/>
      <c r="BV116" s="87"/>
      <c r="BW116" s="92"/>
      <c r="BX116" s="46"/>
      <c r="BZ116" s="87"/>
      <c r="CA116" s="92"/>
    </row>
    <row r="117" spans="29:80">
      <c r="AC117" s="3">
        <f t="shared" si="44"/>
        <v>3.9983579638752054</v>
      </c>
      <c r="AD117" s="8"/>
      <c r="AE117" s="8">
        <v>45349</v>
      </c>
      <c r="AF117" s="86">
        <v>1.024052</v>
      </c>
      <c r="AG117" s="93">
        <v>-15</v>
      </c>
      <c r="AI117" s="3">
        <f t="shared" si="45"/>
        <v>3.0006844626967832</v>
      </c>
      <c r="AK117" s="8">
        <v>44984</v>
      </c>
      <c r="AL117" s="86">
        <v>1.0170870000000001</v>
      </c>
      <c r="AM117" s="93">
        <v>-37.875</v>
      </c>
      <c r="AO117" s="3">
        <f t="shared" si="46"/>
        <v>3.9983579638752054</v>
      </c>
      <c r="AQ117" s="56">
        <v>45349</v>
      </c>
      <c r="AR117" s="87">
        <v>0.97749900000000001</v>
      </c>
      <c r="AS117" s="92">
        <v>1.5</v>
      </c>
      <c r="AT117" s="46"/>
      <c r="AU117" s="3">
        <f t="shared" si="47"/>
        <v>1.5485636114911081</v>
      </c>
      <c r="AV117" s="56"/>
      <c r="AW117" s="56">
        <v>44454</v>
      </c>
      <c r="AX117" s="87">
        <v>0.97986700000000004</v>
      </c>
      <c r="AY117" s="92">
        <v>1.07378</v>
      </c>
      <c r="AZ117" s="58"/>
      <c r="BA117" s="3">
        <f t="shared" si="48"/>
        <v>0.99726775956284153</v>
      </c>
      <c r="BB117" s="56"/>
      <c r="BC117" s="56">
        <v>44253</v>
      </c>
      <c r="BD117" s="87">
        <v>1.0039260000000001</v>
      </c>
      <c r="BE117" s="92">
        <v>-0.41499999999999998</v>
      </c>
      <c r="BG117" s="3">
        <f t="shared" si="49"/>
        <v>1</v>
      </c>
      <c r="BH117" s="56"/>
      <c r="BI117" s="56">
        <v>44252</v>
      </c>
      <c r="BJ117" s="87">
        <v>0.99304300000000001</v>
      </c>
      <c r="BK117" s="92">
        <v>0.62949999999999995</v>
      </c>
      <c r="BM117" s="3">
        <f t="shared" si="50"/>
        <v>0.99726775956284153</v>
      </c>
      <c r="BN117" s="56"/>
      <c r="BO117" s="56">
        <v>44253</v>
      </c>
      <c r="BP117" s="87">
        <v>1.0006269999999999</v>
      </c>
      <c r="BQ117" s="92">
        <v>-0.09</v>
      </c>
      <c r="BR117" s="57"/>
      <c r="BT117" s="56"/>
      <c r="BU117" s="56"/>
      <c r="BV117" s="87"/>
      <c r="BW117" s="92"/>
      <c r="BX117" s="89"/>
      <c r="BZ117" s="87"/>
      <c r="CA117" s="92"/>
    </row>
    <row r="118" spans="29:80">
      <c r="AC118" s="3">
        <f t="shared" si="44"/>
        <v>5.0009124087591239</v>
      </c>
      <c r="AD118" s="8"/>
      <c r="AE118" s="8">
        <v>45715</v>
      </c>
      <c r="AF118" s="86">
        <v>1.0288299999999999</v>
      </c>
      <c r="AG118" s="93">
        <v>-15.25</v>
      </c>
      <c r="AI118" s="3">
        <f t="shared" si="45"/>
        <v>3.9983579638752054</v>
      </c>
      <c r="AK118" s="8">
        <v>45349</v>
      </c>
      <c r="AL118" s="86">
        <v>1.0245029999999999</v>
      </c>
      <c r="AM118" s="93">
        <v>-40.875</v>
      </c>
      <c r="AO118" s="3">
        <f t="shared" si="46"/>
        <v>5.0009124087591239</v>
      </c>
      <c r="AQ118" s="56">
        <v>45715</v>
      </c>
      <c r="AR118" s="87">
        <v>0.97138500000000005</v>
      </c>
      <c r="AS118" s="92">
        <v>2.25</v>
      </c>
      <c r="AT118" s="46"/>
      <c r="AU118" s="3">
        <f t="shared" si="47"/>
        <v>2.0036496350364965</v>
      </c>
      <c r="AV118" s="56"/>
      <c r="AW118" s="56">
        <v>44620</v>
      </c>
      <c r="AX118" s="87">
        <v>0.975136</v>
      </c>
      <c r="AY118" s="92">
        <v>1.26241</v>
      </c>
      <c r="AZ118" s="58"/>
      <c r="BA118" s="3">
        <f t="shared" si="48"/>
        <v>1.0834473324213407</v>
      </c>
      <c r="BB118" s="56"/>
      <c r="BC118" s="56">
        <v>44284</v>
      </c>
      <c r="BD118" s="87">
        <v>1.004283</v>
      </c>
      <c r="BE118" s="92">
        <v>-0.41699999999999998</v>
      </c>
      <c r="BG118" s="3">
        <f t="shared" si="49"/>
        <v>1.2448700410396716</v>
      </c>
      <c r="BH118" s="56"/>
      <c r="BI118" s="56">
        <v>44341</v>
      </c>
      <c r="BJ118" s="87">
        <v>0.99158000000000002</v>
      </c>
      <c r="BK118" s="92">
        <v>0.60799999999999998</v>
      </c>
      <c r="BM118" s="3">
        <f t="shared" si="50"/>
        <v>1.4965800273597811</v>
      </c>
      <c r="BN118" s="56"/>
      <c r="BO118" s="56">
        <v>44435</v>
      </c>
      <c r="BP118" s="87">
        <v>1.0012110000000001</v>
      </c>
      <c r="BQ118" s="92">
        <v>-8.0740000000000006E-2</v>
      </c>
      <c r="BR118" s="57"/>
      <c r="BT118" s="56"/>
      <c r="BU118" s="56"/>
      <c r="BV118" s="87"/>
      <c r="BW118" s="92"/>
      <c r="BX118" s="46"/>
      <c r="BZ118" s="87"/>
      <c r="CA118" s="92"/>
      <c r="CB118" s="31"/>
    </row>
    <row r="119" spans="29:80">
      <c r="AC119" s="3">
        <f t="shared" si="44"/>
        <v>6.0007821666014864</v>
      </c>
      <c r="AD119" s="8"/>
      <c r="AE119" s="8">
        <v>46080</v>
      </c>
      <c r="AF119" s="86">
        <v>1.032877</v>
      </c>
      <c r="AG119" s="93">
        <v>-15.625</v>
      </c>
      <c r="AI119" s="3">
        <f t="shared" si="45"/>
        <v>5.0009124087591239</v>
      </c>
      <c r="AK119" s="8">
        <v>45715</v>
      </c>
      <c r="AL119" s="86">
        <v>1.032316</v>
      </c>
      <c r="AM119" s="93">
        <v>-43.75</v>
      </c>
      <c r="AO119" s="3">
        <f t="shared" si="46"/>
        <v>6.0007821666014864</v>
      </c>
      <c r="AQ119" s="56">
        <v>46080</v>
      </c>
      <c r="AR119" s="87">
        <v>0.965225</v>
      </c>
      <c r="AS119" s="92">
        <v>3</v>
      </c>
      <c r="AT119" s="46"/>
      <c r="AU119" s="3">
        <f t="shared" si="47"/>
        <v>3.0006844626967832</v>
      </c>
      <c r="AV119" s="56"/>
      <c r="AW119" s="56">
        <v>44984</v>
      </c>
      <c r="AX119" s="87">
        <v>0.96460500000000005</v>
      </c>
      <c r="AY119" s="92">
        <v>1.2062999999999999</v>
      </c>
      <c r="AZ119" s="58"/>
      <c r="BA119" s="3">
        <f t="shared" si="48"/>
        <v>1.1627906976744187</v>
      </c>
      <c r="BB119" s="56"/>
      <c r="BC119" s="56">
        <v>44313</v>
      </c>
      <c r="BD119" s="87">
        <v>1.0046189999999999</v>
      </c>
      <c r="BE119" s="92">
        <v>-0.41799999999999998</v>
      </c>
      <c r="BG119" s="3">
        <f t="shared" si="49"/>
        <v>1.4965800273597811</v>
      </c>
      <c r="BH119" s="56"/>
      <c r="BI119" s="56">
        <v>44433</v>
      </c>
      <c r="BJ119" s="87">
        <v>0.99011700000000002</v>
      </c>
      <c r="BK119" s="92">
        <v>0.59599999999999997</v>
      </c>
      <c r="BM119" s="3">
        <f t="shared" si="50"/>
        <v>2.0036496350364965</v>
      </c>
      <c r="BN119" s="56"/>
      <c r="BO119" s="56">
        <v>44620</v>
      </c>
      <c r="BP119" s="87">
        <v>1.0018320000000001</v>
      </c>
      <c r="BQ119" s="92">
        <v>-9.1249999999999998E-2</v>
      </c>
      <c r="BR119" s="57"/>
      <c r="BT119" s="56"/>
      <c r="BU119" s="56"/>
      <c r="BV119" s="87"/>
      <c r="BW119" s="92"/>
      <c r="BX119" s="46"/>
      <c r="BZ119" s="87"/>
      <c r="CA119" s="92"/>
    </row>
    <row r="120" spans="29:80">
      <c r="AC120" s="3">
        <f t="shared" si="44"/>
        <v>6.9979466119096507</v>
      </c>
      <c r="AD120" s="8"/>
      <c r="AE120" s="8">
        <v>46444</v>
      </c>
      <c r="AF120" s="86">
        <v>1.035579</v>
      </c>
      <c r="AG120" s="93">
        <v>-15.625</v>
      </c>
      <c r="AI120" s="3">
        <f t="shared" si="45"/>
        <v>6.0007821666014864</v>
      </c>
      <c r="AK120" s="8">
        <v>46080</v>
      </c>
      <c r="AL120" s="86">
        <v>1.039914</v>
      </c>
      <c r="AM120" s="93">
        <v>-46</v>
      </c>
      <c r="AO120" s="3">
        <f t="shared" si="46"/>
        <v>6.9979466119096507</v>
      </c>
      <c r="AQ120" s="56">
        <v>46444</v>
      </c>
      <c r="AR120" s="87">
        <v>0.95882199999999995</v>
      </c>
      <c r="AS120" s="92">
        <v>3.5</v>
      </c>
      <c r="AT120" s="46"/>
      <c r="AU120" s="3">
        <f t="shared" si="47"/>
        <v>3.9983579638752054</v>
      </c>
      <c r="AV120" s="56"/>
      <c r="AW120" s="56">
        <v>45349</v>
      </c>
      <c r="AX120" s="87">
        <v>0.95365900000000003</v>
      </c>
      <c r="AY120" s="92">
        <v>1.1911</v>
      </c>
      <c r="AZ120" s="58"/>
      <c r="BA120" s="3">
        <f t="shared" si="48"/>
        <v>1.2448700410396716</v>
      </c>
      <c r="BB120" s="56"/>
      <c r="BC120" s="56">
        <v>44343</v>
      </c>
      <c r="BD120" s="87">
        <v>1.004966</v>
      </c>
      <c r="BE120" s="92">
        <v>-0.41799999999999998</v>
      </c>
      <c r="BG120" s="3">
        <f t="shared" si="49"/>
        <v>2.0009124087591244</v>
      </c>
      <c r="BH120" s="56"/>
      <c r="BI120" s="56">
        <v>44617</v>
      </c>
      <c r="BJ120" s="87">
        <v>0.98718099999999998</v>
      </c>
      <c r="BK120" s="92">
        <v>0.64549999999999996</v>
      </c>
      <c r="BM120" s="3">
        <f t="shared" si="50"/>
        <v>3.0006844626967832</v>
      </c>
      <c r="BN120" s="56"/>
      <c r="BO120" s="56">
        <v>44984</v>
      </c>
      <c r="BP120" s="87">
        <v>1.0032890000000001</v>
      </c>
      <c r="BQ120" s="92">
        <v>-0.10935</v>
      </c>
      <c r="BR120" s="57"/>
      <c r="BT120" s="56"/>
      <c r="BU120" s="56"/>
      <c r="BV120" s="87"/>
      <c r="BW120" s="92"/>
      <c r="BX120" s="46"/>
      <c r="BZ120" s="87"/>
      <c r="CA120" s="92"/>
    </row>
    <row r="121" spans="29:80">
      <c r="AC121" s="3">
        <f t="shared" si="44"/>
        <v>8.0009124087591239</v>
      </c>
      <c r="AD121" s="8"/>
      <c r="AE121" s="8">
        <v>46811</v>
      </c>
      <c r="AF121" s="86">
        <v>1.037255</v>
      </c>
      <c r="AG121" s="93">
        <v>-15.75</v>
      </c>
      <c r="AI121" s="3">
        <f t="shared" si="45"/>
        <v>6.9979466119096507</v>
      </c>
      <c r="AK121" s="8">
        <v>46444</v>
      </c>
      <c r="AL121" s="86">
        <v>1.047655</v>
      </c>
      <c r="AM121" s="93">
        <v>-48.25</v>
      </c>
      <c r="AO121" s="3">
        <f t="shared" si="46"/>
        <v>8.0009124087591239</v>
      </c>
      <c r="AQ121" s="56">
        <v>46811</v>
      </c>
      <c r="AR121" s="87">
        <v>0.95184199999999997</v>
      </c>
      <c r="AS121" s="92">
        <v>4.125</v>
      </c>
      <c r="AT121" s="46"/>
      <c r="AU121" s="3">
        <f t="shared" si="47"/>
        <v>5.0009124087591239</v>
      </c>
      <c r="AV121" s="56"/>
      <c r="AW121" s="56">
        <v>45715</v>
      </c>
      <c r="AX121" s="87">
        <v>0.94219900000000001</v>
      </c>
      <c r="AY121" s="92">
        <v>1.1953</v>
      </c>
      <c r="AZ121" s="58"/>
      <c r="BA121" s="3">
        <f t="shared" si="48"/>
        <v>1.3324213406292749</v>
      </c>
      <c r="BB121" s="56"/>
      <c r="BC121" s="56">
        <v>44375</v>
      </c>
      <c r="BD121" s="87">
        <v>1.0053369999999999</v>
      </c>
      <c r="BE121" s="92">
        <v>-0.40200000000000002</v>
      </c>
      <c r="BG121" s="3">
        <f t="shared" si="49"/>
        <v>3.0061601642710474</v>
      </c>
      <c r="BH121" s="56"/>
      <c r="BI121" s="56">
        <v>44984</v>
      </c>
      <c r="BJ121" s="87">
        <v>0.981151</v>
      </c>
      <c r="BK121" s="92">
        <v>0.63380000000000003</v>
      </c>
      <c r="BM121" s="3">
        <f t="shared" si="50"/>
        <v>3.9983579638752054</v>
      </c>
      <c r="BN121" s="56"/>
      <c r="BO121" s="56">
        <v>45349</v>
      </c>
      <c r="BP121" s="87">
        <v>1.0049159999999999</v>
      </c>
      <c r="BQ121" s="92">
        <v>-0.12252</v>
      </c>
      <c r="BR121" s="57"/>
      <c r="BT121" s="56"/>
      <c r="BU121" s="56"/>
      <c r="BV121" s="87"/>
      <c r="BW121" s="92"/>
      <c r="BX121" s="46"/>
      <c r="BZ121" s="87"/>
      <c r="CA121" s="92"/>
    </row>
    <row r="122" spans="29:80">
      <c r="AC122" s="3">
        <f t="shared" si="44"/>
        <v>9.0008212428141245</v>
      </c>
      <c r="AD122" s="8"/>
      <c r="AE122" s="8">
        <v>47176</v>
      </c>
      <c r="AF122" s="86">
        <v>1.0377320000000001</v>
      </c>
      <c r="AG122" s="93">
        <v>-15.875</v>
      </c>
      <c r="AI122" s="3">
        <f t="shared" si="45"/>
        <v>8.0009124087591239</v>
      </c>
      <c r="AK122" s="8">
        <v>46811</v>
      </c>
      <c r="AL122" s="86">
        <v>1.0542450000000001</v>
      </c>
      <c r="AM122" s="93">
        <v>-49.5</v>
      </c>
      <c r="AO122" s="3">
        <f t="shared" si="46"/>
        <v>9.0008212428141245</v>
      </c>
      <c r="AQ122" s="56">
        <v>47176</v>
      </c>
      <c r="AR122" s="87">
        <v>0.94444499999999998</v>
      </c>
      <c r="AS122" s="92">
        <v>4.75</v>
      </c>
      <c r="AT122" s="46"/>
      <c r="AU122" s="3">
        <f t="shared" si="47"/>
        <v>6.0007821666014864</v>
      </c>
      <c r="AV122" s="56"/>
      <c r="AW122" s="56">
        <v>46080</v>
      </c>
      <c r="AX122" s="87">
        <v>0.93018400000000001</v>
      </c>
      <c r="AY122" s="92">
        <v>1.2101999999999999</v>
      </c>
      <c r="AZ122" s="58"/>
      <c r="BA122" s="3">
        <f t="shared" si="48"/>
        <v>1.411764705882353</v>
      </c>
      <c r="BB122" s="56"/>
      <c r="BC122" s="56">
        <v>44404</v>
      </c>
      <c r="BD122" s="87">
        <v>1.0056750000000001</v>
      </c>
      <c r="BE122" s="92">
        <v>-0.40100000000000002</v>
      </c>
      <c r="BG122" s="3">
        <f t="shared" si="49"/>
        <v>4.0010946907498637</v>
      </c>
      <c r="BH122" s="56"/>
      <c r="BI122" s="56">
        <v>45348</v>
      </c>
      <c r="BJ122" s="87">
        <v>0.97503700000000004</v>
      </c>
      <c r="BK122" s="92">
        <v>0.63229999999999997</v>
      </c>
      <c r="BM122" s="3">
        <f t="shared" si="50"/>
        <v>5.0009124087591239</v>
      </c>
      <c r="BN122" s="56"/>
      <c r="BO122" s="56">
        <v>45715</v>
      </c>
      <c r="BP122" s="87">
        <v>1.00613</v>
      </c>
      <c r="BQ122" s="92">
        <v>-0.1221</v>
      </c>
      <c r="BR122" s="57"/>
      <c r="BT122" s="56"/>
      <c r="BU122" s="56"/>
      <c r="BV122" s="87"/>
      <c r="BW122" s="92"/>
      <c r="BX122" s="46"/>
      <c r="BZ122" s="87"/>
      <c r="CA122" s="92"/>
    </row>
    <row r="123" spans="29:80">
      <c r="AC123" s="3">
        <f t="shared" si="44"/>
        <v>10.000746640119463</v>
      </c>
      <c r="AD123" s="8"/>
      <c r="AE123" s="8">
        <v>47541</v>
      </c>
      <c r="AF123" s="86">
        <v>1.036986</v>
      </c>
      <c r="AG123" s="93">
        <v>-16</v>
      </c>
      <c r="AI123" s="3">
        <f t="shared" si="45"/>
        <v>9.0008212428141245</v>
      </c>
      <c r="AK123" s="8">
        <v>47176</v>
      </c>
      <c r="AL123" s="86">
        <v>1.0611649999999999</v>
      </c>
      <c r="AM123" s="93">
        <v>-50.875</v>
      </c>
      <c r="AO123" s="3">
        <f t="shared" si="46"/>
        <v>10.000746640119463</v>
      </c>
      <c r="AQ123" s="56">
        <v>47541</v>
      </c>
      <c r="AR123" s="87">
        <v>0.93676300000000001</v>
      </c>
      <c r="AS123" s="92">
        <v>5.25</v>
      </c>
      <c r="AT123" s="46"/>
      <c r="AU123" s="3">
        <f t="shared" si="47"/>
        <v>6.9979466119096507</v>
      </c>
      <c r="AV123" s="56"/>
      <c r="AW123" s="56">
        <v>46444</v>
      </c>
      <c r="AX123" s="87">
        <v>0.91778899999999997</v>
      </c>
      <c r="AY123" s="92">
        <v>1.2293499999999999</v>
      </c>
      <c r="AZ123" s="58"/>
      <c r="BA123" s="3">
        <f t="shared" si="48"/>
        <v>1.4965800273597811</v>
      </c>
      <c r="BB123" s="56"/>
      <c r="BC123" s="56">
        <v>44435</v>
      </c>
      <c r="BD123" s="87">
        <v>1.0060370000000001</v>
      </c>
      <c r="BE123" s="92">
        <v>-0.41499999999999998</v>
      </c>
      <c r="BG123" s="3">
        <f t="shared" si="49"/>
        <v>5.0009124087591239</v>
      </c>
      <c r="BH123" s="56"/>
      <c r="BI123" s="56">
        <v>45713</v>
      </c>
      <c r="BJ123" s="87">
        <v>0.96881799999999996</v>
      </c>
      <c r="BK123" s="92">
        <v>0.63400000000000001</v>
      </c>
      <c r="BM123" s="3">
        <f t="shared" si="50"/>
        <v>6.0007821666014864</v>
      </c>
      <c r="BN123" s="56"/>
      <c r="BO123" s="56">
        <v>46080</v>
      </c>
      <c r="BP123" s="87">
        <v>1.0068859999999999</v>
      </c>
      <c r="BQ123" s="92">
        <v>-0.11425</v>
      </c>
      <c r="BR123" s="57"/>
      <c r="BT123" s="56"/>
      <c r="BU123" s="56"/>
      <c r="BV123" s="87"/>
      <c r="BW123" s="92"/>
      <c r="BX123" s="46"/>
      <c r="BZ123" s="87"/>
      <c r="CA123" s="92"/>
    </row>
    <row r="124" spans="29:80">
      <c r="AC124" s="3">
        <f t="shared" si="44"/>
        <v>11.998104864181933</v>
      </c>
      <c r="AD124" s="8"/>
      <c r="AE124" s="8">
        <v>48271</v>
      </c>
      <c r="AF124" s="86">
        <v>1.0327660000000001</v>
      </c>
      <c r="AG124" s="93">
        <v>-15.875</v>
      </c>
      <c r="AI124" s="3">
        <f t="shared" si="45"/>
        <v>10.000746640119463</v>
      </c>
      <c r="AK124" s="8">
        <v>47541</v>
      </c>
      <c r="AL124" s="86">
        <v>1.0673649999999999</v>
      </c>
      <c r="AM124" s="93">
        <v>-51.875</v>
      </c>
      <c r="AO124" s="3">
        <f t="shared" si="46"/>
        <v>11.998104864181933</v>
      </c>
      <c r="AQ124" s="56">
        <v>48271</v>
      </c>
      <c r="AR124" s="86">
        <v>0.92121600000000003</v>
      </c>
      <c r="AS124" s="93">
        <v>5.75</v>
      </c>
      <c r="AU124" s="3">
        <f t="shared" si="47"/>
        <v>8.0009124087591239</v>
      </c>
      <c r="AV124" s="8"/>
      <c r="AW124" s="8">
        <v>46811</v>
      </c>
      <c r="AX124" s="86">
        <v>0.90480400000000005</v>
      </c>
      <c r="AY124" s="93">
        <v>1.2524999999999999</v>
      </c>
      <c r="AZ124" s="27"/>
      <c r="BA124" s="3">
        <f t="shared" si="48"/>
        <v>2.0036496350364965</v>
      </c>
      <c r="BB124" s="8"/>
      <c r="BC124" s="8">
        <v>44620</v>
      </c>
      <c r="BD124" s="86">
        <v>1.008132</v>
      </c>
      <c r="BE124" s="93">
        <v>-0.40250000000000002</v>
      </c>
      <c r="BG124" s="3">
        <f t="shared" si="49"/>
        <v>6.0007821666014864</v>
      </c>
      <c r="BH124" s="8"/>
      <c r="BI124" s="8">
        <v>46078</v>
      </c>
      <c r="BJ124" s="86">
        <v>0.96246500000000001</v>
      </c>
      <c r="BK124" s="93">
        <v>0.6381</v>
      </c>
      <c r="BM124" s="3">
        <f t="shared" si="50"/>
        <v>6.9979466119096507</v>
      </c>
      <c r="BN124" s="8"/>
      <c r="BO124" s="8">
        <v>46444</v>
      </c>
      <c r="BP124" s="86">
        <v>1.007271</v>
      </c>
      <c r="BQ124" s="93">
        <v>-0.10340000000000001</v>
      </c>
      <c r="BR124" s="57"/>
      <c r="BT124" s="8"/>
      <c r="BU124" s="8"/>
      <c r="BV124" s="86"/>
      <c r="BW124" s="93"/>
      <c r="BX124" s="46"/>
      <c r="BZ124" s="86"/>
      <c r="CA124" s="93"/>
    </row>
    <row r="125" spans="29:80">
      <c r="AC125" s="3">
        <f t="shared" si="44"/>
        <v>15.000684462696784</v>
      </c>
      <c r="AD125" s="8"/>
      <c r="AE125" s="8">
        <v>49367</v>
      </c>
      <c r="AF125" s="86">
        <v>1.019722</v>
      </c>
      <c r="AG125" s="93">
        <v>-14.625</v>
      </c>
      <c r="AI125" s="3">
        <f t="shared" si="45"/>
        <v>11.998104864181933</v>
      </c>
      <c r="AK125" s="8">
        <v>48271</v>
      </c>
      <c r="AL125" s="86">
        <v>1.077005</v>
      </c>
      <c r="AM125" s="93">
        <v>-52.625</v>
      </c>
      <c r="AO125" s="3">
        <f t="shared" si="46"/>
        <v>15.000684462696784</v>
      </c>
      <c r="AQ125" s="56">
        <v>49367</v>
      </c>
      <c r="AR125" s="86">
        <v>0.89872399999999997</v>
      </c>
      <c r="AS125" s="93">
        <v>5.5</v>
      </c>
      <c r="AU125" s="3">
        <f t="shared" si="47"/>
        <v>9.0008212428141245</v>
      </c>
      <c r="AV125" s="8"/>
      <c r="AW125" s="8">
        <v>47176</v>
      </c>
      <c r="AX125" s="86">
        <v>0.89151199999999997</v>
      </c>
      <c r="AY125" s="93">
        <v>1.2774000000000001</v>
      </c>
      <c r="AZ125" s="27"/>
      <c r="BA125" s="3">
        <f t="shared" si="48"/>
        <v>3.0006844626967832</v>
      </c>
      <c r="BB125" s="8"/>
      <c r="BC125" s="8">
        <v>44984</v>
      </c>
      <c r="BD125" s="86">
        <v>1.0118229999999999</v>
      </c>
      <c r="BE125" s="93">
        <v>-0.39100000000000001</v>
      </c>
      <c r="BG125" s="3">
        <f t="shared" si="49"/>
        <v>7.0006844626967828</v>
      </c>
      <c r="BH125" s="8"/>
      <c r="BI125" s="8">
        <v>46443</v>
      </c>
      <c r="BJ125" s="86">
        <v>0.95584899999999995</v>
      </c>
      <c r="BK125" s="93">
        <v>0.64549999999999996</v>
      </c>
      <c r="BM125" s="3">
        <f t="shared" si="50"/>
        <v>8.0009124087591239</v>
      </c>
      <c r="BN125" s="8"/>
      <c r="BO125" s="8">
        <v>46811</v>
      </c>
      <c r="BP125" s="86">
        <v>1.0067999999999999</v>
      </c>
      <c r="BQ125" s="93">
        <v>-8.4529999999999994E-2</v>
      </c>
      <c r="BR125" s="57"/>
      <c r="BT125" s="8"/>
      <c r="BU125" s="8"/>
      <c r="BV125" s="86"/>
      <c r="BW125" s="93"/>
      <c r="BX125" s="46"/>
      <c r="BZ125" s="86"/>
      <c r="CA125" s="93"/>
    </row>
    <row r="126" spans="29:80">
      <c r="AC126" s="3">
        <f t="shared" si="44"/>
        <v>19.998044583496284</v>
      </c>
      <c r="AD126" s="8"/>
      <c r="AE126" s="8">
        <v>51193</v>
      </c>
      <c r="AF126" s="86">
        <v>0.99216199999999999</v>
      </c>
      <c r="AG126" s="93">
        <v>-10.5</v>
      </c>
      <c r="AI126" s="3">
        <f t="shared" si="45"/>
        <v>15.000684462696784</v>
      </c>
      <c r="AK126" s="8">
        <v>49367</v>
      </c>
      <c r="AL126" s="86">
        <v>1.0894140000000001</v>
      </c>
      <c r="AM126" s="93">
        <v>-54</v>
      </c>
      <c r="AO126" s="3">
        <f t="shared" si="46"/>
        <v>19.998044583496284</v>
      </c>
      <c r="AQ126" s="8">
        <v>51193</v>
      </c>
      <c r="AR126" s="86">
        <v>0.86629</v>
      </c>
      <c r="AS126" s="93">
        <v>4.125</v>
      </c>
      <c r="AU126" s="3">
        <f t="shared" si="47"/>
        <v>10.000746640119463</v>
      </c>
      <c r="AV126" s="8"/>
      <c r="AW126" s="8">
        <v>47541</v>
      </c>
      <c r="AX126" s="86">
        <v>0.87798399999999999</v>
      </c>
      <c r="AY126" s="93">
        <v>1.3016000000000001</v>
      </c>
      <c r="AZ126" s="27"/>
      <c r="BA126" s="3">
        <f t="shared" si="48"/>
        <v>3.9983579638752054</v>
      </c>
      <c r="BB126" s="8"/>
      <c r="BC126" s="8">
        <v>45349</v>
      </c>
      <c r="BD126" s="86">
        <v>1.014907</v>
      </c>
      <c r="BE126" s="93">
        <v>-0.36909999999999998</v>
      </c>
      <c r="BG126" s="3">
        <f t="shared" si="49"/>
        <v>7.9981751824817522</v>
      </c>
      <c r="BH126" s="8"/>
      <c r="BI126" s="8">
        <v>46808</v>
      </c>
      <c r="BJ126" s="86">
        <v>0.94889400000000002</v>
      </c>
      <c r="BK126" s="93">
        <v>0.65600000000000003</v>
      </c>
      <c r="BM126" s="3">
        <f t="shared" si="50"/>
        <v>9.0008212428141245</v>
      </c>
      <c r="BN126" s="8"/>
      <c r="BO126" s="8">
        <v>47176</v>
      </c>
      <c r="BP126" s="86">
        <v>1.006227</v>
      </c>
      <c r="BQ126" s="93">
        <v>-6.88E-2</v>
      </c>
      <c r="BR126" s="6"/>
      <c r="BT126" s="8"/>
      <c r="BU126" s="8"/>
      <c r="BV126" s="86"/>
      <c r="BW126" s="93"/>
      <c r="BZ126" s="86"/>
      <c r="CA126" s="93"/>
    </row>
    <row r="127" spans="29:80">
      <c r="AC127" s="3">
        <f t="shared" si="44"/>
        <v>30.003444316877154</v>
      </c>
      <c r="AD127" s="8"/>
      <c r="AE127" s="8">
        <v>54847</v>
      </c>
      <c r="AF127" s="86">
        <v>0.95333100000000004</v>
      </c>
      <c r="AG127" s="93">
        <v>-1.75</v>
      </c>
      <c r="AI127" s="3">
        <f t="shared" si="45"/>
        <v>19.998044583496284</v>
      </c>
      <c r="AK127" s="8">
        <v>51193</v>
      </c>
      <c r="AL127" s="86">
        <v>1.106217</v>
      </c>
      <c r="AM127" s="93">
        <v>-54.5</v>
      </c>
      <c r="AO127" s="3">
        <f t="shared" si="46"/>
        <v>30.003444316877154</v>
      </c>
      <c r="AQ127" s="8">
        <v>54847</v>
      </c>
      <c r="AR127" s="86">
        <v>0.80491199999999996</v>
      </c>
      <c r="AS127" s="93">
        <v>6.375</v>
      </c>
      <c r="AU127" s="3">
        <f t="shared" si="47"/>
        <v>11.000684462696784</v>
      </c>
      <c r="AV127" s="8"/>
      <c r="AW127" s="8">
        <v>47906</v>
      </c>
      <c r="AX127" s="86">
        <v>0.86438300000000001</v>
      </c>
      <c r="AY127" s="93">
        <v>1.32412</v>
      </c>
      <c r="AZ127" s="27"/>
      <c r="BA127" s="3">
        <f t="shared" si="48"/>
        <v>5.0009124087591239</v>
      </c>
      <c r="BB127" s="8"/>
      <c r="BC127" s="8">
        <v>45715</v>
      </c>
      <c r="BD127" s="86">
        <v>1.0172909999999999</v>
      </c>
      <c r="BE127" s="93">
        <v>-0.34198000000000001</v>
      </c>
      <c r="BG127" s="3">
        <f t="shared" si="49"/>
        <v>9.0035587188612105</v>
      </c>
      <c r="BH127" s="8"/>
      <c r="BI127" s="8">
        <v>47175</v>
      </c>
      <c r="BJ127" s="86">
        <v>0.94157000000000002</v>
      </c>
      <c r="BK127" s="93">
        <v>0.66859999999999997</v>
      </c>
      <c r="BM127" s="3">
        <f t="shared" si="50"/>
        <v>10.000746640119463</v>
      </c>
      <c r="BN127" s="8"/>
      <c r="BO127" s="8">
        <v>47541</v>
      </c>
      <c r="BP127" s="86">
        <v>1.004993</v>
      </c>
      <c r="BQ127" s="93">
        <v>-4.965E-2</v>
      </c>
      <c r="BR127" s="6"/>
      <c r="BT127" s="8"/>
      <c r="BU127" s="8"/>
      <c r="BV127" s="86"/>
      <c r="BW127" s="93"/>
      <c r="BZ127" s="86"/>
      <c r="CA127" s="93"/>
    </row>
    <row r="128" spans="29:80">
      <c r="AI128" s="3">
        <f t="shared" si="45"/>
        <v>30.003444316877154</v>
      </c>
      <c r="AK128" s="8">
        <v>54847</v>
      </c>
      <c r="AL128" s="86">
        <v>1.1376120000000001</v>
      </c>
      <c r="AM128" s="93">
        <v>-53.25</v>
      </c>
      <c r="AQ128" s="8"/>
      <c r="AU128" s="3">
        <f t="shared" si="47"/>
        <v>11.998104864181933</v>
      </c>
      <c r="AV128" s="8"/>
      <c r="AW128" s="8">
        <v>48271</v>
      </c>
      <c r="AX128" s="86">
        <v>0.85078399999999998</v>
      </c>
      <c r="AY128" s="93">
        <v>1.34473</v>
      </c>
      <c r="AZ128" s="27"/>
      <c r="BA128" s="3">
        <f t="shared" si="48"/>
        <v>6.0007821666014864</v>
      </c>
      <c r="BB128" s="8"/>
      <c r="BC128" s="8">
        <v>46080</v>
      </c>
      <c r="BD128" s="86">
        <v>1.0188459999999999</v>
      </c>
      <c r="BE128" s="93">
        <v>-0.31023000000000001</v>
      </c>
      <c r="BG128" s="3">
        <f t="shared" si="49"/>
        <v>10.000746640119463</v>
      </c>
      <c r="BH128" s="8"/>
      <c r="BI128" s="8">
        <v>47539</v>
      </c>
      <c r="BJ128" s="86">
        <v>0.93398499999999995</v>
      </c>
      <c r="BK128" s="93">
        <v>0.6825</v>
      </c>
      <c r="BM128" s="3">
        <f t="shared" si="50"/>
        <v>11.998104864181933</v>
      </c>
      <c r="BN128" s="8"/>
      <c r="BO128" s="8">
        <v>48271</v>
      </c>
      <c r="BP128" s="86">
        <v>1.0015320000000001</v>
      </c>
      <c r="BQ128" s="93">
        <v>-1.2699999999999999E-2</v>
      </c>
      <c r="BR128" s="6"/>
      <c r="BT128" s="8"/>
      <c r="BU128" s="8"/>
      <c r="BV128" s="86"/>
      <c r="BW128" s="93"/>
    </row>
    <row r="129" spans="38:77">
      <c r="AL129" s="86"/>
      <c r="AP129" s="8"/>
      <c r="AU129" s="3">
        <f t="shared" si="47"/>
        <v>15.000684462696784</v>
      </c>
      <c r="AW129" s="8">
        <v>49367</v>
      </c>
      <c r="AX129" s="86">
        <v>0.81083000000000005</v>
      </c>
      <c r="AY129" s="93">
        <v>1.39316</v>
      </c>
      <c r="BA129" s="3">
        <f t="shared" si="48"/>
        <v>6.9979466119096507</v>
      </c>
      <c r="BC129" s="8">
        <v>46444</v>
      </c>
      <c r="BD129" s="86">
        <v>1.019374</v>
      </c>
      <c r="BE129" s="93">
        <v>-0.2732</v>
      </c>
      <c r="BG129" s="3">
        <f t="shared" si="49"/>
        <v>11.998104864181933</v>
      </c>
      <c r="BI129" s="8">
        <v>48269</v>
      </c>
      <c r="BJ129" s="86">
        <v>0.91827099999999995</v>
      </c>
      <c r="BK129" s="93">
        <v>0.70940000000000003</v>
      </c>
      <c r="BM129" s="3">
        <f t="shared" si="50"/>
        <v>15.000684462696784</v>
      </c>
      <c r="BO129" s="8">
        <v>49367</v>
      </c>
      <c r="BP129" s="86">
        <v>0.99360899999999996</v>
      </c>
      <c r="BQ129" s="93">
        <v>4.2450000000000002E-2</v>
      </c>
      <c r="BR129" s="6"/>
      <c r="BU129" s="8"/>
      <c r="BV129" s="86"/>
      <c r="BW129" s="93"/>
    </row>
    <row r="130" spans="38:77">
      <c r="AP130" s="8"/>
      <c r="AU130" s="3">
        <f t="shared" si="47"/>
        <v>19.998044583496284</v>
      </c>
      <c r="AW130" s="8">
        <v>51193</v>
      </c>
      <c r="AX130" s="86">
        <v>0.74790900000000005</v>
      </c>
      <c r="AY130" s="93">
        <v>1.44407</v>
      </c>
      <c r="BA130" s="3">
        <f t="shared" si="48"/>
        <v>8.0009124087591239</v>
      </c>
      <c r="BC130" s="8">
        <v>46811</v>
      </c>
      <c r="BD130" s="86">
        <v>1.018715</v>
      </c>
      <c r="BE130" s="93">
        <v>-0.2306</v>
      </c>
      <c r="BG130" s="3">
        <f t="shared" si="49"/>
        <v>15.003422313483915</v>
      </c>
      <c r="BI130" s="8">
        <v>49366</v>
      </c>
      <c r="BJ130" s="86">
        <v>0.89449000000000001</v>
      </c>
      <c r="BK130" s="93">
        <v>0.74099999999999999</v>
      </c>
      <c r="BM130" s="3">
        <f t="shared" si="50"/>
        <v>19.998044583496284</v>
      </c>
      <c r="BO130" s="8">
        <v>51193</v>
      </c>
      <c r="BP130" s="86">
        <v>0.97478299999999996</v>
      </c>
      <c r="BQ130" s="93">
        <v>0.12623999999999999</v>
      </c>
      <c r="BR130" s="6"/>
      <c r="BU130" s="8"/>
      <c r="BV130" s="86"/>
      <c r="BW130" s="93"/>
    </row>
    <row r="131" spans="38:77">
      <c r="AP131" s="8"/>
      <c r="AU131" s="3">
        <f t="shared" si="47"/>
        <v>25.000737074865746</v>
      </c>
      <c r="AW131" s="8">
        <v>53020</v>
      </c>
      <c r="AX131" s="86">
        <v>0.69296899999999995</v>
      </c>
      <c r="AY131" s="93">
        <v>1.4591000000000001</v>
      </c>
      <c r="BA131" s="3">
        <f t="shared" si="48"/>
        <v>9.0008212428141245</v>
      </c>
      <c r="BC131" s="8">
        <v>47176</v>
      </c>
      <c r="BD131" s="86">
        <v>1.01692</v>
      </c>
      <c r="BE131" s="93">
        <v>-0.18532999999999999</v>
      </c>
      <c r="BG131" s="3">
        <f t="shared" si="49"/>
        <v>20.003519749706687</v>
      </c>
      <c r="BI131" s="8">
        <v>51193</v>
      </c>
      <c r="BJ131" s="86">
        <v>0.85803200000000002</v>
      </c>
      <c r="BK131" s="93">
        <v>0.76270000000000004</v>
      </c>
      <c r="BM131" s="3">
        <f t="shared" si="50"/>
        <v>25.000737074865746</v>
      </c>
      <c r="BO131" s="8">
        <v>53020</v>
      </c>
      <c r="BP131" s="86">
        <v>0.96075600000000005</v>
      </c>
      <c r="BQ131" s="93">
        <v>0.15815000000000001</v>
      </c>
      <c r="BR131" s="6"/>
      <c r="BU131" s="8"/>
      <c r="BV131" s="86"/>
      <c r="BW131" s="93"/>
    </row>
    <row r="132" spans="38:77">
      <c r="AP132" s="8"/>
      <c r="AU132" s="3">
        <f t="shared" si="47"/>
        <v>30.003444316877154</v>
      </c>
      <c r="AW132" s="8">
        <v>54847</v>
      </c>
      <c r="AX132" s="86">
        <v>0.64446099999999995</v>
      </c>
      <c r="AY132" s="93">
        <v>1.45875</v>
      </c>
      <c r="BA132" s="3">
        <f t="shared" si="48"/>
        <v>10.000746640119463</v>
      </c>
      <c r="BC132" s="8">
        <v>47541</v>
      </c>
      <c r="BD132" s="86">
        <v>1.0140800000000001</v>
      </c>
      <c r="BE132" s="93">
        <v>-0.13880000000000001</v>
      </c>
      <c r="BG132" s="3">
        <f t="shared" si="49"/>
        <v>25.006212488154155</v>
      </c>
      <c r="BI132" s="8">
        <v>53020</v>
      </c>
      <c r="BJ132" s="86">
        <v>0.82645500000000005</v>
      </c>
      <c r="BK132" s="93">
        <v>0.76049999999999995</v>
      </c>
      <c r="BM132" s="3">
        <f t="shared" si="50"/>
        <v>30.003444316877154</v>
      </c>
      <c r="BO132" s="8">
        <v>54847</v>
      </c>
      <c r="BP132" s="86">
        <v>0.94500300000000004</v>
      </c>
      <c r="BQ132" s="93">
        <v>0.18590000000000001</v>
      </c>
      <c r="BR132" s="6"/>
      <c r="BU132" s="8"/>
      <c r="BV132" s="86"/>
      <c r="BW132" s="93"/>
    </row>
    <row r="133" spans="38:77">
      <c r="AP133" s="8"/>
      <c r="AU133" s="3">
        <f t="shared" si="47"/>
        <v>39.997996794871796</v>
      </c>
      <c r="AW133" s="8">
        <v>58498</v>
      </c>
      <c r="AX133" s="86">
        <v>0.57229699999999994</v>
      </c>
      <c r="AY133" s="93">
        <v>1.4064000000000001</v>
      </c>
      <c r="BA133" s="3">
        <f t="shared" si="48"/>
        <v>11.000684462696784</v>
      </c>
      <c r="BC133" s="8">
        <v>47906</v>
      </c>
      <c r="BD133" s="86">
        <v>1.0104660000000001</v>
      </c>
      <c r="BE133" s="93">
        <v>-9.3829999999999997E-2</v>
      </c>
      <c r="BG133" s="3">
        <f t="shared" si="49"/>
        <v>30.000706526538902</v>
      </c>
      <c r="BI133" s="8">
        <v>54844</v>
      </c>
      <c r="BJ133" s="86">
        <v>0.79899100000000001</v>
      </c>
      <c r="BK133" s="93">
        <v>0.748</v>
      </c>
      <c r="BM133" s="3">
        <f t="shared" si="50"/>
        <v>34.997946611909654</v>
      </c>
      <c r="BO133" s="8">
        <v>56671</v>
      </c>
      <c r="BP133" s="86">
        <v>0.92338299999999995</v>
      </c>
      <c r="BQ133" s="93">
        <v>0.22375</v>
      </c>
      <c r="BR133" s="6"/>
      <c r="BU133" s="8"/>
      <c r="BV133" s="86"/>
      <c r="BW133" s="93"/>
    </row>
    <row r="134" spans="38:77">
      <c r="AN134" s="8"/>
      <c r="AU134" s="3">
        <f t="shared" si="47"/>
        <v>50.000697874167919</v>
      </c>
      <c r="AV134" s="86"/>
      <c r="AW134" s="86">
        <v>62151</v>
      </c>
      <c r="AX134" s="86">
        <v>0.52341599999999999</v>
      </c>
      <c r="AY134" s="93">
        <v>1.3287800000000001</v>
      </c>
      <c r="BA134" s="3">
        <f t="shared" si="48"/>
        <v>11.998104864181933</v>
      </c>
      <c r="BB134" s="86"/>
      <c r="BC134" s="86">
        <v>48271</v>
      </c>
      <c r="BD134" s="86">
        <v>1.0060739999999999</v>
      </c>
      <c r="BE134" s="93">
        <v>-4.9950000000000001E-2</v>
      </c>
      <c r="BG134" s="3">
        <f t="shared" si="49"/>
        <v>35.000684462696782</v>
      </c>
      <c r="BH134" s="86"/>
      <c r="BI134" s="86">
        <v>56670</v>
      </c>
      <c r="BJ134" s="86">
        <v>0.77519899999999997</v>
      </c>
      <c r="BK134" s="93">
        <v>0.7298</v>
      </c>
      <c r="BM134" s="3">
        <f t="shared" si="50"/>
        <v>39.997996794871796</v>
      </c>
      <c r="BN134" s="86"/>
      <c r="BO134" s="86">
        <v>58498</v>
      </c>
      <c r="BP134" s="86">
        <v>0.92596599999999996</v>
      </c>
      <c r="BQ134" s="93">
        <v>0.1905</v>
      </c>
      <c r="BS134" s="8"/>
      <c r="BT134" s="86"/>
      <c r="BU134" s="93"/>
      <c r="BY134" s="8"/>
    </row>
    <row r="135" spans="38:77">
      <c r="AN135" s="8"/>
      <c r="AR135" s="8"/>
      <c r="AW135" s="27"/>
      <c r="BA135" s="3">
        <f t="shared" si="48"/>
        <v>15.000684462696784</v>
      </c>
      <c r="BB135" s="86"/>
      <c r="BC135" s="86">
        <v>49367</v>
      </c>
      <c r="BD135" s="86">
        <v>0.99000299999999997</v>
      </c>
      <c r="BE135" s="93">
        <v>6.6000000000000003E-2</v>
      </c>
      <c r="BG135" s="3">
        <f t="shared" si="49"/>
        <v>39.997996794871796</v>
      </c>
      <c r="BH135" s="86"/>
      <c r="BI135" s="86">
        <v>58496</v>
      </c>
      <c r="BJ135" s="86">
        <v>0.754691</v>
      </c>
      <c r="BK135" s="93">
        <v>0.70850000000000002</v>
      </c>
      <c r="BM135" s="8"/>
      <c r="BN135" s="86"/>
      <c r="BO135" s="93"/>
      <c r="BP135" s="6"/>
      <c r="BS135" s="8"/>
      <c r="BT135" s="86"/>
      <c r="BU135" s="93"/>
      <c r="BY135" s="8"/>
    </row>
    <row r="136" spans="38:77">
      <c r="AN136" s="8"/>
      <c r="AR136" s="8"/>
      <c r="AW136" s="27"/>
      <c r="BA136" s="3">
        <f t="shared" si="48"/>
        <v>19.998044583496284</v>
      </c>
      <c r="BB136" s="86"/>
      <c r="BC136" s="86">
        <v>51193</v>
      </c>
      <c r="BD136" s="86">
        <v>0.96379099999999995</v>
      </c>
      <c r="BE136" s="93">
        <v>0.18090000000000001</v>
      </c>
      <c r="BG136" s="8"/>
      <c r="BH136" s="86"/>
      <c r="BI136" s="93">
        <v>62149</v>
      </c>
      <c r="BJ136" s="86">
        <v>0.718503</v>
      </c>
      <c r="BK136" s="93">
        <v>0.67049999999999998</v>
      </c>
      <c r="BL136" s="27"/>
      <c r="BM136" s="6"/>
      <c r="BO136" s="6"/>
      <c r="BP136" s="6"/>
    </row>
    <row r="137" spans="38:77">
      <c r="AN137" s="8"/>
      <c r="AR137" s="8"/>
      <c r="AW137" s="27"/>
      <c r="BA137" s="3">
        <f t="shared" si="48"/>
        <v>25.000737074865746</v>
      </c>
      <c r="BB137" s="86"/>
      <c r="BC137" s="86">
        <v>53020</v>
      </c>
      <c r="BD137" s="86">
        <v>0.94767299999999999</v>
      </c>
      <c r="BE137" s="93">
        <v>0.21115</v>
      </c>
      <c r="BG137" s="8"/>
      <c r="BH137" s="86"/>
      <c r="BI137" s="93"/>
      <c r="BL137" s="27"/>
      <c r="BM137" s="6"/>
      <c r="BO137" s="6"/>
      <c r="BP137" s="6"/>
    </row>
    <row r="138" spans="38:77">
      <c r="AN138" s="8"/>
      <c r="AR138" s="8"/>
      <c r="AW138" s="27"/>
      <c r="BA138" s="3">
        <f t="shared" si="48"/>
        <v>30.003444316877154</v>
      </c>
      <c r="BB138" s="86"/>
      <c r="BC138" s="86">
        <v>54847</v>
      </c>
      <c r="BD138" s="86">
        <v>0.94128299999999998</v>
      </c>
      <c r="BE138" s="93">
        <v>0.19900000000000001</v>
      </c>
      <c r="BG138" s="8"/>
      <c r="BH138" s="86"/>
      <c r="BI138" s="93"/>
      <c r="BL138" s="27"/>
      <c r="BM138" s="6"/>
      <c r="BO138" s="6"/>
      <c r="BP138" s="6"/>
    </row>
    <row r="139" spans="38:77">
      <c r="AN139" s="8"/>
      <c r="AR139" s="8"/>
      <c r="AW139" s="27"/>
      <c r="BA139" s="3">
        <f t="shared" si="48"/>
        <v>34.997946611909654</v>
      </c>
      <c r="BB139" s="86"/>
      <c r="BC139" s="86">
        <v>56671</v>
      </c>
      <c r="BD139" s="86">
        <v>0.94057199999999996</v>
      </c>
      <c r="BE139" s="93">
        <v>0.17377999999999999</v>
      </c>
      <c r="BG139" s="8"/>
      <c r="BH139" s="86"/>
      <c r="BI139" s="93"/>
      <c r="BL139" s="27"/>
      <c r="BM139" s="6"/>
      <c r="BO139" s="6"/>
      <c r="BP139" s="6"/>
    </row>
    <row r="140" spans="38:77">
      <c r="AN140" s="8"/>
      <c r="AR140" s="8"/>
      <c r="AW140" s="27"/>
      <c r="BA140" s="3">
        <f t="shared" si="48"/>
        <v>39.997996794871796</v>
      </c>
      <c r="BB140" s="86"/>
      <c r="BC140" s="86">
        <v>58498</v>
      </c>
      <c r="BD140" s="86">
        <v>0.94551799999999997</v>
      </c>
      <c r="BE140" s="93">
        <v>0.14000000000000001</v>
      </c>
      <c r="BG140" s="8"/>
      <c r="BH140" s="86"/>
      <c r="BI140" s="93"/>
      <c r="BL140" s="27"/>
      <c r="BM140" s="6"/>
      <c r="BO140" s="6"/>
      <c r="BP140" s="6"/>
    </row>
    <row r="141" spans="38:77">
      <c r="AN141" s="8"/>
      <c r="AR141" s="8"/>
      <c r="AW141" s="27"/>
      <c r="BA141" s="3">
        <f t="shared" si="48"/>
        <v>45.000714200690396</v>
      </c>
      <c r="BB141" s="86"/>
      <c r="BC141" s="86">
        <v>60325</v>
      </c>
      <c r="BD141" s="86">
        <v>0.95589000000000002</v>
      </c>
      <c r="BE141" s="93">
        <v>0.10100000000000001</v>
      </c>
      <c r="BG141" s="8"/>
      <c r="BH141" s="86"/>
      <c r="BI141" s="93"/>
      <c r="BL141" s="27"/>
      <c r="BM141" s="6"/>
      <c r="BO141" s="6"/>
      <c r="BP141" s="6"/>
    </row>
    <row r="142" spans="38:77">
      <c r="AN142" s="8"/>
      <c r="AR142" s="8"/>
      <c r="AV142" s="27"/>
      <c r="AZ142" s="8"/>
      <c r="BA142" s="3">
        <f t="shared" si="48"/>
        <v>50.000697874167919</v>
      </c>
      <c r="BB142" s="86"/>
      <c r="BC142" s="86">
        <v>62151</v>
      </c>
      <c r="BD142" s="86">
        <v>0.96736800000000001</v>
      </c>
      <c r="BE142" s="93">
        <v>6.7299999999999999E-2</v>
      </c>
      <c r="BF142" s="8"/>
      <c r="BG142" s="86"/>
      <c r="BH142" s="93"/>
      <c r="BK142" s="27"/>
      <c r="BL142" s="6"/>
      <c r="BN142" s="6"/>
      <c r="BO142" s="6"/>
    </row>
    <row r="143" spans="38:77">
      <c r="AN143" s="8"/>
      <c r="AR143" s="8"/>
      <c r="AV143" s="27"/>
      <c r="BK143" s="27"/>
      <c r="BL143" s="6"/>
      <c r="BN143" s="6"/>
      <c r="BO143" s="6"/>
    </row>
    <row r="144" spans="38:77">
      <c r="AN144" s="8"/>
      <c r="AR144" s="8"/>
      <c r="AV144" s="27"/>
      <c r="BK144" s="27"/>
      <c r="BL144" s="6"/>
      <c r="BN144" s="6"/>
      <c r="BO144" s="6"/>
    </row>
    <row r="145" spans="32:67">
      <c r="AN145" s="8"/>
      <c r="AR145" s="8"/>
      <c r="AV145" s="27"/>
      <c r="BK145" s="27"/>
      <c r="BL145" s="6"/>
      <c r="BN145" s="6"/>
      <c r="BO145" s="6"/>
    </row>
    <row r="146" spans="32:67">
      <c r="AN146" s="8"/>
      <c r="AR146" s="8"/>
      <c r="AV146" s="27"/>
      <c r="BF146" s="6"/>
      <c r="BG146" s="6"/>
      <c r="BK146" s="27"/>
      <c r="BL146" s="6"/>
      <c r="BN146" s="6"/>
      <c r="BO146" s="6"/>
    </row>
    <row r="147" spans="32:67">
      <c r="AN147" s="8"/>
      <c r="AR147" s="8"/>
      <c r="AV147" s="27"/>
      <c r="BF147" s="6"/>
      <c r="BG147" s="6"/>
      <c r="BK147" s="27"/>
      <c r="BL147" s="6"/>
      <c r="BN147" s="6"/>
      <c r="BO147" s="6"/>
    </row>
    <row r="148" spans="32:67">
      <c r="AN148" s="8"/>
      <c r="AR148" s="8"/>
      <c r="AV148" s="27"/>
      <c r="BF148" s="6"/>
      <c r="BG148" s="6"/>
      <c r="BK148" s="27"/>
      <c r="BL148" s="6"/>
      <c r="BN148" s="6"/>
      <c r="BO148" s="6"/>
    </row>
    <row r="149" spans="32:67">
      <c r="AN149" s="8"/>
      <c r="AR149" s="8"/>
      <c r="AV149" s="27"/>
      <c r="BF149" s="6"/>
      <c r="BG149" s="6"/>
      <c r="BK149" s="27"/>
      <c r="BL149" s="6"/>
      <c r="BN149" s="6"/>
      <c r="BO149" s="6"/>
    </row>
    <row r="150" spans="32:67">
      <c r="AN150" s="8"/>
      <c r="AR150" s="8"/>
      <c r="AV150" s="27"/>
      <c r="BA150" s="56"/>
      <c r="BB150" s="46"/>
      <c r="BC150" s="46"/>
      <c r="BD150" s="46"/>
      <c r="BE150" s="58"/>
      <c r="BF150" s="6"/>
      <c r="BG150" s="6"/>
      <c r="BK150" s="27"/>
      <c r="BL150" s="6"/>
      <c r="BN150" s="6"/>
      <c r="BO150" s="6"/>
    </row>
    <row r="151" spans="32:67">
      <c r="AN151" s="8"/>
      <c r="AR151" s="8"/>
      <c r="AV151" s="27"/>
      <c r="BA151" s="56"/>
      <c r="BB151" s="46"/>
      <c r="BC151" s="46"/>
      <c r="BD151" s="46"/>
      <c r="BE151" s="58"/>
      <c r="BF151" s="6"/>
      <c r="BG151" s="6"/>
      <c r="BK151" s="27"/>
      <c r="BL151" s="6"/>
      <c r="BN151" s="6"/>
      <c r="BO151" s="6"/>
    </row>
    <row r="152" spans="32:67">
      <c r="AN152" s="8"/>
      <c r="AR152" s="8"/>
      <c r="AV152" s="27"/>
      <c r="BB152" s="56"/>
      <c r="BC152" s="56"/>
      <c r="BD152" s="87"/>
      <c r="BE152" s="92"/>
      <c r="BF152" s="6"/>
      <c r="BG152" s="6"/>
      <c r="BK152" s="27"/>
      <c r="BL152" s="6"/>
      <c r="BN152" s="6"/>
      <c r="BO152" s="6"/>
    </row>
    <row r="153" spans="32:67">
      <c r="AN153" s="8"/>
      <c r="AR153" s="8"/>
      <c r="AV153" s="27"/>
      <c r="BB153" s="56"/>
      <c r="BC153" s="56"/>
      <c r="BD153" s="87"/>
      <c r="BE153" s="92"/>
      <c r="BF153" s="6"/>
      <c r="BG153" s="6"/>
      <c r="BK153" s="27"/>
      <c r="BL153" s="6"/>
      <c r="BN153" s="6"/>
      <c r="BO153" s="6"/>
    </row>
    <row r="154" spans="32:67">
      <c r="AN154" s="8"/>
      <c r="AR154" s="8"/>
      <c r="AV154" s="27"/>
      <c r="BC154" s="8"/>
      <c r="BD154" s="86"/>
      <c r="BE154" s="93"/>
      <c r="BF154" s="6"/>
      <c r="BG154" s="6"/>
      <c r="BK154" s="27"/>
      <c r="BL154" s="6"/>
      <c r="BN154" s="6"/>
      <c r="BO154" s="6"/>
    </row>
    <row r="155" spans="32:67">
      <c r="AN155" s="8"/>
      <c r="AR155" s="8"/>
      <c r="AV155" s="27"/>
      <c r="BC155" s="8"/>
      <c r="BD155" s="86"/>
      <c r="BE155" s="93"/>
      <c r="BF155" s="6"/>
      <c r="BG155" s="6"/>
      <c r="BK155" s="27"/>
      <c r="BL155" s="6"/>
      <c r="BN155" s="6"/>
      <c r="BO155" s="6"/>
    </row>
    <row r="156" spans="32:67">
      <c r="AN156" s="8"/>
      <c r="AR156" s="8"/>
      <c r="AV156" s="27"/>
      <c r="BC156" s="8"/>
      <c r="BD156" s="86"/>
      <c r="BE156" s="93"/>
      <c r="BF156" s="6"/>
      <c r="BG156" s="6"/>
      <c r="BK156" s="27"/>
      <c r="BL156" s="6"/>
      <c r="BN156" s="6"/>
      <c r="BO156" s="6"/>
    </row>
    <row r="157" spans="32:67">
      <c r="AN157" s="8"/>
      <c r="AR157" s="8"/>
      <c r="AV157" s="27"/>
      <c r="BC157" s="8"/>
      <c r="BD157" s="86"/>
      <c r="BE157" s="93"/>
      <c r="BF157" s="6"/>
      <c r="BG157" s="6"/>
      <c r="BK157" s="27"/>
      <c r="BL157" s="6"/>
      <c r="BN157" s="6"/>
      <c r="BO157" s="6"/>
    </row>
    <row r="158" spans="32:67">
      <c r="AN158" s="8"/>
      <c r="AR158" s="8"/>
      <c r="AV158" s="27"/>
      <c r="BC158" s="8"/>
      <c r="BD158" s="86"/>
      <c r="BE158" s="93"/>
      <c r="BF158" s="6"/>
      <c r="BG158" s="6"/>
      <c r="BK158" s="27"/>
      <c r="BL158" s="6"/>
      <c r="BN158" s="6"/>
      <c r="BO158" s="6"/>
    </row>
    <row r="159" spans="32:67">
      <c r="AF159" s="8"/>
      <c r="AJ159" s="8"/>
      <c r="AN159" s="27"/>
      <c r="AU159" s="8"/>
      <c r="AV159" s="86"/>
      <c r="AW159" s="93"/>
      <c r="AX159" s="6"/>
      <c r="AY159" s="6"/>
      <c r="BC159" s="27"/>
      <c r="BD159" s="6"/>
      <c r="BF159" s="6"/>
      <c r="BG159" s="6"/>
    </row>
    <row r="160" spans="32:67">
      <c r="AF160" s="8"/>
      <c r="AJ160" s="8"/>
      <c r="AN160" s="27"/>
      <c r="AU160" s="8"/>
      <c r="AV160" s="86"/>
      <c r="AW160" s="93"/>
      <c r="AX160" s="6"/>
      <c r="AY160" s="6"/>
      <c r="BC160" s="27"/>
      <c r="BD160" s="6"/>
      <c r="BF160" s="6"/>
      <c r="BG160" s="6"/>
    </row>
    <row r="161" spans="32:59">
      <c r="AF161" s="8"/>
      <c r="AJ161" s="8"/>
      <c r="AN161" s="27"/>
      <c r="AU161" s="8"/>
      <c r="AV161" s="86"/>
      <c r="AW161" s="93"/>
      <c r="AX161" s="6"/>
      <c r="AY161" s="6"/>
      <c r="BC161" s="27"/>
      <c r="BD161" s="6"/>
      <c r="BF161" s="6"/>
      <c r="BG161" s="6"/>
    </row>
    <row r="162" spans="32:59">
      <c r="AF162" s="8"/>
      <c r="AJ162" s="8"/>
      <c r="AN162" s="27"/>
      <c r="AU162" s="8"/>
      <c r="AV162" s="86"/>
      <c r="AW162" s="93"/>
      <c r="AX162" s="6"/>
      <c r="AY162" s="6"/>
      <c r="BC162" s="27"/>
      <c r="BD162" s="6"/>
      <c r="BF162" s="6"/>
      <c r="BG162" s="6"/>
    </row>
    <row r="163" spans="32:59">
      <c r="AF163" s="8"/>
      <c r="AJ163" s="8"/>
      <c r="AN163" s="27"/>
      <c r="AU163" s="8"/>
      <c r="AV163" s="86"/>
      <c r="AW163" s="93"/>
      <c r="AX163" s="6"/>
      <c r="AY163" s="6"/>
      <c r="BC163" s="27"/>
      <c r="BD163" s="6"/>
      <c r="BF163" s="6"/>
      <c r="BG163" s="6"/>
    </row>
    <row r="164" spans="32:59">
      <c r="AF164" s="8"/>
      <c r="AJ164" s="8"/>
      <c r="AN164" s="27"/>
      <c r="AU164" s="8"/>
      <c r="AV164" s="86"/>
      <c r="AW164" s="93"/>
      <c r="AX164" s="6"/>
      <c r="AY164" s="6"/>
      <c r="BC164" s="27"/>
      <c r="BD164" s="6"/>
      <c r="BF164" s="6"/>
      <c r="BG164" s="6"/>
    </row>
    <row r="165" spans="32:59">
      <c r="AF165" s="8"/>
      <c r="AJ165" s="8"/>
      <c r="AN165" s="27"/>
      <c r="AU165" s="8"/>
      <c r="AV165" s="86"/>
      <c r="AW165" s="93"/>
      <c r="AX165" s="93"/>
      <c r="AY165" s="93"/>
      <c r="BC165" s="27"/>
      <c r="BD165" s="6"/>
      <c r="BF165" s="6"/>
      <c r="BG165" s="6"/>
    </row>
    <row r="166" spans="32:59">
      <c r="AF166" s="8"/>
      <c r="AJ166" s="8"/>
      <c r="AN166" s="27"/>
      <c r="AU166" s="8"/>
      <c r="AV166" s="86"/>
      <c r="AW166" s="93"/>
      <c r="AX166" s="6"/>
      <c r="AY166" s="6"/>
      <c r="BC166" s="27"/>
      <c r="BD166" s="6"/>
      <c r="BF166" s="6"/>
      <c r="BG166" s="6"/>
    </row>
    <row r="167" spans="32:59">
      <c r="AF167" s="8"/>
      <c r="AJ167" s="8"/>
      <c r="AN167" s="27"/>
      <c r="AU167" s="8"/>
      <c r="AV167" s="86"/>
      <c r="AW167" s="93"/>
      <c r="AX167" s="6"/>
      <c r="AY167" s="6"/>
      <c r="BC167" s="27"/>
      <c r="BD167" s="6"/>
      <c r="BF167" s="6"/>
      <c r="BG167" s="6"/>
    </row>
    <row r="168" spans="32:59">
      <c r="AF168" s="8"/>
      <c r="AJ168" s="8"/>
      <c r="AN168" s="27"/>
      <c r="AU168" s="8"/>
      <c r="AV168" s="86"/>
      <c r="AW168" s="93"/>
      <c r="AX168" s="6"/>
      <c r="AY168" s="6"/>
      <c r="BC168" s="27"/>
      <c r="BD168" s="6"/>
      <c r="BF168" s="6"/>
      <c r="BG168" s="6"/>
    </row>
    <row r="169" spans="32:59">
      <c r="AF169" s="8"/>
      <c r="AJ169" s="8"/>
      <c r="AN169" s="27"/>
      <c r="AU169" s="8"/>
      <c r="AV169" s="86"/>
      <c r="AW169" s="93"/>
      <c r="AX169" s="6"/>
      <c r="AY169" s="6"/>
      <c r="BC169" s="27"/>
      <c r="BD169" s="6"/>
      <c r="BF169" s="6"/>
      <c r="BG169" s="6"/>
    </row>
    <row r="170" spans="32:59">
      <c r="AF170" s="8"/>
      <c r="AJ170" s="8"/>
      <c r="AN170" s="27"/>
      <c r="AU170" s="8"/>
      <c r="AV170" s="86"/>
      <c r="AW170" s="93"/>
      <c r="AX170" s="6"/>
      <c r="AY170" s="6"/>
      <c r="BC170" s="27"/>
      <c r="BD170" s="6"/>
      <c r="BF170" s="6"/>
      <c r="BG170" s="6"/>
    </row>
    <row r="171" spans="32:59">
      <c r="AF171" s="8"/>
      <c r="AJ171" s="8"/>
      <c r="AN171" s="27"/>
      <c r="AU171" s="8"/>
      <c r="AV171" s="86"/>
      <c r="AW171" s="93"/>
      <c r="AX171" s="6"/>
      <c r="AY171" s="6"/>
      <c r="BC171" s="27"/>
      <c r="BD171" s="6"/>
      <c r="BF171" s="6"/>
      <c r="BG171" s="6"/>
    </row>
    <row r="172" spans="32:59">
      <c r="AF172" s="8"/>
      <c r="AJ172" s="8"/>
      <c r="AN172" s="27"/>
      <c r="AU172" s="8"/>
      <c r="AV172" s="86"/>
      <c r="AW172" s="93"/>
      <c r="AX172" s="6"/>
      <c r="AY172" s="6"/>
      <c r="BC172" s="27"/>
      <c r="BD172" s="6"/>
      <c r="BF172" s="6"/>
      <c r="BG172" s="6"/>
    </row>
    <row r="173" spans="32:59">
      <c r="AF173" s="8"/>
      <c r="AJ173" s="8"/>
      <c r="AN173" s="27"/>
      <c r="AU173" s="8"/>
      <c r="AV173" s="86"/>
      <c r="AW173" s="93"/>
      <c r="AX173" s="6"/>
      <c r="AY173" s="6"/>
      <c r="BC173" s="27"/>
      <c r="BD173" s="6"/>
      <c r="BF173" s="6"/>
      <c r="BG173" s="6"/>
    </row>
    <row r="174" spans="32:59">
      <c r="AF174" s="8"/>
      <c r="AJ174" s="8"/>
      <c r="AN174" s="27"/>
      <c r="AU174" s="8"/>
      <c r="AV174" s="86"/>
      <c r="AW174" s="93"/>
      <c r="AX174" s="6"/>
      <c r="AY174" s="6"/>
      <c r="BC174" s="27"/>
      <c r="BD174" s="6"/>
      <c r="BF174" s="6"/>
      <c r="BG174" s="6"/>
    </row>
    <row r="175" spans="32:59">
      <c r="AF175" s="8"/>
      <c r="AJ175" s="8"/>
      <c r="AN175" s="27"/>
      <c r="AU175" s="8"/>
      <c r="AV175" s="86"/>
      <c r="AW175" s="93"/>
      <c r="AX175" s="6"/>
      <c r="AY175" s="6"/>
      <c r="BC175" s="27"/>
      <c r="BD175" s="6"/>
      <c r="BF175" s="6"/>
      <c r="BG175" s="6"/>
    </row>
    <row r="176" spans="32:59">
      <c r="AF176" s="8"/>
      <c r="AJ176" s="8"/>
      <c r="AN176" s="27"/>
      <c r="AU176" s="8"/>
      <c r="AV176" s="86"/>
      <c r="AW176" s="93"/>
      <c r="AX176" s="6"/>
      <c r="AY176" s="6"/>
      <c r="BC176" s="27"/>
      <c r="BD176" s="6"/>
      <c r="BF176" s="6"/>
      <c r="BG176" s="6"/>
    </row>
    <row r="177" spans="32:59">
      <c r="AF177" s="8"/>
      <c r="AJ177" s="8"/>
      <c r="AN177" s="27"/>
      <c r="AU177" s="8"/>
      <c r="AV177" s="86"/>
      <c r="AW177" s="93"/>
      <c r="AX177" s="6"/>
      <c r="AY177" s="6"/>
      <c r="BC177" s="27"/>
      <c r="BD177" s="6"/>
      <c r="BF177" s="6"/>
      <c r="BG177" s="6"/>
    </row>
    <row r="178" spans="32:59">
      <c r="AF178" s="8"/>
      <c r="AJ178" s="8"/>
      <c r="AN178" s="27"/>
      <c r="AU178" s="8"/>
      <c r="AV178" s="86"/>
      <c r="AW178" s="93"/>
      <c r="AX178" s="6"/>
      <c r="AY178" s="6"/>
      <c r="BC178" s="27"/>
      <c r="BD178" s="6"/>
      <c r="BF178" s="6"/>
      <c r="BG178" s="6"/>
    </row>
    <row r="179" spans="32:59">
      <c r="AF179" s="8"/>
      <c r="AJ179" s="8"/>
      <c r="AN179" s="27"/>
      <c r="AU179" s="8"/>
      <c r="AV179" s="86"/>
      <c r="AW179" s="93"/>
      <c r="AX179" s="6"/>
      <c r="AY179" s="6"/>
      <c r="BC179" s="27"/>
      <c r="BD179" s="6"/>
      <c r="BF179" s="6"/>
      <c r="BG179" s="6"/>
    </row>
    <row r="180" spans="32:59">
      <c r="AF180" s="8"/>
      <c r="AJ180" s="8"/>
      <c r="AN180" s="27"/>
      <c r="AU180" s="8"/>
      <c r="AV180" s="86"/>
      <c r="AW180" s="93"/>
      <c r="AX180" s="6"/>
      <c r="AY180" s="6"/>
      <c r="BC180" s="27"/>
      <c r="BD180" s="6"/>
      <c r="BF180" s="6"/>
      <c r="BG180" s="6"/>
    </row>
    <row r="181" spans="32:59">
      <c r="AF181" s="8"/>
      <c r="AJ181" s="8"/>
      <c r="AN181" s="27"/>
      <c r="AU181" s="8"/>
      <c r="AV181" s="86"/>
      <c r="AW181" s="93"/>
      <c r="AX181" s="6"/>
      <c r="AY181" s="6"/>
      <c r="BC181" s="27"/>
      <c r="BD181" s="6"/>
      <c r="BF181" s="6"/>
      <c r="BG181" s="6"/>
    </row>
    <row r="182" spans="32:59">
      <c r="AF182" s="8"/>
      <c r="AJ182" s="8"/>
      <c r="AN182" s="27"/>
      <c r="AU182" s="8"/>
      <c r="AV182" s="86"/>
      <c r="AW182" s="93"/>
      <c r="AX182" s="6"/>
      <c r="AY182" s="6"/>
      <c r="BC182" s="27"/>
      <c r="BD182" s="6"/>
      <c r="BF182" s="6"/>
      <c r="BG182" s="6"/>
    </row>
    <row r="183" spans="32:59">
      <c r="AF183" s="8"/>
      <c r="AJ183" s="8"/>
      <c r="AN183" s="27"/>
      <c r="AU183" s="8"/>
      <c r="AV183" s="86"/>
      <c r="AW183" s="93"/>
      <c r="AX183" s="6"/>
      <c r="AY183" s="6"/>
      <c r="BC183" s="27"/>
      <c r="BD183" s="6"/>
      <c r="BF183" s="6"/>
      <c r="BG183" s="6"/>
    </row>
    <row r="184" spans="32:59">
      <c r="AF184" s="8"/>
      <c r="AJ184" s="8"/>
      <c r="AN184" s="27"/>
      <c r="AU184" s="8"/>
      <c r="AV184" s="86"/>
      <c r="AW184" s="93"/>
      <c r="AX184" s="6"/>
      <c r="AY184" s="6"/>
      <c r="BC184" s="27"/>
      <c r="BD184" s="6"/>
      <c r="BF184" s="6"/>
      <c r="BG184" s="6"/>
    </row>
    <row r="185" spans="32:59">
      <c r="AF185" s="8"/>
      <c r="AJ185" s="8"/>
      <c r="AN185" s="27"/>
      <c r="AX185" s="6"/>
      <c r="AY185" s="6"/>
      <c r="BC185" s="27"/>
      <c r="BD185" s="6"/>
      <c r="BF185" s="6"/>
      <c r="BG185" s="6"/>
    </row>
    <row r="186" spans="32:59">
      <c r="AF186" s="8"/>
      <c r="AJ186" s="8"/>
      <c r="AN186" s="27"/>
      <c r="AX186" s="6"/>
      <c r="AY186" s="6"/>
      <c r="BC186" s="27"/>
      <c r="BD186" s="6"/>
      <c r="BF186" s="6"/>
      <c r="BG186" s="6"/>
    </row>
    <row r="187" spans="32:59">
      <c r="AF187" s="8"/>
      <c r="AJ187" s="8"/>
      <c r="AN187" s="27"/>
      <c r="AX187" s="6"/>
      <c r="AY187" s="6"/>
      <c r="BC187" s="27"/>
      <c r="BD187" s="6"/>
      <c r="BF187" s="6"/>
      <c r="BG187" s="6"/>
    </row>
    <row r="188" spans="32:59">
      <c r="AF188" s="8"/>
      <c r="AJ188" s="8"/>
      <c r="AN188" s="27"/>
      <c r="AX188" s="6"/>
      <c r="AY188" s="6"/>
      <c r="BC188" s="27"/>
      <c r="BD188" s="6"/>
      <c r="BF188" s="6"/>
      <c r="BG188" s="6"/>
    </row>
    <row r="189" spans="32:59">
      <c r="AF189" s="8"/>
      <c r="AJ189" s="8"/>
      <c r="AN189" s="27"/>
      <c r="AX189" s="6"/>
      <c r="AY189" s="6"/>
      <c r="BC189" s="27"/>
      <c r="BD189" s="6"/>
      <c r="BF189" s="6"/>
      <c r="BG189" s="6"/>
    </row>
    <row r="190" spans="32:59">
      <c r="AF190" s="8"/>
      <c r="AJ190" s="8"/>
      <c r="AN190" s="27"/>
      <c r="AX190" s="6"/>
      <c r="AY190" s="6"/>
      <c r="BC190" s="27"/>
      <c r="BD190" s="6"/>
      <c r="BF190" s="6"/>
      <c r="BG190" s="6"/>
    </row>
    <row r="191" spans="32:59">
      <c r="AF191" s="8"/>
      <c r="AJ191" s="8"/>
      <c r="AN191" s="27"/>
      <c r="AX191" s="6"/>
      <c r="AY191" s="6"/>
      <c r="BC191" s="27"/>
      <c r="BD191" s="6"/>
      <c r="BF191" s="6"/>
      <c r="BG191" s="6"/>
    </row>
    <row r="192" spans="32:59">
      <c r="AF192" s="8"/>
      <c r="AJ192" s="8"/>
      <c r="AN192" s="27"/>
      <c r="AX192" s="6"/>
      <c r="AY192" s="6"/>
      <c r="BC192" s="27"/>
      <c r="BD192" s="6"/>
      <c r="BF192" s="6"/>
      <c r="BG192" s="6"/>
    </row>
    <row r="193" spans="32:59">
      <c r="AF193" s="8"/>
      <c r="AJ193" s="8"/>
      <c r="AN193" s="27"/>
      <c r="AX193" s="6"/>
      <c r="AY193" s="6"/>
      <c r="BC193" s="27"/>
      <c r="BD193" s="6"/>
      <c r="BF193" s="6"/>
      <c r="BG193" s="6"/>
    </row>
    <row r="194" spans="32:59">
      <c r="AF194" s="8"/>
      <c r="AJ194" s="8"/>
      <c r="AN194" s="27"/>
      <c r="AX194" s="6"/>
      <c r="AY194" s="6"/>
      <c r="BC194" s="27"/>
      <c r="BD194" s="6"/>
      <c r="BF194" s="6"/>
      <c r="BG194" s="6"/>
    </row>
    <row r="195" spans="32:59">
      <c r="AF195" s="8"/>
      <c r="AJ195" s="8"/>
      <c r="AN195" s="27"/>
      <c r="AX195" s="6"/>
      <c r="AY195" s="6"/>
      <c r="BC195" s="27"/>
      <c r="BD195" s="6"/>
      <c r="BF195" s="6"/>
      <c r="BG195" s="6"/>
    </row>
    <row r="196" spans="32:59">
      <c r="AF196" s="8"/>
      <c r="AJ196" s="8"/>
      <c r="AN196" s="27"/>
      <c r="AX196" s="6"/>
      <c r="AY196" s="6"/>
      <c r="BC196" s="27"/>
      <c r="BD196" s="6"/>
      <c r="BF196" s="6"/>
      <c r="BG196" s="6"/>
    </row>
    <row r="197" spans="32:59">
      <c r="AF197" s="8"/>
      <c r="AJ197" s="8"/>
      <c r="AN197" s="27"/>
      <c r="AX197" s="6"/>
      <c r="AY197" s="6"/>
      <c r="BC197" s="27"/>
      <c r="BD197" s="6"/>
      <c r="BF197" s="6"/>
      <c r="BG197" s="6"/>
    </row>
    <row r="198" spans="32:59">
      <c r="AF198" s="8"/>
      <c r="AJ198" s="8"/>
      <c r="AN198" s="27"/>
      <c r="AX198" s="6"/>
      <c r="AY198" s="6"/>
      <c r="BC198" s="27"/>
      <c r="BD198" s="6"/>
      <c r="BF198" s="6"/>
      <c r="BG198" s="6"/>
    </row>
    <row r="199" spans="32:59">
      <c r="AF199" s="8"/>
      <c r="AJ199" s="8"/>
      <c r="AN199" s="27"/>
      <c r="AX199" s="6"/>
      <c r="AY199" s="6"/>
      <c r="BC199" s="27"/>
      <c r="BD199" s="6"/>
      <c r="BF199" s="6"/>
      <c r="BG199" s="6"/>
    </row>
    <row r="200" spans="32:59">
      <c r="AF200" s="8"/>
      <c r="AJ200" s="8"/>
      <c r="AN200" s="27"/>
      <c r="AX200" s="6"/>
      <c r="AY200" s="6"/>
      <c r="BC200" s="27"/>
      <c r="BD200" s="6"/>
      <c r="BF200" s="6"/>
      <c r="BG200" s="6"/>
    </row>
    <row r="201" spans="32:59">
      <c r="AF201" s="8"/>
      <c r="AJ201" s="8"/>
      <c r="AN201" s="27"/>
      <c r="AX201" s="6"/>
      <c r="AY201" s="6"/>
      <c r="BC201" s="27"/>
      <c r="BD201" s="6"/>
      <c r="BF201" s="6"/>
      <c r="BG201" s="6"/>
    </row>
    <row r="202" spans="32:59">
      <c r="AF202" s="8"/>
      <c r="AJ202" s="8"/>
      <c r="AN202" s="27"/>
      <c r="AX202" s="6"/>
      <c r="AY202" s="6"/>
      <c r="BC202" s="27"/>
      <c r="BD202" s="6"/>
      <c r="BF202" s="6"/>
      <c r="BG202" s="6"/>
    </row>
    <row r="203" spans="32:59">
      <c r="AF203" s="8"/>
      <c r="AJ203" s="8"/>
      <c r="AN203" s="27"/>
      <c r="AX203" s="6"/>
      <c r="AY203" s="6"/>
      <c r="BC203" s="27"/>
      <c r="BD203" s="6"/>
      <c r="BF203" s="6"/>
      <c r="BG203" s="6"/>
    </row>
    <row r="204" spans="32:59">
      <c r="AF204" s="8"/>
      <c r="AJ204" s="8"/>
      <c r="AN204" s="27"/>
      <c r="AX204" s="6"/>
      <c r="AY204" s="6"/>
      <c r="BC204" s="27"/>
      <c r="BD204" s="6"/>
      <c r="BF204" s="6"/>
      <c r="BG204" s="6"/>
    </row>
    <row r="205" spans="32:59">
      <c r="AF205" s="8"/>
      <c r="AJ205" s="8"/>
      <c r="AN205" s="27"/>
      <c r="AX205" s="6"/>
      <c r="AY205" s="6"/>
      <c r="BC205" s="27"/>
      <c r="BD205" s="6"/>
      <c r="BF205" s="6"/>
      <c r="BG205" s="6"/>
    </row>
    <row r="206" spans="32:59">
      <c r="AF206" s="8"/>
      <c r="AJ206" s="8"/>
      <c r="AN206" s="27"/>
      <c r="AX206" s="6"/>
      <c r="AY206" s="6"/>
      <c r="BC206" s="27"/>
      <c r="BD206" s="6"/>
      <c r="BF206" s="6"/>
      <c r="BG206" s="6"/>
    </row>
    <row r="207" spans="32:59">
      <c r="AF207" s="8"/>
      <c r="AJ207" s="8"/>
      <c r="AN207" s="27"/>
      <c r="AX207" s="6"/>
      <c r="AY207" s="6"/>
      <c r="BC207" s="27"/>
      <c r="BD207" s="6"/>
      <c r="BF207" s="6"/>
      <c r="BG207" s="6"/>
    </row>
    <row r="208" spans="32:59">
      <c r="AF208" s="8"/>
      <c r="AJ208" s="8"/>
      <c r="AN208" s="27"/>
      <c r="AX208" s="6"/>
      <c r="AY208" s="6"/>
      <c r="BC208" s="27"/>
      <c r="BD208" s="6"/>
      <c r="BF208" s="6"/>
      <c r="BG208" s="6"/>
    </row>
    <row r="209" spans="32:59">
      <c r="AF209" s="8"/>
      <c r="AJ209" s="8"/>
      <c r="AN209" s="27"/>
      <c r="AX209" s="6"/>
      <c r="AY209" s="6"/>
      <c r="BC209" s="27"/>
      <c r="BD209" s="6"/>
      <c r="BF209" s="6"/>
      <c r="BG209" s="6"/>
    </row>
    <row r="210" spans="32:59">
      <c r="AF210" s="8"/>
      <c r="AJ210" s="8"/>
      <c r="AN210" s="27"/>
      <c r="AX210" s="6"/>
      <c r="AY210" s="6"/>
      <c r="BC210" s="27"/>
      <c r="BD210" s="6"/>
      <c r="BF210" s="6"/>
      <c r="BG210" s="6"/>
    </row>
    <row r="211" spans="32:59">
      <c r="AF211" s="8"/>
      <c r="AJ211" s="8"/>
      <c r="AN211" s="27"/>
      <c r="AX211" s="6"/>
      <c r="AY211" s="6"/>
      <c r="BC211" s="27"/>
      <c r="BD211" s="6"/>
      <c r="BF211" s="6"/>
      <c r="BG211" s="6"/>
    </row>
    <row r="212" spans="32:59">
      <c r="AF212" s="8"/>
      <c r="AJ212" s="8"/>
      <c r="AN212" s="27"/>
      <c r="AX212" s="6"/>
      <c r="AY212" s="6"/>
      <c r="BC212" s="27"/>
      <c r="BD212" s="6"/>
      <c r="BF212" s="6"/>
      <c r="BG212" s="6"/>
    </row>
    <row r="213" spans="32:59">
      <c r="AF213" s="8"/>
      <c r="AJ213" s="8"/>
      <c r="AN213" s="27"/>
      <c r="AX213" s="6"/>
      <c r="AY213" s="6"/>
      <c r="BC213" s="27"/>
      <c r="BD213" s="6"/>
      <c r="BF213" s="6"/>
      <c r="BG213" s="6"/>
    </row>
    <row r="214" spans="32:59">
      <c r="AF214" s="8"/>
      <c r="AJ214" s="8"/>
      <c r="AN214" s="27"/>
      <c r="AX214" s="6"/>
      <c r="AY214" s="6"/>
      <c r="BC214" s="27"/>
      <c r="BD214" s="6"/>
      <c r="BF214" s="6"/>
      <c r="BG214" s="6"/>
    </row>
    <row r="215" spans="32:59">
      <c r="AF215" s="8"/>
      <c r="AJ215" s="8"/>
      <c r="AN215" s="27"/>
      <c r="AX215" s="6"/>
      <c r="AY215" s="6"/>
      <c r="BC215" s="27"/>
      <c r="BD215" s="6"/>
      <c r="BF215" s="6"/>
      <c r="BG215" s="6"/>
    </row>
    <row r="216" spans="32:59">
      <c r="AF216" s="8"/>
      <c r="AJ216" s="8"/>
      <c r="AN216" s="27"/>
      <c r="AX216" s="6"/>
      <c r="AY216" s="6"/>
      <c r="BC216" s="27"/>
      <c r="BD216" s="6"/>
      <c r="BF216" s="6"/>
      <c r="BG216" s="6"/>
    </row>
    <row r="217" spans="32:59">
      <c r="AF217" s="8"/>
      <c r="AJ217" s="8"/>
      <c r="AN217" s="27"/>
      <c r="AX217" s="6"/>
      <c r="AY217" s="6"/>
      <c r="BC217" s="27"/>
      <c r="BD217" s="6"/>
      <c r="BF217" s="6"/>
      <c r="BG217" s="6"/>
    </row>
    <row r="218" spans="32:59">
      <c r="AF218" s="8"/>
      <c r="AJ218" s="8"/>
      <c r="AN218" s="27"/>
      <c r="AX218" s="6"/>
      <c r="AY218" s="6"/>
      <c r="BC218" s="27"/>
      <c r="BD218" s="6"/>
      <c r="BF218" s="6"/>
      <c r="BG218" s="6"/>
    </row>
    <row r="219" spans="32:59">
      <c r="AF219" s="8"/>
      <c r="AJ219" s="8"/>
      <c r="AN219" s="27"/>
      <c r="AX219" s="6"/>
      <c r="AY219" s="6"/>
      <c r="BC219" s="27"/>
      <c r="BD219" s="6"/>
      <c r="BF219" s="6"/>
      <c r="BG219" s="6"/>
    </row>
    <row r="220" spans="32:59">
      <c r="AF220" s="8"/>
      <c r="AJ220" s="8"/>
      <c r="AN220" s="27"/>
      <c r="AX220" s="6"/>
      <c r="AY220" s="6"/>
      <c r="BC220" s="27"/>
      <c r="BD220" s="6"/>
      <c r="BF220" s="6"/>
      <c r="BG220" s="6"/>
    </row>
    <row r="221" spans="32:59">
      <c r="AF221" s="8"/>
      <c r="AJ221" s="8"/>
      <c r="AN221" s="27"/>
      <c r="AX221" s="6"/>
      <c r="AY221" s="6"/>
      <c r="BC221" s="27"/>
      <c r="BD221" s="6"/>
      <c r="BF221" s="6"/>
      <c r="BG221" s="6"/>
    </row>
    <row r="222" spans="32:59">
      <c r="AF222" s="8"/>
      <c r="AJ222" s="8"/>
      <c r="AN222" s="27"/>
      <c r="AX222" s="6"/>
      <c r="AY222" s="6"/>
      <c r="BC222" s="27"/>
      <c r="BD222" s="6"/>
      <c r="BF222" s="6"/>
      <c r="BG222" s="6"/>
    </row>
    <row r="223" spans="32:59">
      <c r="AF223" s="8"/>
      <c r="AJ223" s="8"/>
      <c r="AN223" s="27"/>
      <c r="AX223" s="6"/>
      <c r="AY223" s="6"/>
      <c r="BC223" s="27"/>
      <c r="BD223" s="6"/>
      <c r="BF223" s="6"/>
      <c r="BG223" s="6"/>
    </row>
    <row r="224" spans="32:59">
      <c r="AF224" s="8"/>
      <c r="AJ224" s="8"/>
      <c r="AN224" s="27"/>
      <c r="AX224" s="6"/>
      <c r="AY224" s="6"/>
      <c r="BC224" s="27"/>
      <c r="BD224" s="6"/>
      <c r="BF224" s="6"/>
      <c r="BG224" s="6"/>
    </row>
    <row r="225" spans="32:59">
      <c r="AF225" s="8"/>
      <c r="AJ225" s="8"/>
      <c r="AN225" s="27"/>
      <c r="AX225" s="6"/>
      <c r="AY225" s="6"/>
      <c r="BC225" s="27"/>
      <c r="BD225" s="6"/>
      <c r="BF225" s="6"/>
      <c r="BG225" s="6"/>
    </row>
    <row r="226" spans="32:59">
      <c r="AF226" s="8"/>
      <c r="AJ226" s="8"/>
      <c r="AN226" s="27"/>
      <c r="AX226" s="6"/>
      <c r="AY226" s="6"/>
      <c r="BC226" s="27"/>
      <c r="BD226" s="6"/>
      <c r="BF226" s="6"/>
      <c r="BG226" s="6"/>
    </row>
    <row r="227" spans="32:59">
      <c r="AF227" s="8"/>
      <c r="AJ227" s="8"/>
      <c r="AN227" s="27"/>
      <c r="AX227" s="6"/>
      <c r="AY227" s="6"/>
      <c r="BC227" s="27"/>
      <c r="BD227" s="6"/>
      <c r="BF227" s="6"/>
      <c r="BG227" s="6"/>
    </row>
    <row r="228" spans="32:59">
      <c r="AF228" s="8"/>
      <c r="AJ228" s="8"/>
      <c r="AN228" s="27"/>
      <c r="AX228" s="6"/>
      <c r="AY228" s="6"/>
      <c r="BC228" s="27"/>
      <c r="BD228" s="6"/>
      <c r="BF228" s="6"/>
      <c r="BG228" s="6"/>
    </row>
    <row r="229" spans="32:59">
      <c r="AF229" s="8"/>
      <c r="AJ229" s="8"/>
      <c r="AN229" s="27"/>
      <c r="AX229" s="6"/>
      <c r="AY229" s="6"/>
      <c r="BC229" s="27"/>
      <c r="BD229" s="6"/>
      <c r="BF229" s="6"/>
      <c r="BG229" s="6"/>
    </row>
    <row r="230" spans="32:59">
      <c r="AF230" s="8"/>
      <c r="AJ230" s="8"/>
      <c r="AN230" s="27"/>
      <c r="AX230" s="6"/>
      <c r="AY230" s="6"/>
      <c r="BC230" s="27"/>
      <c r="BD230" s="6"/>
      <c r="BF230" s="6"/>
      <c r="BG230" s="6"/>
    </row>
    <row r="231" spans="32:59">
      <c r="AF231" s="8"/>
      <c r="AJ231" s="8"/>
      <c r="AN231" s="27"/>
      <c r="AX231" s="6"/>
      <c r="AY231" s="6"/>
      <c r="BC231" s="27"/>
      <c r="BD231" s="6"/>
      <c r="BF231" s="6"/>
      <c r="BG231" s="6"/>
    </row>
    <row r="232" spans="32:59">
      <c r="AJ232" s="8"/>
      <c r="AN232" s="27"/>
      <c r="AX232" s="6"/>
      <c r="AY232" s="6"/>
      <c r="BC232" s="27"/>
      <c r="BD232" s="6"/>
      <c r="BF232" s="6"/>
      <c r="BG232" s="6"/>
    </row>
    <row r="233" spans="32:59">
      <c r="AJ233" s="8"/>
      <c r="AN233" s="27"/>
      <c r="AX233" s="6"/>
      <c r="AY233" s="6"/>
      <c r="BC233" s="27"/>
      <c r="BD233" s="6"/>
      <c r="BF233" s="6"/>
      <c r="BG233" s="6"/>
    </row>
    <row r="234" spans="32:59">
      <c r="AJ234" s="8"/>
      <c r="AN234" s="27"/>
      <c r="AX234" s="6"/>
      <c r="AY234" s="6"/>
      <c r="BC234" s="27"/>
      <c r="BD234" s="6"/>
      <c r="BF234" s="6"/>
      <c r="BG234" s="6"/>
    </row>
    <row r="235" spans="32:59">
      <c r="AJ235" s="8"/>
      <c r="AN235" s="27"/>
      <c r="AX235" s="6"/>
      <c r="AY235" s="6"/>
      <c r="BC235" s="27"/>
      <c r="BD235" s="6"/>
      <c r="BF235" s="6"/>
      <c r="BG235" s="6"/>
    </row>
    <row r="236" spans="32:59">
      <c r="AJ236" s="8"/>
      <c r="AN236" s="27"/>
      <c r="AX236" s="6"/>
      <c r="AY236" s="6"/>
      <c r="BC236" s="27"/>
      <c r="BD236" s="6"/>
      <c r="BF236" s="6"/>
      <c r="BG236" s="6"/>
    </row>
    <row r="237" spans="32:59">
      <c r="AJ237" s="8"/>
      <c r="AN237" s="27"/>
      <c r="AX237" s="6"/>
      <c r="AY237" s="6"/>
      <c r="BC237" s="27"/>
      <c r="BD237" s="6"/>
      <c r="BF237" s="6"/>
      <c r="BG237" s="6"/>
    </row>
    <row r="238" spans="32:59">
      <c r="AJ238" s="8"/>
      <c r="AN238" s="27"/>
      <c r="AX238" s="6"/>
      <c r="AY238" s="6"/>
      <c r="BC238" s="27"/>
      <c r="BD238" s="6"/>
      <c r="BF238" s="6"/>
      <c r="BG238" s="6"/>
    </row>
    <row r="239" spans="32:59">
      <c r="AJ239" s="8"/>
      <c r="AN239" s="27"/>
      <c r="AX239" s="6"/>
      <c r="AY239" s="6"/>
      <c r="BC239" s="27"/>
      <c r="BD239" s="6"/>
      <c r="BF239" s="6"/>
      <c r="BG239" s="6"/>
    </row>
    <row r="240" spans="32:59">
      <c r="AJ240" s="8"/>
      <c r="AN240" s="27"/>
      <c r="AX240" s="6"/>
      <c r="AY240" s="6"/>
      <c r="BC240" s="27"/>
      <c r="BD240" s="6"/>
      <c r="BF240" s="6"/>
      <c r="BG240" s="6"/>
    </row>
    <row r="241" spans="36:59">
      <c r="AJ241" s="8"/>
      <c r="AN241" s="27"/>
      <c r="AX241" s="6"/>
      <c r="AY241" s="6"/>
      <c r="BC241" s="27"/>
      <c r="BD241" s="6"/>
      <c r="BF241" s="6"/>
      <c r="BG241" s="6"/>
    </row>
    <row r="242" spans="36:59">
      <c r="AJ242" s="8"/>
      <c r="AN242" s="27"/>
      <c r="AX242" s="6"/>
      <c r="AY242" s="6"/>
      <c r="BC242" s="27"/>
      <c r="BD242" s="6"/>
      <c r="BF242" s="6"/>
      <c r="BG242" s="6"/>
    </row>
    <row r="243" spans="36:59">
      <c r="AJ243" s="8"/>
      <c r="AN243" s="27"/>
      <c r="AX243" s="6"/>
      <c r="BD243" s="6"/>
      <c r="BF243" s="6"/>
      <c r="BG243" s="6"/>
    </row>
    <row r="244" spans="36:59">
      <c r="AJ244" s="8"/>
      <c r="AN244" s="27"/>
      <c r="AX244" s="6"/>
      <c r="BD244" s="6"/>
      <c r="BF244" s="6"/>
      <c r="BG244" s="6"/>
    </row>
    <row r="245" spans="36:59">
      <c r="AJ245" s="8"/>
      <c r="AN245" s="27"/>
      <c r="AX245" s="6"/>
    </row>
    <row r="246" spans="36:59">
      <c r="AJ246" s="8"/>
      <c r="AN246" s="27"/>
      <c r="AX246" s="6"/>
    </row>
    <row r="247" spans="36:59">
      <c r="AJ247" s="8"/>
      <c r="AN247" s="27"/>
      <c r="AX247" s="6"/>
    </row>
    <row r="248" spans="36:59">
      <c r="AJ248" s="8"/>
      <c r="AN248" s="27"/>
      <c r="AX248" s="6"/>
    </row>
    <row r="249" spans="36:59">
      <c r="AJ249" s="8"/>
    </row>
    <row r="250" spans="36:59">
      <c r="AJ250" s="8"/>
    </row>
    <row r="251" spans="36:59">
      <c r="AJ251" s="8"/>
    </row>
    <row r="252" spans="36:59">
      <c r="AJ252" s="8"/>
    </row>
    <row r="253" spans="36:59">
      <c r="AJ253" s="8"/>
    </row>
    <row r="254" spans="36:59">
      <c r="AJ254" s="8"/>
    </row>
    <row r="255" spans="36:59">
      <c r="AJ255" s="8"/>
    </row>
    <row r="256" spans="36:59">
      <c r="AJ256" s="8"/>
    </row>
    <row r="257" spans="36:36">
      <c r="AJ257" s="8"/>
    </row>
    <row r="258" spans="36:36">
      <c r="AJ258" s="8"/>
    </row>
    <row r="259" spans="36:36">
      <c r="AJ259" s="8"/>
    </row>
    <row r="260" spans="36:36">
      <c r="AJ260" s="8"/>
    </row>
    <row r="261" spans="36:36">
      <c r="AJ261" s="8"/>
    </row>
    <row r="262" spans="36:36">
      <c r="AJ262" s="8"/>
    </row>
    <row r="263" spans="36:36">
      <c r="AJ263" s="8"/>
    </row>
    <row r="264" spans="36:36">
      <c r="AJ264" s="8"/>
    </row>
    <row r="265" spans="36:36">
      <c r="AJ265" s="8"/>
    </row>
    <row r="266" spans="36:36">
      <c r="AJ266" s="8"/>
    </row>
    <row r="267" spans="36:36">
      <c r="AJ267" s="8"/>
    </row>
    <row r="268" spans="36:36">
      <c r="AJ268" s="8"/>
    </row>
    <row r="269" spans="36:36">
      <c r="AJ269" s="8"/>
    </row>
    <row r="270" spans="36:36">
      <c r="AJ270" s="8"/>
    </row>
    <row r="271" spans="36:36">
      <c r="AJ271" s="8"/>
    </row>
    <row r="272" spans="36:36">
      <c r="AJ272" s="8"/>
    </row>
    <row r="273" spans="36:36">
      <c r="AJ273" s="8"/>
    </row>
    <row r="274" spans="36:36">
      <c r="AJ274" s="8"/>
    </row>
    <row r="275" spans="36:36">
      <c r="AJ275" s="8"/>
    </row>
    <row r="276" spans="36:36">
      <c r="AJ276" s="8"/>
    </row>
    <row r="277" spans="36:36">
      <c r="AJ277" s="8"/>
    </row>
    <row r="278" spans="36:36">
      <c r="AJ278" s="8"/>
    </row>
    <row r="279" spans="36:36">
      <c r="AJ279" s="8"/>
    </row>
    <row r="280" spans="36:36">
      <c r="AJ280" s="8"/>
    </row>
    <row r="281" spans="36:36">
      <c r="AJ281" s="8"/>
    </row>
    <row r="282" spans="36:36">
      <c r="AJ282" s="8"/>
    </row>
    <row r="283" spans="36:36">
      <c r="AJ283" s="8"/>
    </row>
    <row r="284" spans="36:36">
      <c r="AJ284" s="8"/>
    </row>
    <row r="285" spans="36:36">
      <c r="AJ285" s="8"/>
    </row>
    <row r="286" spans="36:36">
      <c r="AJ286" s="8"/>
    </row>
    <row r="287" spans="36:36">
      <c r="AJ287" s="8"/>
    </row>
    <row r="288" spans="36:36">
      <c r="AJ288" s="8"/>
    </row>
    <row r="289" spans="36:36">
      <c r="AJ289" s="8"/>
    </row>
    <row r="290" spans="36:36">
      <c r="AJ290" s="8"/>
    </row>
    <row r="291" spans="36:36">
      <c r="AJ291" s="8"/>
    </row>
    <row r="292" spans="36:36">
      <c r="AJ292" s="8"/>
    </row>
    <row r="293" spans="36:36">
      <c r="AJ293" s="8"/>
    </row>
    <row r="294" spans="36:36">
      <c r="AJ294" s="8"/>
    </row>
    <row r="295" spans="36:36">
      <c r="AJ295" s="8"/>
    </row>
    <row r="296" spans="36:36">
      <c r="AJ296" s="8"/>
    </row>
    <row r="297" spans="36:36">
      <c r="AJ297" s="8"/>
    </row>
    <row r="298" spans="36:36">
      <c r="AJ298" s="8"/>
    </row>
    <row r="299" spans="36:36">
      <c r="AJ299" s="8"/>
    </row>
    <row r="300" spans="36:36">
      <c r="AJ300" s="8"/>
    </row>
    <row r="301" spans="36:36">
      <c r="AJ301" s="8"/>
    </row>
    <row r="302" spans="36:36">
      <c r="AJ302" s="8"/>
    </row>
    <row r="303" spans="36:36">
      <c r="AJ303" s="8"/>
    </row>
    <row r="304" spans="36:36">
      <c r="AJ304" s="8"/>
    </row>
    <row r="305" spans="36:36">
      <c r="AJ305" s="8"/>
    </row>
    <row r="306" spans="36:36">
      <c r="AJ306" s="8"/>
    </row>
    <row r="307" spans="36:36">
      <c r="AJ307" s="8"/>
    </row>
    <row r="308" spans="36:36">
      <c r="AJ308" s="8"/>
    </row>
    <row r="309" spans="36:36">
      <c r="AJ309" s="8"/>
    </row>
    <row r="310" spans="36:36">
      <c r="AJ310" s="8"/>
    </row>
    <row r="311" spans="36:36">
      <c r="AJ311" s="8"/>
    </row>
    <row r="312" spans="36:36">
      <c r="AJ312" s="8"/>
    </row>
    <row r="313" spans="36:36">
      <c r="AJ313" s="8"/>
    </row>
    <row r="314" spans="36:36">
      <c r="AJ314" s="8"/>
    </row>
    <row r="315" spans="36:36">
      <c r="AJ315" s="8"/>
    </row>
    <row r="316" spans="36:36">
      <c r="AJ316" s="8"/>
    </row>
    <row r="317" spans="36:36">
      <c r="AJ317" s="8"/>
    </row>
    <row r="318" spans="36:36">
      <c r="AJ318" s="8"/>
    </row>
    <row r="319" spans="36:36">
      <c r="AJ319" s="8"/>
    </row>
    <row r="320" spans="36:36">
      <c r="AJ320" s="8"/>
    </row>
    <row r="321" spans="36:36">
      <c r="AJ321" s="8"/>
    </row>
    <row r="322" spans="36:36">
      <c r="AJ322" s="8"/>
    </row>
    <row r="323" spans="36:36">
      <c r="AJ323" s="8"/>
    </row>
    <row r="324" spans="36:36">
      <c r="AJ324" s="8"/>
    </row>
    <row r="325" spans="36:36">
      <c r="AJ325" s="8"/>
    </row>
    <row r="326" spans="36:36">
      <c r="AJ326" s="8"/>
    </row>
    <row r="327" spans="36:36">
      <c r="AJ327" s="8"/>
    </row>
    <row r="328" spans="36:36">
      <c r="AJ328" s="8"/>
    </row>
    <row r="329" spans="36:36">
      <c r="AJ329" s="8"/>
    </row>
    <row r="330" spans="36:36">
      <c r="AJ330" s="8"/>
    </row>
    <row r="331" spans="36:36">
      <c r="AJ331" s="8"/>
    </row>
    <row r="332" spans="36:36">
      <c r="AJ332" s="8"/>
    </row>
    <row r="333" spans="36:36">
      <c r="AJ333" s="8"/>
    </row>
    <row r="334" spans="36:36">
      <c r="AJ334" s="8"/>
    </row>
    <row r="335" spans="36:36">
      <c r="AJ335" s="8"/>
    </row>
    <row r="336" spans="36:36">
      <c r="AJ336" s="8"/>
    </row>
    <row r="337" spans="36:36">
      <c r="AJ337" s="8"/>
    </row>
    <row r="338" spans="36:36">
      <c r="AJ338" s="8"/>
    </row>
    <row r="339" spans="36:36">
      <c r="AJ339" s="8"/>
    </row>
    <row r="340" spans="36:36">
      <c r="AJ340" s="8"/>
    </row>
    <row r="341" spans="36:36">
      <c r="AJ341" s="8"/>
    </row>
    <row r="342" spans="36:36">
      <c r="AJ342" s="8"/>
    </row>
    <row r="343" spans="36:36">
      <c r="AJ343" s="8"/>
    </row>
    <row r="344" spans="36:36">
      <c r="AJ344" s="8"/>
    </row>
    <row r="345" spans="36:36">
      <c r="AJ345" s="8"/>
    </row>
    <row r="346" spans="36:36">
      <c r="AJ346" s="8"/>
    </row>
    <row r="347" spans="36:36">
      <c r="AJ347" s="8"/>
    </row>
    <row r="348" spans="36:36">
      <c r="AJ348" s="8"/>
    </row>
    <row r="349" spans="36:36">
      <c r="AJ349" s="8"/>
    </row>
    <row r="350" spans="36:36">
      <c r="AJ350" s="8"/>
    </row>
    <row r="351" spans="36:36">
      <c r="AJ351" s="8"/>
    </row>
    <row r="352" spans="36:36">
      <c r="AJ352" s="8"/>
    </row>
    <row r="353" spans="36:36">
      <c r="AJ353" s="8"/>
    </row>
    <row r="354" spans="36:36">
      <c r="AJ354" s="8"/>
    </row>
    <row r="355" spans="36:36">
      <c r="AJ355" s="8"/>
    </row>
    <row r="356" spans="36:36">
      <c r="AJ356" s="8"/>
    </row>
    <row r="357" spans="36:36">
      <c r="AJ357" s="8"/>
    </row>
    <row r="358" spans="36:36">
      <c r="AJ358" s="8"/>
    </row>
    <row r="359" spans="36:36">
      <c r="AJ359" s="8"/>
    </row>
    <row r="360" spans="36:36">
      <c r="AJ360" s="8"/>
    </row>
    <row r="361" spans="36:36">
      <c r="AJ361" s="8"/>
    </row>
    <row r="362" spans="36:36">
      <c r="AJ362" s="8"/>
    </row>
    <row r="363" spans="36:36">
      <c r="AJ363" s="8"/>
    </row>
    <row r="364" spans="36:36">
      <c r="AJ364" s="8"/>
    </row>
    <row r="365" spans="36:36">
      <c r="AJ365" s="8"/>
    </row>
    <row r="366" spans="36:36">
      <c r="AJ366" s="8"/>
    </row>
    <row r="367" spans="36:36">
      <c r="AJ367" s="8"/>
    </row>
    <row r="368" spans="36:36">
      <c r="AJ368" s="8"/>
    </row>
    <row r="369" spans="36:36">
      <c r="AJ369" s="8"/>
    </row>
    <row r="370" spans="36:36">
      <c r="AJ370" s="8"/>
    </row>
    <row r="371" spans="36:36">
      <c r="AJ371" s="8"/>
    </row>
    <row r="372" spans="36:36">
      <c r="AJ372" s="8"/>
    </row>
    <row r="373" spans="36:36">
      <c r="AJ373" s="8"/>
    </row>
    <row r="374" spans="36:36">
      <c r="AJ374" s="8"/>
    </row>
    <row r="375" spans="36:36">
      <c r="AJ375" s="8"/>
    </row>
    <row r="376" spans="36:36">
      <c r="AJ376" s="8"/>
    </row>
    <row r="377" spans="36:36">
      <c r="AJ377" s="8"/>
    </row>
    <row r="378" spans="36:36">
      <c r="AJ378" s="8"/>
    </row>
    <row r="379" spans="36:36">
      <c r="AJ379" s="8"/>
    </row>
    <row r="380" spans="36:36">
      <c r="AJ380" s="8"/>
    </row>
    <row r="381" spans="36:36">
      <c r="AJ381" s="8"/>
    </row>
    <row r="382" spans="36:36">
      <c r="AJ382" s="8"/>
    </row>
    <row r="383" spans="36:36">
      <c r="AJ383" s="8"/>
    </row>
    <row r="384" spans="36:36">
      <c r="AJ384" s="8"/>
    </row>
    <row r="385" spans="36:36">
      <c r="AJ385" s="8"/>
    </row>
    <row r="386" spans="36:36">
      <c r="AJ386" s="8"/>
    </row>
    <row r="387" spans="36:36">
      <c r="AJ387" s="8"/>
    </row>
    <row r="388" spans="36:36">
      <c r="AJ388" s="8"/>
    </row>
    <row r="389" spans="36:36">
      <c r="AJ389" s="8"/>
    </row>
    <row r="390" spans="36:36">
      <c r="AJ390" s="8"/>
    </row>
    <row r="391" spans="36:36">
      <c r="AJ391" s="8"/>
    </row>
    <row r="392" spans="36:36">
      <c r="AJ392" s="8"/>
    </row>
    <row r="393" spans="36:36">
      <c r="AJ393" s="8"/>
    </row>
    <row r="394" spans="36:36">
      <c r="AJ394" s="8"/>
    </row>
    <row r="395" spans="36:36">
      <c r="AJ395" s="8"/>
    </row>
    <row r="396" spans="36:36">
      <c r="AJ396" s="8"/>
    </row>
    <row r="397" spans="36:36">
      <c r="AJ397" s="8"/>
    </row>
  </sheetData>
  <mergeCells count="1">
    <mergeCell ref="A10:B10"/>
  </mergeCells>
  <phoneticPr fontId="9" type="noConversion"/>
  <pageMargins left="0.75" right="0.75" top="1" bottom="1" header="0.5" footer="0.5"/>
  <pageSetup orientation="portrait" r:id="rId1"/>
  <headerFooter alignWithMargins="0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root xmlns="urn:NextGen/PropertyType/DocumentMetadata">
  <DocumentMetadata xmlns="" xmlns:xsi="http://www.w3.org/2001/XMLSchema-instance" xmlns:xsd="http://www.w3.org/2001/XMLSchema" Id="11941630" ReadOnly="true" OriginalId="11941630" Date="2018-11-30" PageCount="2" Class="Standard" FileType="ExcelM" Quality="Production" Type="Generic" Style="BlueDiamond" Title="BofAML Credit Strategy Research" TitleUnlocked="true" TitleDiscipline="Credit Strategy" TitleIndustry="" TitleRegion="United States" SubTitle="Cross Currency Yields" Header="" DisplayRating="" DisplayRatingModifier="" DisplaySubject="" Url="http://researchauthoring.bankofamerica.com/Analyst/Femac/Team1277/Products/BofAML Credit Strategy Research_11941630.xlsm" ExternalUrl="http://research1.ml.com/C?q=ETZKvWEOqaY" ResearchUrl="http://rsch.baml.com/r?q=ETZKvWEOqaY" DataProduct="true" CustomDictionaryLanguage="EnglishUS" FrontPageValues="Credit Strategy&#10;United States" FrontPageEquityValues="United States" FrontPageDiscipline="Credit Strategy | " MimeType="application/vnd.ms-excel.sheet.macroEnabled.12">
    <Created Login="CORP\NBK2JSR" Name="Seliger, Yuri - RSCH AMRS" Time="2018-11-30T09:00:55.63-05:00"/>
    <Updated Login="CORP\NBK2JSR" Name="Seliger, Yuri - RSCH AMRS" Time="2018-11-30T09:02:02.293-05:00"/>
    <CheckedOut Login="CORP\nbk2clw" Name="Schiffman, Michael - RSCH AMRS" Time="2018-11-30T10:09:25-05:00"/>
    <Synopsis>The spreadsheet calculates cross currency spreads and yields for corporate bonds denominated in USD, EUR and GBP. Calculations include full hedge to maturity and partial hedge based on FX forwards.</Synopsis>
    <Distribution GrisKey="XL2BBG" ResearchAlert="true" IncludeMacros="true">
      <Director>1DRLOGIC,1B93401,1B934106</Director>
      <Date xsi:nil="true"/>
      <ReleaseTime xsi:nil="true"/>
      <PublishDate xsi:nil="true"/>
    </Distribution>
    <Workflow State="Submitted" Action="ApproveContent" CanCheckOut="true">
      <Events>
        <DocumentEvent Login="CORP\nbszuin" Time="2018-11-30T09:01:00.193-05:00" Id="27626801" Version="512" Event="CheckIn" State="Draft"/>
        <DocumentEvent Login="CORP\nbszuin" Time="2018-11-30T09:01:00.263-05:00" Id="27626802" Version="512" Event="CheckOut" State="Draft"/>
        <DocumentEvent Login="CORP\NBK2JSR" Time="2018-11-30T09:01:09.85-05:00" Id="27626804" Version="512" Event="CheckIn" State="Draft"/>
        <DocumentEvent Login="CORP\NBK2JSR" Time="2018-11-30T09:02:03.03-05:00" Id="27626808" Version="512" Event="Submitted" State="Submitted"/>
        <DocumentEvent Login="CORP\NBK2CLW" Time="2018-11-30T10:09:25.07-05:00" Id="27627186" Version="512" Event="CheckOut" State="Submitted"/>
      </Events>
      <SubmitDate>2018-11-30T09:01:07.8917668-05:00</SubmitDate>
      <NewClient xsi:nil="true"/>
      <ManagerInvolved xsi:nil="true"/>
      <RRCDisclosureRequired xsi:nil="true"/>
      <RRCReviewed xsi:nil="true"/>
    </Workflow>
    <Context Version="2018.3.3.1" MachineName="FA08CFDC26977">
      <Application Type="Excel" Version="14.0.7214"/>
      <Created Login="CORP\nbk2clw" Time="2018-11-30T10:09:36.7774957-05:00"/>
      <User Id="1371" Name="Michael Schiffman" WorkerId="31786" LoginName="NBK2CLW" DomainName="CORP" Environment="" GrisAnalystCode="801017" FirstName="Michael" LastName="Schiffman" JobRole="ANALYST" Title="Supervisory Analyst" Email="michael.schiffman@baml.com" OfficePhone="+1 646 556 2959" ShowOrganization="true" ShowTitle="true" ShowOfficePhone="true" ShowEmail="true" ComplianceOffice="New York" OperationOffice="New York" EditingOffice="New York" BusinessUnit="GL RESEARCH">
        <OverTheWallDate xsi:nil="true"/>
        <Organization Id="6" Name="MLPF&amp;S"/>
        <Department Id="1720"/>
        <Country Id="1423" Name="United States" IsoCode="USA"/>
        <Region Id="34855" Name="Americas"/>
        <Roles>
          <Role Id="4" Name="Compliance"/>
        </Roles>
        <RDRRoles>
          <Role Id="9" Name="SA Review Role"/>
          <Role Id="10" Name="Compliance Support"/>
          <Role Id="12" Name="GATR Management"/>
          <Role Id="55" Name="NG User"/>
          <Role Id="1156" Name="FX Compliance"/>
          <Role Id="1158" Name="Macro Compliance"/>
          <Role Id="1175" Name="FX View"/>
          <Role Id="1176" Name="MACRO View"/>
          <Role Id="1256" Name="Reporting – Compliance General"/>
          <Role Id="1328" Name="RDW COMPLIANCE"/>
        </RDRRoles>
      </User>
      <Settings>
        <SerializableHashtable>
          <Item>
            <Key>SystemSettings</Key>
            <Value DeclaringType="ML.Rsch.Raw.Client.Authoring2.UI.Configuration.SystemSettings" Assembly="ML.Rsch.Raw.Client.Authoring2.UI">
              <SystemSettings xmlns:xsi="http://www.w3.org/2001/XMLSchema-instance" xmlns:xsd="http://www.w3.org/2001/XMLSchema"/>
            </Value>
          </Item>
        </SerializableHashtable>
      </Settings>
    </Context>
    <Category Id="28" Name="Spreadsheet"/>
    <Template Id="414" Name="Excel Credit Model English (Blue Diamond)" Url="\\Liveupdate.rsch.ml.com\notouch\Production\NextGen\Authoring2\Templates\Excel\Excel Credit Model English BD.xltx" Title="English Credit Model" Style="BlueDiamond" Active="true"/>
    <Profile Id="46292" Name="Cross Currency Yields" Active="true">
      <Group Id="11001" Name="Crossover-HY-HG-Credit Industry Strategy" Active="true"/>
      <Team Id="8c796962-98e0-4fa8-95c9-20855d6af663" Name="Shchuchinov, Yuriy" CanSubmit="true" Active="true" SiteUrl="http://researchauthoring.bankofamerica.com/Analyst/Femac/Team1277">
        <TimeZone Id="10" Name="Eastern Time" DisplayName="(GMT-05:00) Eastern Time (US &amp; Canada)"/>
        <Primary Id="14369" Name="Yuri Seliger" LoginName="NBK2JSR" DomainName="CORP" GrisAnalystCode="102041" FirstName="Yuri" LastName="Seliger" JobRole="Strategist" Title="Credit Strategist" Email="yuri.seliger@baml.com" OfficePhone="+1 646 855 7209" PublishApproved="true" ComplianceOffice="New York" OperationOffice="New York" EditingOffice="New York">
          <OverTheWallDate xsi:nil="true"/>
          <Organization Id="6" Name="MLPF&amp;S"/>
          <Country Id="1423" Name="United States" IsoCode="USA"/>
          <Region Id="34855" Name="Americas"/>
          <RDRRoles>
            <Role Id="31" Name="Team Analyst"/>
            <Role Id="55" Name="NG User"/>
            <Role Id="1095" Name="Analyst Assistant"/>
            <Role Id="1657" Name="Voice Blast Research User"/>
            <Role Id="1910" Name="GBV AMRS FICC Research Junior"/>
            <Role Id="1975" Name="Authenticated Conference Calls"/>
          </RDRRoles>
        </Primary>
      </Team>
    </Profile>
    <Priority Id="3" ReadOnly="true" Name="3 - Low"/>
    <AnalystTeams>
      <RDRGroup Id="4918" ReadOnly="true" AnalysisOffered="true" Type="Primary" Name="US IG Credit Strategy">
        <BusinessType Id="4406" Name="Credit Strategy"/>
      </RDRGroup>
    </AnalystTeams>
    <Languages>
      <Language Id="1" ReadOnly="true" AnalysisOffered="true" Type="Primary" Name="ENGLISH" Code="eng" Culture="en-US" DateFormat="dd MMMM yyyy"/>
    </Languages>
    <Authors>
      <Person Id="14369" ReadOnly="true" AnalysisOffered="true" Type="Primary" Name="Yuri Seliger" Index="15" WorkerId="615C5" LoginName="NBK2JSR" DomainName="CORP" GrisAnalystCode="102041" FirstName="Yuri" LastName="Seliger" JobRole="Strategist" Title="Credit Strategist" Email="yuri.seliger@baml.com" OfficePhone="+1 646 855 7209" PublishApproved="true" AuthorBlock="true" VisibleOnReport="true" ShowOrganization="true" ShowTitle="true" ShowOfficePhone="true" ShowEmail="true" IncludeRSEmail="true" Readership="true" Searchable="true" ComplianceOffice="New York" OperationOffice="New York" EditingOffice="New York" BusinessUnit="GL RESEARCH" PSS="New York">
        <OverTheWallDate xsi:nil="true"/>
        <Organization Id="6" Name="MLPF&amp;S"/>
        <Country Id="1423" Name="United States" IsoCode="USA"/>
        <Region Id="34855" Name="Americas"/>
      </Person>
    </Authors>
    <AssetClasses>
      <AssetClass Id="77" ReadOnly="true" AnalysisOffered="true" Type="Primary" Name="FixedIncome"/>
    </AssetClasses>
    <AssetTypes>
      <AssetType Id="7" ReadOnly="true" AnalysisOffered="true" Type="Primary" Name="CorporateInvestmentGradeCredit"/>
    </AssetTypes>
    <Subjects>
      <Subject Id="82" ReadOnly="true" AnalysisOffered="true" Type="Primary" Name="No Subject" Priority="Low"/>
    </Subjects>
    <Audiences>
      <Audience Id="24" ReadOnly="true" Name="Institutional-External"/>
      <Audience Id="25" ReadOnly="true" Name="Institutional-Internal"/>
    </Audiences>
    <Disciplines>
      <Discipline Id="42001" ReadOnly="true" AnalysisOffered="true" Type="Primary" Name="Strategy"/>
    </Disciplines>
    <MLDisciplines>
      <MLDiscipline Id="69880" ReadOnly="true" AnalysisOffered="true" Type="Primary" Name="Credit Strategy" Code="62"/>
    </MLDisciplines>
    <Countries>
      <Country Id="1423" ReadOnly="true" AnalysisOffered="true" Type="Primary" Name="United States" IsoCode="USA" Iso2Code="US"/>
    </Countries>
    <FocusAreas>
      <FocusArea Id="7" ReadOnly="true" AnalysisOffered="true" Type="Primary" Name="AssetType"/>
    </FocusAreas>
    <Footnotes>
      <Footnote Id="101384" Name="Spreadsheet Product" FootnoteCode="P91" DisplayOrder="20" State="SystemSupplied">
        <ModifiedAt xsi:nil="true"/>
      </Footnote>
      <Footnote Id="93665" Name="ML &amp; BofA Name Definitions" FootnoteCode="P51" DisplayOrder="2620" State="SystemSupplied">
        <ModifiedAt xsi:nil="true"/>
      </Footnote>
      <Footnote Id="94305" Name="Non-US Affiliate subheader - Data" FootnoteCode="P26m" DisplayOrder="2640" State="SystemSupplied">
        <ModifiedAt xsi:nil="true"/>
      </Footnote>
      <Footnote Id="93971" Name="Non-US Affiliates" FootnoteCode="P18r" DisplayOrder="2650" State="SystemSupplied">
        <ModifiedAt xsi:nil="true"/>
      </Footnote>
      <Footnote Id="93972" Name="Global Affiliate Disclaimer" FootnoteCode="P21r" DisplayOrder="2660" State="SystemSupplied">
        <ModifiedAt xsi:nil="true"/>
      </Footnote>
      <Footnote Id="93976" Name="Global Affiliates" FootnoteCode="P20r" DisplayOrder="2690" State="SystemSupplied">
        <ModifiedAt xsi:nil="true"/>
      </Footnote>
      <Footnote Id="93667" Name="General Investment Header" FootnoteCode="P53" DisplayOrder="2720" State="SystemSupplied">
        <ModifiedAt xsi:nil="true"/>
      </Footnote>
      <Footnote Id="110800" Name="Taiwan Readers" FootnoteCode="P102" DisplayOrder="2721" State="SystemSupplied">
        <ModifiedAt xsi:nil="true"/>
      </Footnote>
      <Footnote Id="93977" Name="Trading &amp; IBK Solicitation" FootnoteCode="02r" DisplayOrder="2730" State="SystemSupplied">
        <ModifiedAt xsi:nil="true"/>
      </Footnote>
      <Footnote Id="93668" Name="No FDIC" FootnoteCode="P54" DisplayOrder="2740" State="SystemSupplied">
        <ModifiedAt xsi:nil="true"/>
      </Footnote>
      <Footnote Id="93672" Name="Trading Ideas" FootnoteCode="P58" DisplayOrder="2830" State="SystemSupplied">
        <ModifiedAt xsi:nil="true"/>
      </Footnote>
      <Footnote Id="98433" Name="Investment Advisor MLPF&amp;S" FootnoteCode="P87" DisplayOrder="2842" State="SystemSupplied">
        <ModifiedAt xsi:nil="true"/>
      </Footnote>
      <Footnote Id="95213" Name="Copyright Header - Fixed Income, Data" FootnoteCode="P75d" DisplayOrder="2855" State="SystemSupplied">
        <ModifiedAt xsi:nil="true"/>
      </Footnote>
      <Footnote Id="93981" Name="Standard Copyright" FootnoteCode="01r" DisplayOrder="2860" State="SystemSupplied">
        <ModifiedAt xsi:nil="true"/>
      </Footnote>
      <Footnote Id="93674" Name="IBK and Legal Info" FootnoteCode="P60" DisplayOrder="2870" State="SystemSupplied">
        <ModifiedAt xsi:nil="true"/>
      </Footnote>
      <Footnote Id="93675" Name="Issuer Independent" FootnoteCode="P61" DisplayOrder="2880" State="SystemSupplied">
        <ModifiedAt xsi:nil="true"/>
      </Footnote>
      <Footnote Id="93677" Name="Third-party Websites" FootnoteCode="P63" DisplayOrder="2900" State="SystemSupplied">
        <ModifiedAt xsi:nil="true"/>
      </Footnote>
      <Footnote Id="95019" Name="BofA publishing updates" FootnoteCode="P77" DisplayOrder="2902" State="SystemSupplied">
        <ModifiedAt xsi:nil="true"/>
      </Footnote>
      <Footnote Id="98164" Name="Compilation - Restriction Disclosure1 - Data" FootnoteCode="P83m" DisplayOrder="2915" State="SystemSupplied">
        <ModifiedAt xsi:nil="true"/>
      </Footnote>
      <Footnote Id="98165" Name="Compilation - Restriction Disclosure2 - Data" FootnoteCode="P84m" DisplayOrder="2916" State="SystemSupplied">
        <ModifiedAt xsi:nil="true"/>
      </Footnote>
      <Footnote Id="93679" Name="No Liability" FootnoteCode="P65" DisplayOrder="2920" State="SystemSupplied">
        <ModifiedAt xsi:nil="true"/>
      </Footnote>
    </Footnotes>
    <Files>
      <DocumentFile Url="http://researchauthoring.bankofamerica.com/Analyst/Femac/Team1277/Products/BofAML Credit Strategy Research_11941630.xlsm" Type="ExcelM" MimeType="application/vnd.ms-excel.sheet.macroEnabled.12" Date="2018-11-30T14:01:10-05:00" State="Submitted"/>
      <DocumentFile ReadOnly="true" Url="http://researchauthoring-apac.bankofamerica.com/Replication2/Products/BofAML Credit Strategy Research_11941630.xlsm" Type="ExcelM" MimeType="application/vnd.ms-excel.sheet.macroEnabled.12" Date="2018-11-30T14:01:14-05:00" State="Submitted"/>
    </Files>
    <Audit>
      <DocumentAudit Login="CORP\NBK2JSR" Time="2018-11-30T08:52:42.7617675-05:00" Event="EnrichMetadata" State="Draft" Version="2018.3.3.1" MachineName="WLTWSBGQEOT"/>
      <DocumentAudit Login="CORP\NBK2JSR" Time="2018-11-30T08:52:42.7837742-05:00" Event="CreateMetadata" State="Draft" Version="2018.3.3.1" MachineName="WLTWSBGQEOT" Details="Cross Currency Yields (46292)"/>
      <DocumentAudit Login="CORP\NBK2JSR" Time="2018-11-30T08:52:56.6434744-05:00" Event="UpdateMetadata" State="Draft" Version="2018.3.3.1" MachineName="WLTWSBGQEOT" Details="Cross Currency Yields (46292)"/>
      <DocumentAudit Login="CORP\NBK2JSR" Time="2018-11-30T08:52:56.8584857-05:00" Event="EnrichMetadata" State="Draft" Version="2018.3.3.1" MachineName="WLTWSBGQEOT"/>
      <DocumentAudit Login="CORP\NBK2JSR" Time="2018-11-30T08:52:57.4515158-05:00" Event="GetDisclosures" State="Draft" Version="2018.3.3.1" MachineName="WLTWSBGQEOT"/>
      <DocumentAudit Login="CORP\NBK2JSR" Time="2018-11-30T09:00:25.4914037-05:00" Event="UpdateMetadata" State="Draft" Version="2018.3.3.1" MachineName="WLTWSBGSEOT" Details="Cross Currency Yields (46292)"/>
      <DocumentAudit Login="CORP\NBK2JSR" Time="2018-11-30T09:00:25.7054158-05:00" Event="EnrichMetadata" State="Draft" Version="2018.3.3.1" MachineName="WLTWSBGSEOT"/>
      <DocumentAudit Login="CORP\NBK2JSR" Time="2018-11-30T09:00:26.2814784-05:00" Event="GetDisclosures" State="Draft" Version="2018.3.3.1" MachineName="WLTWSBGSEOT"/>
      <DocumentAudit Login="CORP\NBK2JSR" Time="2018-11-30T09:00:55.4629435-05:00" Event="EnrichMetadata" State="Draft" Version="2018.3.3.1" MachineName="WLTWSBGSEOT"/>
      <DocumentAudit Login="CORP\NBK2JSR" Time="2018-11-30T09:00:55.4879437-05:00" Id="11941630" Event="CreateDocument" State="Draft" Version="2018.3.3.1" MachineName="WLTWSBGSEOT"/>
      <DocumentAudit Login="CORP\NBK2JSR" Time="2018-11-30T09:01:03.6263563-05:00" Id="11941630" Event="UpdateMetadata" State="Draft" Version="2018.3.3.1" MachineName="WLTWSBGSEOT" Details="Cross Currency Yields (46292)"/>
      <DocumentAudit Login="CORP\NBK2JSR" Time="2018-11-30T09:01:03.8463626-05:00" Id="11941630" Event="EnrichMetadata" State="Draft" Version="2018.3.3.1" MachineName="WLTWSBGSEOT"/>
      <DocumentAudit Login="CORP\NBK2JSR" Time="2018-11-30T09:01:04.0223915-05:00" Id="11941630" Event="GetDisclosures" State="Draft" Version="2018.3.3.1" MachineName="WLTWSBGSEOT"/>
      <DocumentAudit Login="CORP\NBK2CLW" Time="2018-11-30T10:09:33.3115198-05:00" Id="11941630" Event="EnrichMetadata" State="Submitted" Version="2018.3.3.1" MachineName="WLTWSBGREOT"/>
    </Audit>
    <Alerts/>
    <Properties>
      <Item Key="Action.1" Value="1"/>
      <Item Key="Action.1090" Value="1"/>
    </Properties>
    <Summary>
      <Contents>
        <ul xmlns="">
          <li xml:space="preserve">The spreadsheet calculates cross currency spreads and yields for corporate bonds denominated in USD, EUR and GBP.</li>
          <li xml:space="preserve">Calculations include full hedge to maturity and partial hedge based on FX forwards.</li>
        </ul>
      </Contents>
      <Settings Required="true">
        <Count MinValue="2" MaxValue="3"/>
        <Length MinValue="50" MaxValue="125"/>
      </Settings>
    </Summary>
  </DocumentMetadata>
</root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42515C415F28B448AD71F773DB3732E" ma:contentTypeVersion="" ma:contentTypeDescription="Create a new document." ma:contentTypeScope="" ma:versionID="aa0e81eb9eee5773eda5cfd7bf840c32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f3e687d5f98ee29b9cfcc2ff24550dc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<?xml version="1.0" encoding="utf-8"?>
<root xmlns="urn:NextGen/PropertyType/LandingAreas">
  <ArrayOfComponentLandingArea xmlns="" xmlns:xsi="http://www.w3.org/2001/XMLSchema-instance" xmlns:xsd="http://www.w3.org/2001/XMLSchema">
    <ComponentLandingArea Id="122" Name="Excel Model Info" Bookmark="iQ ML_Model_Info">
      <RefreshableComponents>
        <RefreshableComponent Id="1251" Name="Excel Model Info.xml" FamilyId="37" FamilyName="Excel Model Info" ComponentType="Regulatory" ProcessingType="Metadata" RefreshOnFileNew="true" DataOnly="true" AutoFit="true" Version="1" FriendlyName="Excel Metadata" BookmarkName="Info" LandingArea="iQ ML_Model_Info" SpaceAfter="0.00">
          <Audit Login="CORP\nbk2jsr" Time="2018-11-30T09:01:04.2487668-05:00"/>
          <Xml>
            <Metadata xmlns="" Title="BofAML Credit Strategy Research" SubTitle="Cross Currency Yields" Date="30-Nov-18" Discipline="Credit Strategy">
              <Author OfficePhone="+1 646 855 7209" Email="yuri.seliger@baml.com" Name="Yuri Seliger"/>
            </Metadata>
          </Xml>
        </RefreshableComponent>
        <RefreshableComponent Id="1247" Name="ExcelX Footnotes.xml" Position="1" FamilyId="125" FamilyName="Excel Disclaimer" ComponentType="Regulatory" ProcessingType="Metadata" RefreshOnFileNew="true" AutoFit="true" Version="1" FriendlyName="Excel Footnotes" BookmarkName="__la_DisclaimerFront" LandingArea="iQ ML_Model_Info" SpaceAfter="0.00">
          <Audit Login="CORP\nbk2jsr" Time="2018-11-30T09:01:04.8097668-05:00"/>
        </RefreshableComponent>
      </RefreshableComponents>
    </ComponentLandingArea>
  </ArrayOfComponentLandingArea>
</root>
</file>

<file path=customXml/itemProps1.xml><?xml version="1.0" encoding="utf-8"?>
<ds:datastoreItem xmlns:ds="http://schemas.openxmlformats.org/officeDocument/2006/customXml" ds:itemID="{D3FB225D-53D2-436D-9D0D-5FE471B9736C}">
  <ds:schemaRefs>
    <ds:schemaRef ds:uri="urn:NextGen/PropertyType/DocumentMetadata"/>
    <ds:schemaRef ds:uri=""/>
    <ds:schemaRef ds:uri="http://www.w3.org/2001/XMLSchema"/>
  </ds:schemaRefs>
</ds:datastoreItem>
</file>

<file path=customXml/itemProps2.xml><?xml version="1.0" encoding="utf-8"?>
<ds:datastoreItem xmlns:ds="http://schemas.openxmlformats.org/officeDocument/2006/customXml" ds:itemID="{82DB1302-901C-4D01-B734-5B04E97AD3F6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8E5AE8D2-DAB6-45BA-908B-E773BB60E7E0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5AFA136B-DD35-4A0D-A442-7BBCD2940FA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5.xml><?xml version="1.0" encoding="utf-8"?>
<ds:datastoreItem xmlns:ds="http://schemas.openxmlformats.org/officeDocument/2006/customXml" ds:itemID="{FFA73D62-D7E1-4E5D-BB53-0AC8C7668068}">
  <ds:schemaRefs>
    <ds:schemaRef ds:uri="urn:NextGen/PropertyType/LandingAreas"/>
    <ds:schemaRef ds:uri=""/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Cross_currency</vt:lpstr>
      <vt:lpstr>bondID</vt:lpstr>
      <vt:lpstr>ISpread</vt:lpstr>
      <vt:lpstr>recovery</vt:lpstr>
      <vt:lpstr>recovery_bond</vt:lpstr>
    </vt:vector>
  </TitlesOfParts>
  <Company>Bank of America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BofAML Credit Strategy Research</dc:title>
  <dc:subject>No Subject</dc:subject>
  <dc:creator>Yuri Seliger</dc:creator>
  <cp:keywords>a0756e9488d652a8</cp:keywords>
  <dc:description>RSCH Authoring 2018.3.3.1</dc:description>
  <cp:lastModifiedBy>Brian Fagan</cp:lastModifiedBy>
  <dcterms:created xsi:type="dcterms:W3CDTF">2011-09-23T20:30:06Z</dcterms:created>
  <dcterms:modified xsi:type="dcterms:W3CDTF">2020-02-25T12:02:23Z</dcterms:modified>
  <cp:category>Spreadsheet</cp:category>
  <dc:language>ENGLISH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ductId">
    <vt:lpwstr>11941630</vt:lpwstr>
  </property>
  <property fmtid="{D5CDD505-2E9C-101B-9397-08002B2CF9AE}" pid="3" name="ContentTypeId">
    <vt:lpwstr>0x010100242515C415F28B448AD71F773DB3732E</vt:lpwstr>
  </property>
  <property fmtid="{D5CDD505-2E9C-101B-9397-08002B2CF9AE}" pid="4" name="Url">
    <vt:lpwstr>http://rsch.baml.com/r?q=ETZKvWEOqaY</vt:lpwstr>
  </property>
  <property fmtid="{D5CDD505-2E9C-101B-9397-08002B2CF9AE}" pid="5" name="Subtitle">
    <vt:lpwstr>Cross Currency Yields</vt:lpwstr>
  </property>
  <property fmtid="{D5CDD505-2E9C-101B-9397-08002B2CF9AE}" pid="6" name="Date">
    <vt:lpwstr>30 November 2018</vt:lpwstr>
  </property>
</Properties>
</file>