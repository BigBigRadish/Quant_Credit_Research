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-15" yWindow="45" windowWidth="19080" windowHeight="12165"/>
  </bookViews>
  <sheets>
    <sheet name="Rich Cheap" sheetId="5" r:id="rId1"/>
  </sheets>
  <definedNames>
    <definedName name="IQ_CH" hidden="1">110000</definedName>
    <definedName name="IQ_CQ" hidden="1">5000</definedName>
    <definedName name="IQ_CY" hidden="1">10000</definedName>
    <definedName name="IQ_DAILY" hidden="1">500000</definedName>
    <definedName name="IQ_FH" hidden="1">100000</definedName>
    <definedName name="IQ_FQ" hidden="1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 hidden="1">1000</definedName>
    <definedName name="IQ_LATESTK" hidden="1">1000</definedName>
    <definedName name="IQ_LATESTQ" hidden="1">500</definedName>
    <definedName name="IQ_LTM" hidden="1">2000</definedName>
    <definedName name="IQ_LTMMONTH" hidden="1">120000</definedName>
    <definedName name="IQ_MONTH" hidden="1">15000</definedName>
    <definedName name="IQ_NAMES_REVISION_DATE_" hidden="1">40976.6197106481</definedName>
    <definedName name="IQ_NTM" hidden="1">6000</definedName>
    <definedName name="IQ_TODAY" hidden="1">0</definedName>
    <definedName name="IQ_WEEK" hidden="1">50000</definedName>
    <definedName name="IQ_YTD" hidden="1">3000</definedName>
    <definedName name="IQ_YTDMONTH" hidden="1">130000</definedName>
  </definedNames>
  <calcPr calcId="145621"/>
</workbook>
</file>

<file path=xl/calcChain.xml><?xml version="1.0" encoding="utf-8"?>
<calcChain xmlns="http://schemas.openxmlformats.org/spreadsheetml/2006/main">
  <c r="F31" i="5" l="1"/>
  <c r="F30" i="5"/>
  <c r="E31" i="5" l="1"/>
  <c r="E5" i="5"/>
  <c r="G5" i="5" s="1"/>
  <c r="E7" i="5"/>
  <c r="E8" i="5"/>
  <c r="E11" i="5"/>
  <c r="E6" i="5"/>
  <c r="E21" i="5"/>
  <c r="E9" i="5"/>
  <c r="E10" i="5"/>
  <c r="E17" i="5"/>
  <c r="E15" i="5"/>
  <c r="E14" i="5"/>
  <c r="E13" i="5"/>
  <c r="E18" i="5"/>
  <c r="E24" i="5"/>
  <c r="E12" i="5"/>
  <c r="E20" i="5"/>
  <c r="E19" i="5"/>
  <c r="E16" i="5"/>
  <c r="E23" i="5"/>
  <c r="E22" i="5"/>
  <c r="E26" i="5"/>
  <c r="E25" i="5"/>
  <c r="E27" i="5"/>
  <c r="E28" i="5"/>
  <c r="G28" i="5" s="1"/>
  <c r="E4" i="5"/>
  <c r="G4" i="5" s="1"/>
  <c r="G24" i="5" l="1"/>
  <c r="G9" i="5"/>
  <c r="G12" i="5"/>
  <c r="G21" i="5"/>
  <c r="G15" i="5"/>
  <c r="G20" i="5"/>
  <c r="G25" i="5"/>
  <c r="G26" i="5"/>
  <c r="G18" i="5"/>
  <c r="G6" i="5"/>
  <c r="G11" i="5"/>
  <c r="G22" i="5"/>
  <c r="G8" i="5"/>
  <c r="G14" i="5"/>
  <c r="G23" i="5"/>
  <c r="G7" i="5"/>
  <c r="G10" i="5"/>
  <c r="G13" i="5"/>
  <c r="G16" i="5"/>
  <c r="G27" i="5"/>
  <c r="G19" i="5"/>
  <c r="G17" i="5"/>
  <c r="C30" i="5" l="1"/>
  <c r="C31" i="5"/>
  <c r="D6" i="5" l="1"/>
  <c r="I6" i="5" s="1"/>
  <c r="M6" i="5" s="1"/>
  <c r="O6" i="5" s="1"/>
  <c r="D25" i="5"/>
  <c r="I25" i="5" s="1"/>
  <c r="M25" i="5" s="1"/>
  <c r="O25" i="5" s="1"/>
  <c r="D14" i="5"/>
  <c r="I14" i="5" s="1"/>
  <c r="D12" i="5"/>
  <c r="D4" i="5"/>
  <c r="I4" i="5" s="1"/>
  <c r="M4" i="5" s="1"/>
  <c r="O4" i="5" s="1"/>
  <c r="I12" i="5"/>
  <c r="M12" i="5" s="1"/>
  <c r="O12" i="5" s="1"/>
  <c r="M14" i="5"/>
  <c r="O14" i="5" s="1"/>
  <c r="D16" i="5"/>
  <c r="I16" i="5" s="1"/>
  <c r="M16" i="5" s="1"/>
  <c r="O16" i="5" s="1"/>
  <c r="D18" i="5"/>
  <c r="I18" i="5" s="1"/>
  <c r="M18" i="5" s="1"/>
  <c r="O18" i="5" s="1"/>
  <c r="D28" i="5"/>
  <c r="I28" i="5" s="1"/>
  <c r="M28" i="5" s="1"/>
  <c r="O28" i="5" s="1"/>
  <c r="D8" i="5"/>
  <c r="I8" i="5" s="1"/>
  <c r="M8" i="5" s="1"/>
  <c r="O8" i="5" s="1"/>
  <c r="D13" i="5"/>
  <c r="I13" i="5" s="1"/>
  <c r="M13" i="5" s="1"/>
  <c r="O13" i="5" s="1"/>
  <c r="D24" i="5"/>
  <c r="I24" i="5" s="1"/>
  <c r="M24" i="5" s="1"/>
  <c r="O24" i="5" s="1"/>
  <c r="D23" i="5"/>
  <c r="I23" i="5" s="1"/>
  <c r="M23" i="5" s="1"/>
  <c r="O23" i="5" s="1"/>
  <c r="D7" i="5"/>
  <c r="I7" i="5" s="1"/>
  <c r="M7" i="5" s="1"/>
  <c r="O7" i="5" s="1"/>
  <c r="D21" i="5"/>
  <c r="I21" i="5" s="1"/>
  <c r="M21" i="5" s="1"/>
  <c r="O21" i="5" s="1"/>
  <c r="D15" i="5"/>
  <c r="I15" i="5" s="1"/>
  <c r="M15" i="5" s="1"/>
  <c r="O15" i="5" s="1"/>
  <c r="D17" i="5"/>
  <c r="I17" i="5" s="1"/>
  <c r="M17" i="5" s="1"/>
  <c r="O17" i="5" s="1"/>
  <c r="D5" i="5"/>
  <c r="I5" i="5" s="1"/>
  <c r="D10" i="5"/>
  <c r="I10" i="5" s="1"/>
  <c r="M10" i="5" s="1"/>
  <c r="O10" i="5" s="1"/>
  <c r="D19" i="5"/>
  <c r="I19" i="5" s="1"/>
  <c r="M19" i="5" s="1"/>
  <c r="O19" i="5" s="1"/>
  <c r="D22" i="5"/>
  <c r="I22" i="5" s="1"/>
  <c r="M22" i="5" s="1"/>
  <c r="O22" i="5" s="1"/>
  <c r="D9" i="5"/>
  <c r="I9" i="5" s="1"/>
  <c r="M9" i="5" s="1"/>
  <c r="O9" i="5" s="1"/>
  <c r="D26" i="5"/>
  <c r="I26" i="5" s="1"/>
  <c r="M26" i="5" s="1"/>
  <c r="O26" i="5" s="1"/>
  <c r="D11" i="5"/>
  <c r="D27" i="5"/>
  <c r="I27" i="5" s="1"/>
  <c r="M27" i="5" s="1"/>
  <c r="O27" i="5" s="1"/>
  <c r="D20" i="5"/>
  <c r="M5" i="5" l="1"/>
  <c r="O5" i="5" s="1"/>
  <c r="I11" i="5"/>
  <c r="M11" i="5" s="1"/>
  <c r="O11" i="5" s="1"/>
  <c r="I20" i="5"/>
  <c r="M20" i="5" s="1"/>
  <c r="O20" i="5" s="1"/>
</calcChain>
</file>

<file path=xl/comments1.xml><?xml version="1.0" encoding="utf-8"?>
<comments xmlns="http://schemas.openxmlformats.org/spreadsheetml/2006/main">
  <authors>
    <author>Brian Fagan</author>
  </authors>
  <commentList>
    <comment ref="D1" authorId="0">
      <text>
        <r>
          <rPr>
            <b/>
            <sz val="9"/>
            <color indexed="81"/>
            <rFont val="Tahoma"/>
            <family val="2"/>
          </rPr>
          <t>Brian Fagan:</t>
        </r>
        <r>
          <rPr>
            <sz val="9"/>
            <color indexed="81"/>
            <rFont val="Tahoma"/>
            <family val="2"/>
          </rPr>
          <t xml:space="preserve">
Independent Variable (X-axis)
</t>
        </r>
      </text>
    </comment>
    <comment ref="G1" authorId="0">
      <text>
        <r>
          <rPr>
            <b/>
            <sz val="9"/>
            <color indexed="81"/>
            <rFont val="Tahoma"/>
            <family val="2"/>
          </rPr>
          <t>Brian Fagan:</t>
        </r>
        <r>
          <rPr>
            <sz val="9"/>
            <color indexed="81"/>
            <rFont val="Tahoma"/>
            <family val="2"/>
          </rPr>
          <t xml:space="preserve">
Dependent Variable (Y-axis)
</t>
        </r>
      </text>
    </comment>
    <comment ref="M1" authorId="0">
      <text>
        <r>
          <rPr>
            <b/>
            <sz val="9"/>
            <color indexed="81"/>
            <rFont val="Tahoma"/>
            <family val="2"/>
          </rPr>
          <t>Brian Fagan:</t>
        </r>
        <r>
          <rPr>
            <sz val="9"/>
            <color indexed="81"/>
            <rFont val="Tahoma"/>
            <family val="2"/>
          </rPr>
          <t xml:space="preserve">
EMBI stripped Spread + (Expected spread x St. Dev. Of EMBI stripped spread)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Brian Fagan:</t>
        </r>
        <r>
          <rPr>
            <sz val="9"/>
            <color indexed="81"/>
            <rFont val="Tahoma"/>
            <family val="2"/>
          </rPr>
          <t xml:space="preserve">
represents the amount of curvature in the data. If this coefficient was negative, the parabola would be upside down. </t>
        </r>
      </text>
    </comment>
    <comment ref="J2" authorId="0">
      <text>
        <r>
          <rPr>
            <b/>
            <sz val="9"/>
            <color indexed="81"/>
            <rFont val="Tahoma"/>
            <family val="2"/>
          </rPr>
          <t>Brian Fagan:</t>
        </r>
        <r>
          <rPr>
            <sz val="9"/>
            <color indexed="81"/>
            <rFont val="Tahoma"/>
            <family val="2"/>
          </rPr>
          <t xml:space="preserve">
represents the amount of overall upward or downward linear (straight-line) trend in the values of Y as you move along the X axis.If you were to calculate a linear trendine this coefficient is the slope of the line.
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Brian Fagan:</t>
        </r>
        <r>
          <rPr>
            <sz val="9"/>
            <color indexed="81"/>
            <rFont val="Tahoma"/>
            <family val="2"/>
          </rPr>
          <t xml:space="preserve">
Represents the overall position of the curve up and down the Y axis; for example, an increase of 1 unit shifts the whole curve up the Y axis by 1 unit.</t>
        </r>
      </text>
    </comment>
    <comment ref="I3" authorId="0">
      <text>
        <r>
          <rPr>
            <b/>
            <sz val="9"/>
            <color indexed="81"/>
            <rFont val="Tahoma"/>
            <family val="2"/>
          </rPr>
          <t>Brian Fagan:</t>
        </r>
        <r>
          <rPr>
            <sz val="9"/>
            <color indexed="81"/>
            <rFont val="Tahoma"/>
            <family val="2"/>
          </rPr>
          <t xml:space="preserve">
Predicted value for the dependent variable</t>
        </r>
      </text>
    </comment>
    <comment ref="D29" authorId="0">
      <text>
        <r>
          <rPr>
            <b/>
            <sz val="9"/>
            <color indexed="81"/>
            <rFont val="Tahoma"/>
            <family val="2"/>
          </rPr>
          <t>Brian Fagan:</t>
        </r>
        <r>
          <rPr>
            <sz val="9"/>
            <color indexed="81"/>
            <rFont val="Tahoma"/>
            <family val="2"/>
          </rPr>
          <t xml:space="preserve">
Actual Values</t>
        </r>
      </text>
    </comment>
  </commentList>
</comments>
</file>

<file path=xl/sharedStrings.xml><?xml version="1.0" encoding="utf-8"?>
<sst xmlns="http://schemas.openxmlformats.org/spreadsheetml/2006/main" count="43" uniqueCount="42">
  <si>
    <t>China</t>
  </si>
  <si>
    <t>Indonesia</t>
  </si>
  <si>
    <t>Malaysia</t>
  </si>
  <si>
    <t>Philippines</t>
  </si>
  <si>
    <t>Brazil</t>
  </si>
  <si>
    <t>Argentina</t>
  </si>
  <si>
    <t>Mexico</t>
  </si>
  <si>
    <t>Venezuela</t>
  </si>
  <si>
    <t>Russia</t>
  </si>
  <si>
    <t>Turkey</t>
  </si>
  <si>
    <t>South Africa</t>
  </si>
  <si>
    <t>Chile</t>
  </si>
  <si>
    <t>Colombia</t>
  </si>
  <si>
    <t>Ecuador</t>
  </si>
  <si>
    <t>Hungary</t>
  </si>
  <si>
    <t>Kazakhstan</t>
  </si>
  <si>
    <t>Peru</t>
  </si>
  <si>
    <t>Poland</t>
  </si>
  <si>
    <t>Ukraine</t>
  </si>
  <si>
    <t>Vietnam</t>
  </si>
  <si>
    <t>Egypt</t>
  </si>
  <si>
    <t>Pakistan</t>
  </si>
  <si>
    <t>Panama</t>
  </si>
  <si>
    <t>Uruguay</t>
  </si>
  <si>
    <t>Sri Lanka</t>
  </si>
  <si>
    <t>Stripped Spread</t>
  </si>
  <si>
    <t>Index</t>
  </si>
  <si>
    <t>Country</t>
  </si>
  <si>
    <t>Average</t>
  </si>
  <si>
    <t>St. Deviation</t>
  </si>
  <si>
    <t>*Goal of polynomial regression: Model a non-linear relationship between the independent and dependent variables</t>
  </si>
  <si>
    <t>Y-Intercept</t>
  </si>
  <si>
    <t>X^2 Coefficient</t>
  </si>
  <si>
    <t>X Coefiiceint</t>
  </si>
  <si>
    <t>Rich/Cheap Spread</t>
  </si>
  <si>
    <t>EMBI Global Diversified</t>
  </si>
  <si>
    <t>Expected Spread</t>
  </si>
  <si>
    <t>Index Z-stat</t>
  </si>
  <si>
    <t>Stripped spread  Z-stat</t>
  </si>
  <si>
    <t>Date</t>
  </si>
  <si>
    <r>
      <rPr>
        <b/>
        <sz val="10"/>
        <rFont val="Arial"/>
        <family val="2"/>
      </rPr>
      <t>R^2 (Coefficient of Determination)</t>
    </r>
    <r>
      <rPr>
        <sz val="10"/>
        <rFont val="Arial"/>
        <family val="2"/>
      </rPr>
      <t>: A 0.8859 R^2 indicates that roughly 89% of the variance in (Y-dependent variable) is predictable from (X-independent variable)</t>
    </r>
  </si>
  <si>
    <t>Expected Spread Z stat.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</si>
</sst>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0.0"/>
    <numFmt numFmtId="165" formatCode="0.00000"/>
    <numFmt numFmtId="166" formatCode="0.0000"/>
    <numFmt numFmtId="167" formatCode="_-* #,##0.00_-;\-* #,##0.00_-;_-* &quot;-&quot;??_-;_-@_-"/>
  </numFmts>
  <fonts count="27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theme="0" tint="-0.249977111117893"/>
      <name val="Arial"/>
      <family val="2"/>
    </font>
    <font>
      <i/>
      <sz val="10"/>
      <name val="Helv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73">
    <xf numFmtId="0" fontId="0" fillId="0" borderId="0"/>
    <xf numFmtId="0" fontId="6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25" borderId="0" applyNumberFormat="0" applyBorder="0" applyAlignment="0" applyProtection="0"/>
    <xf numFmtId="0" fontId="8" fillId="26" borderId="0" applyNumberFormat="0" applyBorder="0" applyAlignment="0" applyProtection="0"/>
    <xf numFmtId="0" fontId="9" fillId="27" borderId="4" applyNumberFormat="0" applyAlignment="0" applyProtection="0"/>
    <xf numFmtId="0" fontId="10" fillId="28" borderId="5" applyNumberFormat="0" applyAlignment="0" applyProtection="0"/>
    <xf numFmtId="0" fontId="11" fillId="0" borderId="0" applyNumberFormat="0" applyFill="0" applyBorder="0" applyAlignment="0" applyProtection="0"/>
    <xf numFmtId="0" fontId="12" fillId="29" borderId="0" applyNumberFormat="0" applyBorder="0" applyAlignment="0" applyProtection="0"/>
    <xf numFmtId="0" fontId="13" fillId="0" borderId="6" applyNumberFormat="0" applyFill="0" applyAlignment="0" applyProtection="0"/>
    <xf numFmtId="0" fontId="14" fillId="0" borderId="7" applyNumberFormat="0" applyFill="0" applyAlignment="0" applyProtection="0"/>
    <xf numFmtId="0" fontId="15" fillId="0" borderId="8" applyNumberFormat="0" applyFill="0" applyAlignment="0" applyProtection="0"/>
    <xf numFmtId="0" fontId="15" fillId="0" borderId="0" applyNumberFormat="0" applyFill="0" applyBorder="0" applyAlignment="0" applyProtection="0"/>
    <xf numFmtId="0" fontId="16" fillId="30" borderId="4" applyNumberFormat="0" applyAlignment="0" applyProtection="0"/>
    <xf numFmtId="0" fontId="17" fillId="0" borderId="9" applyNumberFormat="0" applyFill="0" applyAlignment="0" applyProtection="0"/>
    <xf numFmtId="0" fontId="18" fillId="31" borderId="0" applyNumberFormat="0" applyBorder="0" applyAlignment="0" applyProtection="0"/>
    <xf numFmtId="0" fontId="19" fillId="27" borderId="11" applyNumberFormat="0" applyAlignment="0" applyProtection="0"/>
    <xf numFmtId="0" fontId="20" fillId="0" borderId="0" applyNumberFormat="0" applyFill="0" applyBorder="0" applyAlignment="0" applyProtection="0"/>
    <xf numFmtId="0" fontId="21" fillId="0" borderId="12" applyNumberFormat="0" applyFill="0" applyAlignment="0" applyProtection="0"/>
    <xf numFmtId="0" fontId="22" fillId="0" borderId="0" applyNumberForma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3" fillId="0" borderId="0"/>
    <xf numFmtId="0" fontId="6" fillId="0" borderId="0"/>
    <xf numFmtId="0" fontId="6" fillId="32" borderId="10" applyNumberFormat="0" applyFont="0" applyAlignment="0" applyProtection="0"/>
    <xf numFmtId="0" fontId="24" fillId="0" borderId="13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167" fontId="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0" fontId="6" fillId="0" borderId="0"/>
    <xf numFmtId="0" fontId="6" fillId="2" borderId="0" applyNumberFormat="0" applyBorder="0" applyAlignment="0" applyProtection="0"/>
    <xf numFmtId="0" fontId="6" fillId="8" borderId="0" applyNumberFormat="0" applyBorder="0" applyAlignment="0" applyProtection="0"/>
    <xf numFmtId="0" fontId="6" fillId="3" borderId="0" applyNumberFormat="0" applyBorder="0" applyAlignment="0" applyProtection="0"/>
    <xf numFmtId="0" fontId="6" fillId="9" borderId="0" applyNumberFormat="0" applyBorder="0" applyAlignment="0" applyProtection="0"/>
    <xf numFmtId="0" fontId="6" fillId="4" borderId="0" applyNumberFormat="0" applyBorder="0" applyAlignment="0" applyProtection="0"/>
    <xf numFmtId="0" fontId="6" fillId="10" borderId="0" applyNumberFormat="0" applyBorder="0" applyAlignment="0" applyProtection="0"/>
    <xf numFmtId="0" fontId="6" fillId="5" borderId="0" applyNumberFormat="0" applyBorder="0" applyAlignment="0" applyProtection="0"/>
    <xf numFmtId="0" fontId="6" fillId="11" borderId="0" applyNumberFormat="0" applyBorder="0" applyAlignment="0" applyProtection="0"/>
    <xf numFmtId="0" fontId="6" fillId="6" borderId="0" applyNumberFormat="0" applyBorder="0" applyAlignment="0" applyProtection="0"/>
    <xf numFmtId="0" fontId="6" fillId="12" borderId="0" applyNumberFormat="0" applyBorder="0" applyAlignment="0" applyProtection="0"/>
    <xf numFmtId="0" fontId="6" fillId="7" borderId="0" applyNumberFormat="0" applyBorder="0" applyAlignment="0" applyProtection="0"/>
    <xf numFmtId="0" fontId="6" fillId="13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6" fillId="0" borderId="0"/>
    <xf numFmtId="0" fontId="6" fillId="32" borderId="10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24">
    <xf numFmtId="0" fontId="0" fillId="0" borderId="0" xfId="0"/>
    <xf numFmtId="0" fontId="1" fillId="0" borderId="0" xfId="0" applyFont="1"/>
    <xf numFmtId="0" fontId="0" fillId="0" borderId="0" xfId="0" applyBorder="1"/>
    <xf numFmtId="164" fontId="0" fillId="0" borderId="0" xfId="0" applyNumberFormat="1"/>
    <xf numFmtId="2" fontId="0" fillId="0" borderId="0" xfId="0" applyNumberFormat="1"/>
    <xf numFmtId="165" fontId="0" fillId="0" borderId="0" xfId="0" applyNumberFormat="1"/>
    <xf numFmtId="15" fontId="0" fillId="0" borderId="0" xfId="0" applyNumberFormat="1"/>
    <xf numFmtId="0" fontId="1" fillId="0" borderId="2" xfId="0" applyFont="1" applyBorder="1"/>
    <xf numFmtId="0" fontId="1" fillId="0" borderId="1" xfId="0" applyFont="1" applyBorder="1"/>
    <xf numFmtId="0" fontId="1" fillId="0" borderId="3" xfId="0" applyFont="1" applyBorder="1"/>
    <xf numFmtId="0" fontId="1" fillId="0" borderId="1" xfId="0" applyFont="1" applyBorder="1" applyAlignment="1">
      <alignment horizontal="center"/>
    </xf>
    <xf numFmtId="166" fontId="0" fillId="0" borderId="0" xfId="0" applyNumberFormat="1"/>
    <xf numFmtId="0" fontId="1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 vertical="center"/>
    </xf>
    <xf numFmtId="164" fontId="3" fillId="0" borderId="0" xfId="41" applyNumberFormat="1" applyAlignment="1">
      <alignment horizontal="center" vertical="center"/>
    </xf>
    <xf numFmtId="15" fontId="23" fillId="0" borderId="0" xfId="0" applyNumberFormat="1" applyFont="1" applyAlignment="1">
      <alignment horizontal="left" vertical="top"/>
    </xf>
    <xf numFmtId="0" fontId="3" fillId="0" borderId="0" xfId="0" applyFont="1" applyAlignment="1">
      <alignment horizontal="center" vertical="center"/>
    </xf>
    <xf numFmtId="15" fontId="0" fillId="0" borderId="0" xfId="0" applyNumberFormat="1" applyAlignment="1">
      <alignment horizontal="center" vertical="center"/>
    </xf>
    <xf numFmtId="0" fontId="3" fillId="0" borderId="0" xfId="44" applyAlignment="1">
      <alignment horizontal="center" vertical="center"/>
    </xf>
    <xf numFmtId="0" fontId="3" fillId="0" borderId="0" xfId="0" applyFont="1"/>
  </cellXfs>
  <cellStyles count="73">
    <cellStyle name="20% - Accent1" xfId="1" builtinId="30" customBuiltin="1"/>
    <cellStyle name="20% - Accent1 2" xfId="54"/>
    <cellStyle name="20% - Accent2" xfId="2" builtinId="34" customBuiltin="1"/>
    <cellStyle name="20% - Accent2 2" xfId="56"/>
    <cellStyle name="20% - Accent3" xfId="3" builtinId="38" customBuiltin="1"/>
    <cellStyle name="20% - Accent3 2" xfId="58"/>
    <cellStyle name="20% - Accent4" xfId="4" builtinId="42" customBuiltin="1"/>
    <cellStyle name="20% - Accent4 2" xfId="60"/>
    <cellStyle name="20% - Accent5" xfId="5" builtinId="46" customBuiltin="1"/>
    <cellStyle name="20% - Accent5 2" xfId="62"/>
    <cellStyle name="20% - Accent6" xfId="6" builtinId="50" customBuiltin="1"/>
    <cellStyle name="20% - Accent6 2" xfId="64"/>
    <cellStyle name="40% - Accent1" xfId="7" builtinId="31" customBuiltin="1"/>
    <cellStyle name="40% - Accent1 2" xfId="55"/>
    <cellStyle name="40% - Accent2" xfId="8" builtinId="35" customBuiltin="1"/>
    <cellStyle name="40% - Accent2 2" xfId="57"/>
    <cellStyle name="40% - Accent3" xfId="9" builtinId="39" customBuiltin="1"/>
    <cellStyle name="40% - Accent3 2" xfId="59"/>
    <cellStyle name="40% - Accent4" xfId="10" builtinId="43" customBuiltin="1"/>
    <cellStyle name="40% - Accent4 2" xfId="61"/>
    <cellStyle name="40% - Accent5" xfId="11" builtinId="47" customBuiltin="1"/>
    <cellStyle name="40% - Accent5 2" xfId="63"/>
    <cellStyle name="40% - Accent6" xfId="12" builtinId="51" customBuiltin="1"/>
    <cellStyle name="40% - Accent6 2" xfId="65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Comma 2" xfId="51"/>
    <cellStyle name="Comma 3" xfId="67"/>
    <cellStyle name="Comma 4" xfId="42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 2" xfId="52"/>
    <cellStyle name="Hyperlink 3" xfId="43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44"/>
    <cellStyle name="Normal 2 2" xfId="53"/>
    <cellStyle name="Normal 2 3" xfId="68"/>
    <cellStyle name="Normal 3" xfId="45"/>
    <cellStyle name="Normal 3 2" xfId="69"/>
    <cellStyle name="Normal 4" xfId="50"/>
    <cellStyle name="Normal 5" xfId="66"/>
    <cellStyle name="Normal 6" xfId="41"/>
    <cellStyle name="Note 2" xfId="46"/>
    <cellStyle name="Note 2 2" xfId="70"/>
    <cellStyle name="Notes" xfId="47"/>
    <cellStyle name="Output" xfId="37" builtinId="21" customBuiltin="1"/>
    <cellStyle name="Percent 2" xfId="49"/>
    <cellStyle name="Percent 2 2" xfId="72"/>
    <cellStyle name="Percent 3" xfId="71"/>
    <cellStyle name="Percent 4" xfId="48"/>
    <cellStyle name="Title" xfId="38" builtinId="15" customBuiltin="1"/>
    <cellStyle name="Total" xfId="39" builtinId="25" customBuiltin="1"/>
    <cellStyle name="Warning Text" xfId="40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2011 Model vs Spreads Regression</a:t>
            </a:r>
          </a:p>
        </c:rich>
      </c:tx>
      <c:layout>
        <c:manualLayout>
          <c:xMode val="edge"/>
          <c:yMode val="edge"/>
          <c:x val="0.25405451241671712"/>
          <c:y val="3.846153846153846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0450539221810288E-2"/>
          <c:y val="0.25"/>
          <c:w val="0.90090248610375512"/>
          <c:h val="0.65384615384615385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33286723788657668"/>
                  <c:y val="2.7503727491247923E-2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</c:trendlineLbl>
          </c:trendline>
          <c:xVal>
            <c:numRef>
              <c:f>'Rich Cheap'!$D$4:$D$28</c:f>
              <c:numCache>
                <c:formatCode>0.0</c:formatCode>
                <c:ptCount val="25"/>
                <c:pt idx="0">
                  <c:v>-3.1684774214779536</c:v>
                </c:pt>
                <c:pt idx="1">
                  <c:v>-1.3887995353539138</c:v>
                </c:pt>
                <c:pt idx="2">
                  <c:v>-0.81507718107319238</c:v>
                </c:pt>
                <c:pt idx="3">
                  <c:v>-0.80549469324709377</c:v>
                </c:pt>
                <c:pt idx="4">
                  <c:v>-0.46606756078988071</c:v>
                </c:pt>
                <c:pt idx="5">
                  <c:v>-0.44850289304784169</c:v>
                </c:pt>
                <c:pt idx="6">
                  <c:v>-0.21548511768757808</c:v>
                </c:pt>
                <c:pt idx="7">
                  <c:v>-0.17084373670641917</c:v>
                </c:pt>
                <c:pt idx="8">
                  <c:v>-0.16716511170792908</c:v>
                </c:pt>
                <c:pt idx="9">
                  <c:v>-0.13864046315008799</c:v>
                </c:pt>
                <c:pt idx="10">
                  <c:v>-0.11800927991038092</c:v>
                </c:pt>
                <c:pt idx="11">
                  <c:v>-0.10215100667262954</c:v>
                </c:pt>
                <c:pt idx="12">
                  <c:v>-4.6154275790339129E-2</c:v>
                </c:pt>
                <c:pt idx="13">
                  <c:v>-4.56613122275603E-2</c:v>
                </c:pt>
                <c:pt idx="14">
                  <c:v>-9.486005337753841E-3</c:v>
                </c:pt>
                <c:pt idx="15">
                  <c:v>0.13390293063120495</c:v>
                </c:pt>
                <c:pt idx="16">
                  <c:v>0.19728751330519209</c:v>
                </c:pt>
                <c:pt idx="17">
                  <c:v>0.20186220473419753</c:v>
                </c:pt>
                <c:pt idx="18">
                  <c:v>0.58275421139344386</c:v>
                </c:pt>
                <c:pt idx="19">
                  <c:v>0.62143680954206204</c:v>
                </c:pt>
                <c:pt idx="20">
                  <c:v>0.65029811387334235</c:v>
                </c:pt>
                <c:pt idx="21">
                  <c:v>0.92099651064733656</c:v>
                </c:pt>
                <c:pt idx="22">
                  <c:v>1.1125722194909262</c:v>
                </c:pt>
                <c:pt idx="23">
                  <c:v>1.7254084466060402</c:v>
                </c:pt>
                <c:pt idx="24">
                  <c:v>1.9594966339568085</c:v>
                </c:pt>
              </c:numCache>
            </c:numRef>
          </c:xVal>
          <c:yVal>
            <c:numRef>
              <c:f>'Rich Cheap'!$G$4:$G$28</c:f>
              <c:numCache>
                <c:formatCode>0.0</c:formatCode>
                <c:ptCount val="25"/>
                <c:pt idx="0">
                  <c:v>-0.53053719908936059</c:v>
                </c:pt>
                <c:pt idx="1">
                  <c:v>-0.80003725240289181</c:v>
                </c:pt>
                <c:pt idx="2">
                  <c:v>-0.6840428947640379</c:v>
                </c:pt>
                <c:pt idx="3">
                  <c:v>-0.86142799619432486</c:v>
                </c:pt>
                <c:pt idx="4">
                  <c:v>-0.73410556657378345</c:v>
                </c:pt>
                <c:pt idx="5">
                  <c:v>-0.66002082572248533</c:v>
                </c:pt>
                <c:pt idx="6">
                  <c:v>-0.52841849752365389</c:v>
                </c:pt>
                <c:pt idx="7">
                  <c:v>-0.66651959370554881</c:v>
                </c:pt>
                <c:pt idx="8">
                  <c:v>-0.63766822066537221</c:v>
                </c:pt>
                <c:pt idx="9">
                  <c:v>-0.32580324220489271</c:v>
                </c:pt>
                <c:pt idx="10">
                  <c:v>-0.51719362877009534</c:v>
                </c:pt>
                <c:pt idx="11">
                  <c:v>-0.76335761097022548</c:v>
                </c:pt>
                <c:pt idx="12">
                  <c:v>9.3022776044091829E-2</c:v>
                </c:pt>
                <c:pt idx="13">
                  <c:v>-0.66885077250563885</c:v>
                </c:pt>
                <c:pt idx="14">
                  <c:v>-0.53340260636447134</c:v>
                </c:pt>
                <c:pt idx="15">
                  <c:v>-0.40936750309874448</c:v>
                </c:pt>
                <c:pt idx="16">
                  <c:v>-1.8846487858665321E-2</c:v>
                </c:pt>
                <c:pt idx="17">
                  <c:v>0.32389446814675626</c:v>
                </c:pt>
                <c:pt idx="18">
                  <c:v>1.3373349914280757</c:v>
                </c:pt>
                <c:pt idx="19">
                  <c:v>2.1478655838204321E-2</c:v>
                </c:pt>
                <c:pt idx="20">
                  <c:v>-9.9044502282074467E-2</c:v>
                </c:pt>
                <c:pt idx="21">
                  <c:v>1.3339899926810714</c:v>
                </c:pt>
                <c:pt idx="22">
                  <c:v>1.4495927851308479</c:v>
                </c:pt>
                <c:pt idx="23">
                  <c:v>2.1151534387237345</c:v>
                </c:pt>
                <c:pt idx="24">
                  <c:v>2.7641772927034829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673024"/>
        <c:axId val="229285888"/>
      </c:scatterChart>
      <c:valAx>
        <c:axId val="228673024"/>
        <c:scaling>
          <c:orientation val="minMax"/>
        </c:scaling>
        <c:delete val="0"/>
        <c:axPos val="b"/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9285888"/>
        <c:crosses val="autoZero"/>
        <c:crossBetween val="midCat"/>
      </c:valAx>
      <c:valAx>
        <c:axId val="229285888"/>
        <c:scaling>
          <c:orientation val="minMax"/>
        </c:scaling>
        <c:delete val="0"/>
        <c:axPos val="l"/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867302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5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2011 Model vs Market Risk - October 2011
</a:t>
            </a:r>
          </a:p>
        </c:rich>
      </c:tx>
      <c:layout>
        <c:manualLayout>
          <c:xMode val="edge"/>
          <c:yMode val="edge"/>
          <c:x val="0.23088720341810259"/>
          <c:y val="3.488372093023255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200391490114272E-2"/>
          <c:y val="0.23643410852713179"/>
          <c:w val="0.90672918268764136"/>
          <c:h val="0.5406976744186046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'Rich Cheap'!$E$4:$E$28</c:f>
              <c:strCache>
                <c:ptCount val="25"/>
                <c:pt idx="0">
                  <c:v>China</c:v>
                </c:pt>
                <c:pt idx="1">
                  <c:v>Malaysia</c:v>
                </c:pt>
                <c:pt idx="2">
                  <c:v>Peru</c:v>
                </c:pt>
                <c:pt idx="3">
                  <c:v>Chile</c:v>
                </c:pt>
                <c:pt idx="4">
                  <c:v>Panama</c:v>
                </c:pt>
                <c:pt idx="5">
                  <c:v>Mexico</c:v>
                </c:pt>
                <c:pt idx="6">
                  <c:v>Indonesia</c:v>
                </c:pt>
                <c:pt idx="7">
                  <c:v>Brazil</c:v>
                </c:pt>
                <c:pt idx="8">
                  <c:v>Philippines</c:v>
                </c:pt>
                <c:pt idx="9">
                  <c:v>Russia</c:v>
                </c:pt>
                <c:pt idx="10">
                  <c:v>Uruguay</c:v>
                </c:pt>
                <c:pt idx="11">
                  <c:v>Colombia</c:v>
                </c:pt>
                <c:pt idx="12">
                  <c:v>Hungary</c:v>
                </c:pt>
                <c:pt idx="13">
                  <c:v>South Africa</c:v>
                </c:pt>
                <c:pt idx="14">
                  <c:v>Poland</c:v>
                </c:pt>
                <c:pt idx="15">
                  <c:v>Turkey</c:v>
                </c:pt>
                <c:pt idx="16">
                  <c:v>Kazakhstan</c:v>
                </c:pt>
                <c:pt idx="17">
                  <c:v>Vietnam</c:v>
                </c:pt>
                <c:pt idx="18">
                  <c:v>Argentina</c:v>
                </c:pt>
                <c:pt idx="19">
                  <c:v>Sri Lanka</c:v>
                </c:pt>
                <c:pt idx="20">
                  <c:v>Egypt</c:v>
                </c:pt>
                <c:pt idx="21">
                  <c:v>Ecuador</c:v>
                </c:pt>
                <c:pt idx="22">
                  <c:v>Ukraine</c:v>
                </c:pt>
                <c:pt idx="23">
                  <c:v>Pakistan</c:v>
                </c:pt>
                <c:pt idx="24">
                  <c:v>Venezuela</c:v>
                </c:pt>
              </c:strCache>
            </c:strRef>
          </c:cat>
          <c:val>
            <c:numRef>
              <c:f>'Rich Cheap'!$O$4:$O$28</c:f>
              <c:numCache>
                <c:formatCode>0</c:formatCode>
                <c:ptCount val="25"/>
                <c:pt idx="0">
                  <c:v>-75.836558448424341</c:v>
                </c:pt>
                <c:pt idx="1">
                  <c:v>32.532008674579913</c:v>
                </c:pt>
                <c:pt idx="2">
                  <c:v>8.7756832404662646</c:v>
                </c:pt>
                <c:pt idx="3">
                  <c:v>-51.21802092606859</c:v>
                </c:pt>
                <c:pt idx="4">
                  <c:v>-75.355674773630199</c:v>
                </c:pt>
                <c:pt idx="5">
                  <c:v>-54.951333006789213</c:v>
                </c:pt>
                <c:pt idx="6">
                  <c:v>-70.124243336402344</c:v>
                </c:pt>
                <c:pt idx="7">
                  <c:v>-127.98654153156573</c:v>
                </c:pt>
                <c:pt idx="8">
                  <c:v>-119.51701615366915</c:v>
                </c:pt>
                <c:pt idx="9">
                  <c:v>-24.888653541415124</c:v>
                </c:pt>
                <c:pt idx="10">
                  <c:v>-93.905057865747324</c:v>
                </c:pt>
                <c:pt idx="11">
                  <c:v>-179.64065959648406</c:v>
                </c:pt>
                <c:pt idx="12">
                  <c:v>85.74154895284687</c:v>
                </c:pt>
                <c:pt idx="13">
                  <c:v>-165.40549571018533</c:v>
                </c:pt>
                <c:pt idx="14">
                  <c:v>-131.91659579813762</c:v>
                </c:pt>
                <c:pt idx="15">
                  <c:v>-137.57984315647263</c:v>
                </c:pt>
                <c:pt idx="16">
                  <c:v>-30.70909754404903</c:v>
                </c:pt>
                <c:pt idx="17">
                  <c:v>80.604679254485347</c:v>
                </c:pt>
                <c:pt idx="18">
                  <c:v>267.51075641663431</c:v>
                </c:pt>
                <c:pt idx="19">
                  <c:v>-182.42902537726724</c:v>
                </c:pt>
                <c:pt idx="20">
                  <c:v>-234.57834474775854</c:v>
                </c:pt>
                <c:pt idx="21">
                  <c:v>113.282252581188</c:v>
                </c:pt>
                <c:pt idx="22">
                  <c:v>55.202066727742135</c:v>
                </c:pt>
                <c:pt idx="23">
                  <c:v>-78.987760885640682</c:v>
                </c:pt>
                <c:pt idx="24">
                  <c:v>-18.612232227427512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9759616"/>
        <c:axId val="232577280"/>
      </c:barChart>
      <c:catAx>
        <c:axId val="229759616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2577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2577280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975961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5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485775</xdr:colOff>
      <xdr:row>33</xdr:row>
      <xdr:rowOff>9525</xdr:rowOff>
    </xdr:from>
    <xdr:to>
      <xdr:col>14</xdr:col>
      <xdr:colOff>828675</xdr:colOff>
      <xdr:row>48</xdr:row>
      <xdr:rowOff>57150</xdr:rowOff>
    </xdr:to>
    <xdr:graphicFrame macro="">
      <xdr:nvGraphicFramePr>
        <xdr:cNvPr id="216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9525</xdr:colOff>
      <xdr:row>31</xdr:row>
      <xdr:rowOff>28575</xdr:rowOff>
    </xdr:from>
    <xdr:to>
      <xdr:col>7</xdr:col>
      <xdr:colOff>180975</xdr:colOff>
      <xdr:row>51</xdr:row>
      <xdr:rowOff>66675</xdr:rowOff>
    </xdr:to>
    <xdr:graphicFrame macro="">
      <xdr:nvGraphicFramePr>
        <xdr:cNvPr id="216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O55"/>
  <sheetViews>
    <sheetView tabSelected="1" zoomScaleNormal="100" workbookViewId="0"/>
  </sheetViews>
  <sheetFormatPr defaultRowHeight="12.75" x14ac:dyDescent="0.2"/>
  <cols>
    <col min="1" max="1" width="9.140625" customWidth="1"/>
    <col min="2" max="2" width="12.5703125" bestFit="1" customWidth="1"/>
    <col min="3" max="3" width="6.140625" customWidth="1"/>
    <col min="4" max="4" width="11.42578125" bestFit="1" customWidth="1"/>
    <col min="5" max="5" width="35.28515625" bestFit="1" customWidth="1"/>
    <col min="6" max="6" width="16" bestFit="1" customWidth="1"/>
    <col min="7" max="7" width="21.7109375" bestFit="1" customWidth="1"/>
    <col min="8" max="8" width="2.85546875" customWidth="1"/>
    <col min="9" max="9" width="22.85546875" bestFit="1" customWidth="1"/>
    <col min="10" max="10" width="12.5703125" bestFit="1" customWidth="1"/>
    <col min="11" max="11" width="10.7109375" bestFit="1" customWidth="1"/>
    <col min="12" max="12" width="2.5703125" customWidth="1"/>
    <col min="13" max="13" width="13.85546875" bestFit="1" customWidth="1"/>
    <col min="14" max="14" width="3" customWidth="1"/>
    <col min="15" max="15" width="18.85546875" bestFit="1" customWidth="1"/>
  </cols>
  <sheetData>
    <row r="1" spans="1:15" x14ac:dyDescent="0.2">
      <c r="A1" s="8" t="s">
        <v>39</v>
      </c>
      <c r="B1" s="12" t="s">
        <v>27</v>
      </c>
      <c r="C1" s="12" t="s">
        <v>26</v>
      </c>
      <c r="D1" s="12" t="s">
        <v>37</v>
      </c>
      <c r="E1" s="12" t="s">
        <v>27</v>
      </c>
      <c r="F1" s="12" t="s">
        <v>25</v>
      </c>
      <c r="G1" s="12" t="s">
        <v>38</v>
      </c>
      <c r="H1" s="2"/>
      <c r="I1" s="10" t="s">
        <v>32</v>
      </c>
      <c r="J1" s="10" t="s">
        <v>33</v>
      </c>
      <c r="K1" s="10" t="s">
        <v>31</v>
      </c>
      <c r="L1" s="2"/>
      <c r="M1" s="8" t="s">
        <v>36</v>
      </c>
      <c r="O1" s="8" t="s">
        <v>34</v>
      </c>
    </row>
    <row r="2" spans="1:15" x14ac:dyDescent="0.2">
      <c r="A2" s="19">
        <v>40828</v>
      </c>
      <c r="B2" s="13"/>
      <c r="C2" s="13"/>
      <c r="D2" s="13"/>
      <c r="E2" s="13"/>
      <c r="F2" s="13"/>
      <c r="G2" s="13"/>
      <c r="I2" s="7">
        <v>0.28220000000000001</v>
      </c>
      <c r="J2" s="7">
        <v>0.94979999999999998</v>
      </c>
      <c r="K2" s="7">
        <v>-0.124</v>
      </c>
      <c r="M2" s="1"/>
    </row>
    <row r="3" spans="1:15" ht="13.5" thickBot="1" x14ac:dyDescent="0.25">
      <c r="B3" s="13"/>
      <c r="C3" s="13"/>
      <c r="D3" s="13"/>
      <c r="E3" s="13"/>
      <c r="F3" s="13"/>
      <c r="G3" s="13"/>
      <c r="I3" s="9" t="s">
        <v>41</v>
      </c>
    </row>
    <row r="4" spans="1:15" x14ac:dyDescent="0.2">
      <c r="B4" s="13" t="s">
        <v>0</v>
      </c>
      <c r="C4" s="18">
        <v>-11.442787085807083</v>
      </c>
      <c r="D4" s="15">
        <f t="shared" ref="D4:D28" si="0">(C4-C$30)/C$31</f>
        <v>-3.1684774214779536</v>
      </c>
      <c r="E4" s="13" t="str">
        <f t="shared" ref="E4:E28" si="1">B4</f>
        <v>China</v>
      </c>
      <c r="F4" s="22">
        <v>267.96899999999999</v>
      </c>
      <c r="G4" s="15">
        <f t="shared" ref="G4:G28" si="2">(F4-F$30)/F$31</f>
        <v>-0.53053719908936059</v>
      </c>
      <c r="H4" s="11"/>
      <c r="I4" s="17">
        <f t="shared" ref="I4:I28" si="3">I$2*D4^2+J$2*D4+K$2</f>
        <v>-0.30034373902848299</v>
      </c>
      <c r="L4" s="4"/>
      <c r="M4" s="15">
        <f t="shared" ref="M4:M28" si="4">F$30+I4*F$31</f>
        <v>343.80555844842434</v>
      </c>
      <c r="N4" s="3"/>
      <c r="O4" s="16">
        <f t="shared" ref="O4:O28" si="5">F4-M4</f>
        <v>-75.836558448424341</v>
      </c>
    </row>
    <row r="5" spans="1:15" x14ac:dyDescent="0.2">
      <c r="B5" s="13" t="s">
        <v>2</v>
      </c>
      <c r="C5" s="18">
        <v>-5.1334026767824366</v>
      </c>
      <c r="D5" s="15">
        <f t="shared" si="0"/>
        <v>-1.3887995353539138</v>
      </c>
      <c r="E5" s="13" t="str">
        <f t="shared" si="1"/>
        <v>Malaysia</v>
      </c>
      <c r="F5" s="22">
        <v>179.18299999999999</v>
      </c>
      <c r="G5" s="15">
        <f t="shared" si="2"/>
        <v>-0.80003725240289181</v>
      </c>
      <c r="H5" s="11"/>
      <c r="I5" s="17">
        <f t="shared" si="3"/>
        <v>-0.89878455571867977</v>
      </c>
      <c r="L5" s="4"/>
      <c r="M5" s="15">
        <f t="shared" si="4"/>
        <v>146.65099132542008</v>
      </c>
      <c r="N5" s="3"/>
      <c r="O5" s="16">
        <f t="shared" si="5"/>
        <v>32.532008674579913</v>
      </c>
    </row>
    <row r="6" spans="1:15" x14ac:dyDescent="0.2">
      <c r="B6" s="13" t="s">
        <v>16</v>
      </c>
      <c r="C6" s="18">
        <v>-3.099419501831977</v>
      </c>
      <c r="D6" s="15">
        <f t="shared" si="0"/>
        <v>-0.81507718107319238</v>
      </c>
      <c r="E6" s="13" t="str">
        <f t="shared" si="1"/>
        <v>Peru</v>
      </c>
      <c r="F6" s="22">
        <v>217.39699999999999</v>
      </c>
      <c r="G6" s="15">
        <f t="shared" si="2"/>
        <v>-0.6840428947640379</v>
      </c>
      <c r="H6" s="11"/>
      <c r="I6" s="17">
        <f t="shared" si="3"/>
        <v>-0.71068050768914237</v>
      </c>
      <c r="L6" s="4"/>
      <c r="M6" s="15">
        <f t="shared" si="4"/>
        <v>208.62131675953373</v>
      </c>
      <c r="N6" s="3"/>
      <c r="O6" s="16">
        <f t="shared" si="5"/>
        <v>8.7756832404662646</v>
      </c>
    </row>
    <row r="7" spans="1:15" x14ac:dyDescent="0.2">
      <c r="B7" s="13" t="s">
        <v>11</v>
      </c>
      <c r="C7" s="18">
        <v>-3.0654472871064629</v>
      </c>
      <c r="D7" s="15">
        <f t="shared" si="0"/>
        <v>-0.80549469324709377</v>
      </c>
      <c r="E7" s="13" t="str">
        <f t="shared" si="1"/>
        <v>Chile</v>
      </c>
      <c r="F7" s="22">
        <v>158.958</v>
      </c>
      <c r="G7" s="15">
        <f t="shared" si="2"/>
        <v>-0.86142799619432486</v>
      </c>
      <c r="H7" s="11"/>
      <c r="I7" s="17">
        <f t="shared" si="3"/>
        <v>-0.70596137566643702</v>
      </c>
      <c r="L7" s="4"/>
      <c r="M7" s="15">
        <f t="shared" si="4"/>
        <v>210.17602092606859</v>
      </c>
      <c r="N7" s="3"/>
      <c r="O7" s="16">
        <f t="shared" si="5"/>
        <v>-51.21802092606859</v>
      </c>
    </row>
    <row r="8" spans="1:15" x14ac:dyDescent="0.2">
      <c r="B8" s="13" t="s">
        <v>22</v>
      </c>
      <c r="C8" s="18">
        <v>-1.862096796423218</v>
      </c>
      <c r="D8" s="15">
        <f t="shared" si="0"/>
        <v>-0.46606756078988071</v>
      </c>
      <c r="E8" s="13" t="str">
        <f t="shared" si="1"/>
        <v>Panama</v>
      </c>
      <c r="F8" s="22">
        <v>200.904</v>
      </c>
      <c r="G8" s="15">
        <f t="shared" si="2"/>
        <v>-0.73410556657378345</v>
      </c>
      <c r="H8" s="11"/>
      <c r="I8" s="17">
        <f t="shared" si="3"/>
        <v>-0.50537177555976709</v>
      </c>
      <c r="L8" s="4"/>
      <c r="M8" s="15">
        <f t="shared" si="4"/>
        <v>276.25967477363019</v>
      </c>
      <c r="N8" s="3"/>
      <c r="O8" s="16">
        <f t="shared" si="5"/>
        <v>-75.355674773630199</v>
      </c>
    </row>
    <row r="9" spans="1:15" x14ac:dyDescent="0.2">
      <c r="B9" s="13" t="s">
        <v>6</v>
      </c>
      <c r="C9" s="18">
        <v>-1.7998258418502651</v>
      </c>
      <c r="D9" s="15">
        <f t="shared" si="0"/>
        <v>-0.44850289304784169</v>
      </c>
      <c r="E9" s="13" t="str">
        <f t="shared" si="1"/>
        <v>Mexico</v>
      </c>
      <c r="F9" s="22">
        <v>225.31100000000001</v>
      </c>
      <c r="G9" s="15">
        <f t="shared" si="2"/>
        <v>-0.66002082572248533</v>
      </c>
      <c r="H9" s="11"/>
      <c r="I9" s="17">
        <f t="shared" si="3"/>
        <v>-0.49322215053744156</v>
      </c>
      <c r="L9" s="4"/>
      <c r="M9" s="15">
        <f t="shared" si="4"/>
        <v>280.26233300678922</v>
      </c>
      <c r="N9" s="3"/>
      <c r="O9" s="16">
        <f t="shared" si="5"/>
        <v>-54.951333006789213</v>
      </c>
    </row>
    <row r="10" spans="1:15" x14ac:dyDescent="0.2">
      <c r="B10" s="13" t="s">
        <v>1</v>
      </c>
      <c r="C10" s="18">
        <v>-0.97372201129382652</v>
      </c>
      <c r="D10" s="15">
        <f t="shared" si="0"/>
        <v>-0.21548511768757808</v>
      </c>
      <c r="E10" s="13" t="str">
        <f t="shared" si="1"/>
        <v>Indonesia</v>
      </c>
      <c r="F10" s="22">
        <v>268.66699999999997</v>
      </c>
      <c r="G10" s="15">
        <f t="shared" si="2"/>
        <v>-0.52841849752365389</v>
      </c>
      <c r="H10" s="11"/>
      <c r="I10" s="17">
        <f t="shared" si="3"/>
        <v>-0.31556413627603086</v>
      </c>
      <c r="L10" s="4"/>
      <c r="M10" s="15">
        <f t="shared" si="4"/>
        <v>338.79124333640232</v>
      </c>
      <c r="N10" s="3"/>
      <c r="O10" s="16">
        <f t="shared" si="5"/>
        <v>-70.124243336402344</v>
      </c>
    </row>
    <row r="11" spans="1:15" x14ac:dyDescent="0.2">
      <c r="B11" s="13" t="s">
        <v>4</v>
      </c>
      <c r="C11" s="18">
        <v>-0.81545762235247721</v>
      </c>
      <c r="D11" s="15">
        <f t="shared" si="0"/>
        <v>-0.17084373670641917</v>
      </c>
      <c r="E11" s="13" t="str">
        <f t="shared" si="1"/>
        <v>Brazil</v>
      </c>
      <c r="F11" s="22">
        <v>223.17</v>
      </c>
      <c r="G11" s="15">
        <f t="shared" si="2"/>
        <v>-0.66651959370554881</v>
      </c>
      <c r="H11" s="11"/>
      <c r="I11" s="17">
        <f t="shared" si="3"/>
        <v>-0.27803064537843147</v>
      </c>
      <c r="L11" s="4"/>
      <c r="M11" s="15">
        <f t="shared" si="4"/>
        <v>351.15654153156572</v>
      </c>
      <c r="N11" s="3"/>
      <c r="O11" s="16">
        <f t="shared" si="5"/>
        <v>-127.98654153156573</v>
      </c>
    </row>
    <row r="12" spans="1:15" x14ac:dyDescent="0.2">
      <c r="B12" s="13" t="s">
        <v>3</v>
      </c>
      <c r="C12" s="18">
        <v>-0.80241601555773845</v>
      </c>
      <c r="D12" s="15">
        <f t="shared" si="0"/>
        <v>-0.16716511170792908</v>
      </c>
      <c r="E12" s="13" t="str">
        <f t="shared" si="1"/>
        <v>Philippines</v>
      </c>
      <c r="F12" s="22">
        <v>232.67500000000001</v>
      </c>
      <c r="G12" s="15">
        <f t="shared" si="2"/>
        <v>-0.63766822066537221</v>
      </c>
      <c r="H12" s="11"/>
      <c r="I12" s="17">
        <f t="shared" si="3"/>
        <v>-0.27488757703588107</v>
      </c>
      <c r="L12" s="4"/>
      <c r="M12" s="15">
        <f t="shared" si="4"/>
        <v>352.19201615366916</v>
      </c>
      <c r="N12" s="3"/>
      <c r="O12" s="16">
        <f t="shared" si="5"/>
        <v>-119.51701615366915</v>
      </c>
    </row>
    <row r="13" spans="1:15" x14ac:dyDescent="0.2">
      <c r="B13" s="13" t="s">
        <v>8</v>
      </c>
      <c r="C13" s="18">
        <v>-0.70128930364712805</v>
      </c>
      <c r="D13" s="15">
        <f t="shared" si="0"/>
        <v>-0.13864046315008799</v>
      </c>
      <c r="E13" s="13" t="str">
        <f t="shared" si="1"/>
        <v>Russia</v>
      </c>
      <c r="F13" s="22">
        <v>335.41800000000001</v>
      </c>
      <c r="G13" s="15">
        <f t="shared" si="2"/>
        <v>-0.32580324220489271</v>
      </c>
      <c r="H13" s="11"/>
      <c r="I13" s="17">
        <f t="shared" si="3"/>
        <v>-0.25025649546201229</v>
      </c>
      <c r="L13" s="4"/>
      <c r="M13" s="15">
        <f t="shared" si="4"/>
        <v>360.30665354141513</v>
      </c>
      <c r="N13" s="3"/>
      <c r="O13" s="16">
        <f t="shared" si="5"/>
        <v>-24.888653541415124</v>
      </c>
    </row>
    <row r="14" spans="1:15" x14ac:dyDescent="0.2">
      <c r="B14" s="13" t="s">
        <v>23</v>
      </c>
      <c r="C14" s="18">
        <v>-0.62814681708410414</v>
      </c>
      <c r="D14" s="15">
        <f t="shared" si="0"/>
        <v>-0.11800927991038092</v>
      </c>
      <c r="E14" s="13" t="str">
        <f t="shared" si="1"/>
        <v>Uruguay</v>
      </c>
      <c r="F14" s="22">
        <v>272.36500000000001</v>
      </c>
      <c r="G14" s="15">
        <f t="shared" si="2"/>
        <v>-0.51719362877009534</v>
      </c>
      <c r="H14" s="11"/>
      <c r="I14" s="17">
        <f t="shared" si="3"/>
        <v>-0.23215524319997022</v>
      </c>
      <c r="L14" s="4"/>
      <c r="M14" s="15">
        <f t="shared" si="4"/>
        <v>366.27005786574733</v>
      </c>
      <c r="N14" s="3"/>
      <c r="O14" s="16">
        <f t="shared" si="5"/>
        <v>-93.905057865747324</v>
      </c>
    </row>
    <row r="15" spans="1:15" x14ac:dyDescent="0.2">
      <c r="B15" s="13" t="s">
        <v>12</v>
      </c>
      <c r="C15" s="18">
        <v>-0.57192543977731902</v>
      </c>
      <c r="D15" s="15">
        <f t="shared" si="0"/>
        <v>-0.10215100667262954</v>
      </c>
      <c r="E15" s="13" t="str">
        <f t="shared" si="1"/>
        <v>Colombia</v>
      </c>
      <c r="F15" s="22">
        <v>191.267</v>
      </c>
      <c r="G15" s="15">
        <f t="shared" si="2"/>
        <v>-0.76335761097022548</v>
      </c>
      <c r="H15" s="11"/>
      <c r="I15" s="17">
        <f t="shared" si="3"/>
        <v>-0.21807831762971736</v>
      </c>
      <c r="L15" s="4"/>
      <c r="M15" s="15">
        <f t="shared" si="4"/>
        <v>370.90765959648405</v>
      </c>
      <c r="N15" s="3"/>
      <c r="O15" s="16">
        <f t="shared" si="5"/>
        <v>-179.64065959648406</v>
      </c>
    </row>
    <row r="16" spans="1:15" x14ac:dyDescent="0.2">
      <c r="B16" s="13" t="s">
        <v>14</v>
      </c>
      <c r="C16" s="18">
        <v>-0.37340361538440336</v>
      </c>
      <c r="D16" s="15">
        <f t="shared" si="0"/>
        <v>-4.6154275790339129E-2</v>
      </c>
      <c r="E16" s="13" t="str">
        <f t="shared" si="1"/>
        <v>Hungary</v>
      </c>
      <c r="F16" s="22">
        <v>473.399</v>
      </c>
      <c r="G16" s="15">
        <f t="shared" si="2"/>
        <v>9.3022776044091829E-2</v>
      </c>
      <c r="H16" s="11"/>
      <c r="I16" s="17">
        <f t="shared" si="3"/>
        <v>-0.1672361838592373</v>
      </c>
      <c r="L16" s="4"/>
      <c r="M16" s="15">
        <f t="shared" si="4"/>
        <v>387.65745104715313</v>
      </c>
      <c r="N16" s="3"/>
      <c r="O16" s="16">
        <f t="shared" si="5"/>
        <v>85.74154895284687</v>
      </c>
    </row>
    <row r="17" spans="2:15" x14ac:dyDescent="0.2">
      <c r="B17" s="13" t="s">
        <v>10</v>
      </c>
      <c r="C17" s="18">
        <v>-0.37165594147022785</v>
      </c>
      <c r="D17" s="15">
        <f t="shared" si="0"/>
        <v>-4.56613122275603E-2</v>
      </c>
      <c r="E17" s="13" t="str">
        <f t="shared" si="1"/>
        <v>South Africa</v>
      </c>
      <c r="F17" s="22">
        <v>222.40199999999999</v>
      </c>
      <c r="G17" s="15">
        <f t="shared" si="2"/>
        <v>-0.66885077250563885</v>
      </c>
      <c r="H17" s="11"/>
      <c r="I17" s="17">
        <f t="shared" si="3"/>
        <v>-0.16678073993016523</v>
      </c>
      <c r="L17" s="4"/>
      <c r="M17" s="15">
        <f t="shared" si="4"/>
        <v>387.80749571018532</v>
      </c>
      <c r="N17" s="3"/>
      <c r="O17" s="16">
        <f t="shared" si="5"/>
        <v>-165.40549571018533</v>
      </c>
    </row>
    <row r="18" spans="2:15" x14ac:dyDescent="0.2">
      <c r="B18" s="13" t="s">
        <v>17</v>
      </c>
      <c r="C18" s="18">
        <v>-0.24340581313980336</v>
      </c>
      <c r="D18" s="15">
        <f t="shared" si="0"/>
        <v>-9.486005337753841E-3</v>
      </c>
      <c r="E18" s="13" t="str">
        <f t="shared" si="1"/>
        <v>Poland</v>
      </c>
      <c r="F18" s="22">
        <v>267.02499999999998</v>
      </c>
      <c r="G18" s="15">
        <f t="shared" si="2"/>
        <v>-0.53340260636447134</v>
      </c>
      <c r="H18" s="11"/>
      <c r="I18" s="17">
        <f t="shared" si="3"/>
        <v>-0.1329844143011096</v>
      </c>
      <c r="L18" s="4"/>
      <c r="M18" s="15">
        <f t="shared" si="4"/>
        <v>398.9415957981376</v>
      </c>
      <c r="N18" s="3"/>
      <c r="O18" s="16">
        <f t="shared" si="5"/>
        <v>-131.91659579813762</v>
      </c>
    </row>
    <row r="19" spans="2:15" x14ac:dyDescent="0.2">
      <c r="B19" s="13" t="s">
        <v>9</v>
      </c>
      <c r="C19" s="18">
        <v>0.26494231214904806</v>
      </c>
      <c r="D19" s="15">
        <f t="shared" si="0"/>
        <v>0.13390293063120495</v>
      </c>
      <c r="E19" s="13" t="str">
        <f t="shared" si="1"/>
        <v>Turkey</v>
      </c>
      <c r="F19" s="22">
        <v>307.88799999999998</v>
      </c>
      <c r="G19" s="15">
        <f t="shared" si="2"/>
        <v>-0.40936750309874448</v>
      </c>
      <c r="H19" s="11"/>
      <c r="I19" s="17">
        <f t="shared" si="3"/>
        <v>8.240848055003136E-3</v>
      </c>
      <c r="L19" s="4"/>
      <c r="M19" s="15">
        <f t="shared" si="4"/>
        <v>445.46784315647261</v>
      </c>
      <c r="N19" s="3"/>
      <c r="O19" s="16">
        <f t="shared" si="5"/>
        <v>-137.57984315647263</v>
      </c>
    </row>
    <row r="20" spans="2:15" x14ac:dyDescent="0.2">
      <c r="B20" s="13" t="s">
        <v>15</v>
      </c>
      <c r="C20" s="18">
        <v>0.48965584082404273</v>
      </c>
      <c r="D20" s="15">
        <f t="shared" si="0"/>
        <v>0.19728751330519209</v>
      </c>
      <c r="E20" s="13" t="str">
        <f t="shared" si="1"/>
        <v>Kazakhstan</v>
      </c>
      <c r="F20" s="22">
        <v>436.54399999999998</v>
      </c>
      <c r="G20" s="15">
        <f t="shared" si="2"/>
        <v>-1.8846487858665321E-2</v>
      </c>
      <c r="H20" s="11"/>
      <c r="I20" s="17">
        <f t="shared" si="3"/>
        <v>7.4367570949385953E-2</v>
      </c>
      <c r="L20" s="4"/>
      <c r="M20" s="15">
        <f t="shared" si="4"/>
        <v>467.25309754404901</v>
      </c>
      <c r="N20" s="3"/>
      <c r="O20" s="16">
        <f t="shared" si="5"/>
        <v>-30.70909754404903</v>
      </c>
    </row>
    <row r="21" spans="2:15" x14ac:dyDescent="0.2">
      <c r="B21" s="13" t="s">
        <v>19</v>
      </c>
      <c r="C21" s="18">
        <v>0.50587421775804353</v>
      </c>
      <c r="D21" s="15">
        <f t="shared" si="0"/>
        <v>0.20186220473419753</v>
      </c>
      <c r="E21" s="13" t="str">
        <f t="shared" si="1"/>
        <v>Vietnam</v>
      </c>
      <c r="F21" s="22">
        <v>549.45899999999995</v>
      </c>
      <c r="G21" s="15">
        <f t="shared" si="2"/>
        <v>0.32389446814675626</v>
      </c>
      <c r="H21" s="11"/>
      <c r="I21" s="17">
        <f t="shared" si="3"/>
        <v>7.9227906341923449E-2</v>
      </c>
      <c r="L21" s="4"/>
      <c r="M21" s="15">
        <f t="shared" si="4"/>
        <v>468.8543207455146</v>
      </c>
      <c r="N21" s="3"/>
      <c r="O21" s="16">
        <f t="shared" si="5"/>
        <v>80.604679254485347</v>
      </c>
    </row>
    <row r="22" spans="2:15" x14ac:dyDescent="0.2">
      <c r="B22" s="13" t="s">
        <v>5</v>
      </c>
      <c r="C22" s="18">
        <v>1.85622761995257</v>
      </c>
      <c r="D22" s="15">
        <f t="shared" si="0"/>
        <v>0.58275421139344386</v>
      </c>
      <c r="E22" s="13" t="str">
        <f t="shared" si="1"/>
        <v>Argentina</v>
      </c>
      <c r="F22" s="22">
        <v>883.33399999999995</v>
      </c>
      <c r="G22" s="15">
        <f t="shared" si="2"/>
        <v>1.3373349914280757</v>
      </c>
      <c r="H22" s="11"/>
      <c r="I22" s="17">
        <f t="shared" si="3"/>
        <v>0.52533576726856845</v>
      </c>
      <c r="K22" s="5"/>
      <c r="L22" s="4"/>
      <c r="M22" s="15">
        <f t="shared" si="4"/>
        <v>615.82324358336564</v>
      </c>
      <c r="N22" s="3"/>
      <c r="O22" s="16">
        <f t="shared" si="5"/>
        <v>267.51075641663431</v>
      </c>
    </row>
    <row r="23" spans="2:15" x14ac:dyDescent="0.2">
      <c r="B23" s="13" t="s">
        <v>24</v>
      </c>
      <c r="C23" s="18">
        <v>1.993366696390162</v>
      </c>
      <c r="D23" s="15">
        <f t="shared" si="0"/>
        <v>0.62143680954206204</v>
      </c>
      <c r="E23" s="13" t="str">
        <f t="shared" si="1"/>
        <v>Sri Lanka</v>
      </c>
      <c r="F23" s="22">
        <v>449.82900000000001</v>
      </c>
      <c r="G23" s="15">
        <f t="shared" si="2"/>
        <v>2.1478655838204321E-2</v>
      </c>
      <c r="H23" s="11"/>
      <c r="I23" s="17">
        <f t="shared" si="3"/>
        <v>0.57522172417227779</v>
      </c>
      <c r="L23" s="4"/>
      <c r="M23" s="15">
        <f t="shared" si="4"/>
        <v>632.25802537726724</v>
      </c>
      <c r="N23" s="3"/>
      <c r="O23" s="16">
        <f t="shared" si="5"/>
        <v>-182.42902537726724</v>
      </c>
    </row>
    <row r="24" spans="2:15" x14ac:dyDescent="0.2">
      <c r="B24" s="20" t="s">
        <v>20</v>
      </c>
      <c r="C24" s="18">
        <v>2.0956869336598878</v>
      </c>
      <c r="D24" s="15">
        <f t="shared" si="0"/>
        <v>0.65029811387334235</v>
      </c>
      <c r="E24" s="13" t="str">
        <f t="shared" si="1"/>
        <v>Egypt</v>
      </c>
      <c r="F24" s="22">
        <v>410.12299999999999</v>
      </c>
      <c r="G24" s="15">
        <f t="shared" si="2"/>
        <v>-9.9044502282074467E-2</v>
      </c>
      <c r="H24" s="11"/>
      <c r="I24" s="17">
        <f t="shared" si="3"/>
        <v>0.61299203969211991</v>
      </c>
      <c r="L24" s="4"/>
      <c r="M24" s="15">
        <f t="shared" si="4"/>
        <v>644.70134474775853</v>
      </c>
      <c r="N24" s="3"/>
      <c r="O24" s="16">
        <f t="shared" si="5"/>
        <v>-234.57834474775854</v>
      </c>
    </row>
    <row r="25" spans="2:15" x14ac:dyDescent="0.2">
      <c r="B25" s="13" t="s">
        <v>13</v>
      </c>
      <c r="C25" s="18">
        <v>3.0553775931159812</v>
      </c>
      <c r="D25" s="15">
        <f t="shared" si="0"/>
        <v>0.92099651064733656</v>
      </c>
      <c r="E25" s="13" t="str">
        <f t="shared" si="1"/>
        <v>Ecuador</v>
      </c>
      <c r="F25" s="22">
        <v>882.23199999999997</v>
      </c>
      <c r="G25" s="15">
        <f t="shared" si="2"/>
        <v>1.3339899926810714</v>
      </c>
      <c r="H25" s="11"/>
      <c r="I25" s="17">
        <f t="shared" si="3"/>
        <v>0.99013428220749378</v>
      </c>
      <c r="L25" s="4"/>
      <c r="M25" s="15">
        <f t="shared" si="4"/>
        <v>768.94974741881197</v>
      </c>
      <c r="N25" s="3"/>
      <c r="O25" s="16">
        <f t="shared" si="5"/>
        <v>113.282252581188</v>
      </c>
    </row>
    <row r="26" spans="2:15" x14ac:dyDescent="0.2">
      <c r="B26" s="13" t="s">
        <v>18</v>
      </c>
      <c r="C26" s="18">
        <v>3.7345593708690727</v>
      </c>
      <c r="D26" s="15">
        <f t="shared" si="0"/>
        <v>1.1125722194909262</v>
      </c>
      <c r="E26" s="13" t="str">
        <f t="shared" si="1"/>
        <v>Ukraine</v>
      </c>
      <c r="F26" s="22">
        <v>920.31700000000001</v>
      </c>
      <c r="G26" s="15">
        <f t="shared" si="2"/>
        <v>1.4495927851308479</v>
      </c>
      <c r="H26" s="11"/>
      <c r="I26" s="17">
        <f t="shared" si="3"/>
        <v>1.2820330355515943</v>
      </c>
      <c r="L26" s="4"/>
      <c r="M26" s="15">
        <f t="shared" si="4"/>
        <v>865.11493327225787</v>
      </c>
      <c r="N26" s="3"/>
      <c r="O26" s="16">
        <f t="shared" si="5"/>
        <v>55.202066727742135</v>
      </c>
    </row>
    <row r="27" spans="2:15" x14ac:dyDescent="0.2">
      <c r="B27" s="13" t="s">
        <v>21</v>
      </c>
      <c r="C27" s="18">
        <v>5.907210594325413</v>
      </c>
      <c r="D27" s="15">
        <f t="shared" si="0"/>
        <v>1.7254084466060402</v>
      </c>
      <c r="E27" s="13" t="str">
        <f t="shared" si="1"/>
        <v>Pakistan</v>
      </c>
      <c r="F27" s="22">
        <v>1139.5840000000001</v>
      </c>
      <c r="G27" s="15">
        <f t="shared" si="2"/>
        <v>2.1151534387237345</v>
      </c>
      <c r="H27" s="11"/>
      <c r="I27" s="17">
        <f t="shared" si="3"/>
        <v>2.354912024196631</v>
      </c>
      <c r="L27" s="4"/>
      <c r="M27" s="15">
        <f t="shared" si="4"/>
        <v>1218.5717608856407</v>
      </c>
      <c r="N27" s="3"/>
      <c r="O27" s="16">
        <f t="shared" si="5"/>
        <v>-78.987760885640682</v>
      </c>
    </row>
    <row r="28" spans="2:15" x14ac:dyDescent="0.2">
      <c r="B28" s="13" t="s">
        <v>7</v>
      </c>
      <c r="C28" s="18">
        <v>6.7371092917938808</v>
      </c>
      <c r="D28" s="15">
        <f t="shared" si="0"/>
        <v>1.9594966339568085</v>
      </c>
      <c r="E28" s="13" t="str">
        <f t="shared" si="1"/>
        <v>Venezuela</v>
      </c>
      <c r="F28" s="22">
        <v>1353.403</v>
      </c>
      <c r="G28" s="15">
        <f t="shared" si="2"/>
        <v>2.7641772927034829</v>
      </c>
      <c r="H28" s="11"/>
      <c r="I28" s="17">
        <f t="shared" si="3"/>
        <v>2.8206726588375077</v>
      </c>
      <c r="L28" s="4"/>
      <c r="M28" s="15">
        <f t="shared" si="4"/>
        <v>1372.0152322274275</v>
      </c>
      <c r="N28" s="3"/>
      <c r="O28" s="16">
        <f t="shared" si="5"/>
        <v>-18.612232227427512</v>
      </c>
    </row>
    <row r="29" spans="2:15" x14ac:dyDescent="0.2">
      <c r="B29" s="13"/>
      <c r="C29" s="13"/>
      <c r="D29" s="21"/>
      <c r="E29" s="13"/>
      <c r="F29" s="15"/>
      <c r="G29" s="15"/>
    </row>
    <row r="30" spans="2:15" x14ac:dyDescent="0.2">
      <c r="B30" s="14" t="s">
        <v>28</v>
      </c>
      <c r="C30" s="15">
        <f>AVERAGE(C4:C28)</f>
        <v>-0.20977565194681477</v>
      </c>
      <c r="D30" s="21"/>
      <c r="E30" s="14" t="s">
        <v>35</v>
      </c>
      <c r="F30" s="15">
        <f>AVERAGE(F4:F28)</f>
        <v>442.75292000000002</v>
      </c>
      <c r="G30" s="15"/>
    </row>
    <row r="31" spans="2:15" x14ac:dyDescent="0.2">
      <c r="B31" s="14" t="s">
        <v>29</v>
      </c>
      <c r="C31" s="15">
        <f>STDEV(C4:C28)</f>
        <v>3.5452395392549674</v>
      </c>
      <c r="D31" s="21"/>
      <c r="E31" s="14" t="str">
        <f>E30&amp;" "&amp;B31</f>
        <v>EMBI Global Diversified St. Deviation</v>
      </c>
      <c r="F31" s="15">
        <f>STDEV(F4:F28)</f>
        <v>329.44705913177717</v>
      </c>
      <c r="G31" s="15"/>
    </row>
    <row r="32" spans="2:15" x14ac:dyDescent="0.2">
      <c r="D32" s="6"/>
      <c r="F32" s="3"/>
      <c r="G32" s="3"/>
    </row>
    <row r="33" spans="4:6" x14ac:dyDescent="0.2">
      <c r="D33" s="6"/>
      <c r="F33" s="3"/>
    </row>
    <row r="34" spans="4:6" x14ac:dyDescent="0.2">
      <c r="D34" s="6"/>
      <c r="F34" s="3"/>
    </row>
    <row r="35" spans="4:6" x14ac:dyDescent="0.2">
      <c r="F35" s="3"/>
    </row>
    <row r="36" spans="4:6" x14ac:dyDescent="0.2">
      <c r="F36" s="3"/>
    </row>
    <row r="37" spans="4:6" x14ac:dyDescent="0.2">
      <c r="F37" s="3"/>
    </row>
    <row r="38" spans="4:6" x14ac:dyDescent="0.2">
      <c r="F38" s="3"/>
    </row>
    <row r="39" spans="4:6" x14ac:dyDescent="0.2">
      <c r="F39" s="3"/>
    </row>
    <row r="40" spans="4:6" x14ac:dyDescent="0.2">
      <c r="F40" s="3"/>
    </row>
    <row r="41" spans="4:6" x14ac:dyDescent="0.2">
      <c r="F41" s="3"/>
    </row>
    <row r="42" spans="4:6" x14ac:dyDescent="0.2">
      <c r="F42" s="3"/>
    </row>
    <row r="43" spans="4:6" x14ac:dyDescent="0.2">
      <c r="F43" s="3"/>
    </row>
    <row r="44" spans="4:6" x14ac:dyDescent="0.2">
      <c r="F44" s="3"/>
    </row>
    <row r="45" spans="4:6" x14ac:dyDescent="0.2">
      <c r="F45" s="3"/>
    </row>
    <row r="46" spans="4:6" x14ac:dyDescent="0.2">
      <c r="F46" s="3"/>
    </row>
    <row r="47" spans="4:6" x14ac:dyDescent="0.2">
      <c r="F47" s="3"/>
    </row>
    <row r="54" spans="1:1" hidden="1" x14ac:dyDescent="0.2">
      <c r="A54" t="s">
        <v>30</v>
      </c>
    </row>
    <row r="55" spans="1:1" hidden="1" x14ac:dyDescent="0.2">
      <c r="A55" s="23" t="s">
        <v>40</v>
      </c>
    </row>
  </sheetData>
  <sortState ref="B4:O28">
    <sortCondition ref="C4:C28"/>
  </sortState>
  <phoneticPr fontId="2" type="noConversion"/>
  <pageMargins left="0.75" right="0.75" top="1" bottom="1" header="0.5" footer="0.5"/>
  <pageSetup scale="61" fitToHeight="0" orientation="landscape" r:id="rId1"/>
  <headerFooter alignWithMargins="0">
    <oddHeader>&amp;C10/12/2011 RV Model</oddHeader>
  </headerFooter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Rich Cheap</vt:lpstr>
    </vt:vector>
  </TitlesOfParts>
  <Company>MacKay Shields LLC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MacKay Shields LLC</dc:creator>
  <cp:lastModifiedBy>Brian Fagan</cp:lastModifiedBy>
  <cp:lastPrinted>2011-10-19T14:41:03Z</cp:lastPrinted>
  <dcterms:created xsi:type="dcterms:W3CDTF">2010-04-05T15:02:25Z</dcterms:created>
  <dcterms:modified xsi:type="dcterms:W3CDTF">2012-03-14T20:37:22Z</dcterms:modified>
</cp:coreProperties>
</file>