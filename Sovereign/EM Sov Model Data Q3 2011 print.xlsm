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charts/chart9.xml" ContentType="application/vnd.openxmlformats-officedocument.drawingml.chart+xml"/>
  <Override PartName="/xl/drawings/drawing8.xml" ContentType="application/vnd.openxmlformats-officedocument.drawing+xml"/>
  <Override PartName="/xl/charts/chart10.xml" ContentType="application/vnd.openxmlformats-officedocument.drawingml.chart+xml"/>
  <Override PartName="/xl/drawings/drawing9.xml" ContentType="application/vnd.openxmlformats-officedocument.drawing+xml"/>
  <Override PartName="/xl/charts/chart11.xml" ContentType="application/vnd.openxmlformats-officedocument.drawingml.chart+xml"/>
  <Override PartName="/xl/drawings/drawing10.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1.xml" ContentType="application/vnd.openxmlformats-officedocument.drawing+xml"/>
  <Override PartName="/xl/charts/chart25.xml" ContentType="application/vnd.openxmlformats-officedocument.drawingml.chart+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19065" yWindow="45" windowWidth="18975" windowHeight="12165" tabRatio="948" activeTab="7"/>
  </bookViews>
  <sheets>
    <sheet name="Summ Data" sheetId="21" r:id="rId1"/>
    <sheet name="Ext Debt GDP" sheetId="19" r:id="rId2"/>
    <sheet name="Export" sheetId="12" r:id="rId3"/>
    <sheet name="DSR" sheetId="18" r:id="rId4"/>
    <sheet name="Inv GDP" sheetId="16" r:id="rId5"/>
    <sheet name="Summary Drivers" sheetId="22" r:id="rId6"/>
    <sheet name="Coeff Wght Dist" sheetId="37" r:id="rId7"/>
    <sheet name="Summ Data Reg" sheetId="24" r:id="rId8"/>
    <sheet name="Summ Data Rtg" sheetId="23" r:id="rId9"/>
    <sheet name="ALL EM Rank Summary" sheetId="27" r:id="rId10"/>
    <sheet name="Summ Rtg Reg" sheetId="25" r:id="rId11"/>
    <sheet name="ALL EM Rank" sheetId="26" r:id="rId12"/>
    <sheet name="Inflation" sheetId="15" r:id="rId13"/>
    <sheet name="GDP g" sheetId="17" r:id="rId14"/>
    <sheet name="Ext Debt Expo" sheetId="20" r:id="rId15"/>
    <sheet name="Fiscal Bal" sheetId="14" r:id="rId16"/>
    <sheet name="Savings" sheetId="10" r:id="rId17"/>
    <sheet name="FDI" sheetId="9" r:id="rId18"/>
    <sheet name="CA GDP" sheetId="7" r:id="rId19"/>
    <sheet name="FX Res" sheetId="6" r:id="rId20"/>
    <sheet name="Political Risk" sheetId="31" r:id="rId21"/>
    <sheet name="DoingBusiness" sheetId="32" r:id="rId22"/>
    <sheet name="ONDD" sheetId="33" r:id="rId23"/>
    <sheet name="Coface" sheetId="34" r:id="rId24"/>
    <sheet name="Compt. Regress" sheetId="30" r:id="rId25"/>
    <sheet name="Competitiveness" sheetId="2" r:id="rId26"/>
    <sheet name="Comp data" sheetId="29" r:id="rId27"/>
    <sheet name="Stripped Spread" sheetId="28" r:id="rId28"/>
    <sheet name="Coeff" sheetId="35" r:id="rId29"/>
    <sheet name="Coeff Wght Dist (2)" sheetId="39" r:id="rId30"/>
    <sheet name="Sheet1" sheetId="38" r:id="rId31"/>
  </sheets>
  <definedNames>
    <definedName name="NT000039D2" localSheetId="5">'Summary Drivers'!$A$123</definedName>
    <definedName name="NT000039DA" localSheetId="5">'Summary Drivers'!$A$207</definedName>
    <definedName name="NT00003B7A" localSheetId="5">'Summary Drivers'!$A$117</definedName>
    <definedName name="NT0000404A" localSheetId="5">'Summary Drivers'!$A$129</definedName>
    <definedName name="NT0000404E" localSheetId="5">'Summary Drivers'!$A$141</definedName>
    <definedName name="NT0000405A" localSheetId="5">'Summary Drivers'!$A$177</definedName>
    <definedName name="NT0000405E" localSheetId="5">'Summary Drivers'!$A$189</definedName>
    <definedName name="NT0000406A" localSheetId="5">'Summary Drivers'!$A$153</definedName>
    <definedName name="NT0000406E" localSheetId="5">'Summary Drivers'!$A$171</definedName>
    <definedName name="NT0000408E" localSheetId="5">'Summary Drivers'!$A$105</definedName>
    <definedName name="NT0000FDB2" localSheetId="5">'Summary Drivers'!$A$111</definedName>
    <definedName name="NT0000FDB6" localSheetId="5">'Summary Drivers'!$A$159</definedName>
    <definedName name="NT0000FDBA" localSheetId="5">'Summary Drivers'!$A$165</definedName>
    <definedName name="NT0000FDBE" localSheetId="5">'Summary Drivers'!$A$195</definedName>
    <definedName name="NT0000FDC2" localSheetId="5">'Summary Drivers'!$A$215</definedName>
    <definedName name="_xlnm.Print_Area" localSheetId="11">'ALL EM Rank'!$A$1:$AJ$53</definedName>
    <definedName name="_xlnm.Print_Area" localSheetId="8">'Summ Data Rtg'!$A$1:$BM$45</definedName>
    <definedName name="_xlnm.Print_Area" localSheetId="5">'Summary Drivers'!$A$1:$N$45</definedName>
  </definedNames>
  <calcPr calcId="145621"/>
</workbook>
</file>

<file path=xl/calcChain.xml><?xml version="1.0" encoding="utf-8"?>
<calcChain xmlns="http://schemas.openxmlformats.org/spreadsheetml/2006/main">
  <c r="V5" i="21" l="1"/>
  <c r="G45" i="22"/>
  <c r="Z2" i="26" l="1"/>
  <c r="H5" i="2"/>
  <c r="E22" i="30"/>
  <c r="AR48" i="31"/>
  <c r="AS4" i="9"/>
  <c r="AS5" i="9"/>
  <c r="AS6" i="9"/>
  <c r="AS7" i="9"/>
  <c r="AS8" i="9"/>
  <c r="AS9" i="9"/>
  <c r="AS10" i="9"/>
  <c r="AS11" i="9"/>
  <c r="AS12" i="9"/>
  <c r="AS13" i="9"/>
  <c r="AS14" i="9"/>
  <c r="AS15" i="9"/>
  <c r="AS16" i="9"/>
  <c r="AS17" i="9"/>
  <c r="AS18" i="9"/>
  <c r="AS19" i="9"/>
  <c r="AS20" i="9"/>
  <c r="AS21" i="9"/>
  <c r="AS22" i="9"/>
  <c r="AS23" i="9"/>
  <c r="AS24" i="9"/>
  <c r="AS25" i="9"/>
  <c r="AS3" i="9"/>
  <c r="AE38" i="9" l="1"/>
  <c r="AH25" i="9"/>
  <c r="AT3" i="9"/>
  <c r="V9" i="20"/>
  <c r="V8" i="21" l="1"/>
  <c r="E39" i="25"/>
  <c r="E38" i="25"/>
  <c r="E37" i="25"/>
  <c r="E36" i="25"/>
  <c r="E35" i="25"/>
  <c r="E34" i="25"/>
  <c r="E33" i="25"/>
  <c r="E30" i="25"/>
  <c r="E29" i="25"/>
  <c r="E28" i="25"/>
  <c r="E27" i="25"/>
  <c r="E26" i="25"/>
  <c r="E22" i="25"/>
  <c r="E21" i="25"/>
  <c r="E20" i="25"/>
  <c r="E19" i="25"/>
  <c r="E18" i="25"/>
  <c r="E17" i="25"/>
  <c r="E16" i="25"/>
  <c r="E15" i="25"/>
  <c r="E12" i="25"/>
  <c r="E11" i="25"/>
  <c r="E10" i="25"/>
  <c r="E23" i="25"/>
  <c r="E7" i="25"/>
  <c r="K39" i="25"/>
  <c r="K38" i="25"/>
  <c r="K37" i="25"/>
  <c r="K36" i="25"/>
  <c r="K35" i="25"/>
  <c r="K34" i="25"/>
  <c r="K31" i="25"/>
  <c r="K30" i="25"/>
  <c r="K29" i="25"/>
  <c r="K28" i="25"/>
  <c r="K27" i="25"/>
  <c r="K26" i="25"/>
  <c r="K25" i="25"/>
  <c r="K24" i="25"/>
  <c r="K23" i="25"/>
  <c r="K19" i="25"/>
  <c r="K18" i="25"/>
  <c r="K17" i="25"/>
  <c r="K16" i="25"/>
  <c r="K15" i="25"/>
  <c r="K14" i="25"/>
  <c r="K13" i="25"/>
  <c r="K12" i="25"/>
  <c r="K11" i="25"/>
  <c r="K10" i="25"/>
  <c r="D28" i="27"/>
  <c r="D27" i="27"/>
  <c r="D26" i="27"/>
  <c r="D25" i="27"/>
  <c r="D24" i="27"/>
  <c r="D23" i="27"/>
  <c r="D22" i="27"/>
  <c r="D21" i="27"/>
  <c r="D20" i="27"/>
  <c r="D19" i="27"/>
  <c r="D18" i="27"/>
  <c r="D17" i="27"/>
  <c r="D16" i="27"/>
  <c r="D15" i="27"/>
  <c r="D14" i="27"/>
  <c r="D13" i="27"/>
  <c r="D12" i="27"/>
  <c r="D11" i="27"/>
  <c r="D10" i="27"/>
  <c r="D9" i="27"/>
  <c r="D8" i="27"/>
  <c r="D7" i="27"/>
  <c r="D6" i="27"/>
  <c r="D5" i="27"/>
  <c r="D4" i="27"/>
  <c r="B28" i="27"/>
  <c r="B27" i="27"/>
  <c r="B26" i="27"/>
  <c r="B25" i="27"/>
  <c r="B24" i="27"/>
  <c r="B23" i="27"/>
  <c r="B22" i="27"/>
  <c r="B21" i="27"/>
  <c r="B20" i="27"/>
  <c r="B19" i="27"/>
  <c r="B18" i="27"/>
  <c r="B17" i="27"/>
  <c r="B16" i="27"/>
  <c r="B15" i="27"/>
  <c r="B14" i="27"/>
  <c r="B13" i="27"/>
  <c r="B12" i="27"/>
  <c r="B11" i="27"/>
  <c r="B10" i="27"/>
  <c r="B9" i="27"/>
  <c r="B8" i="27"/>
  <c r="B7" i="27"/>
  <c r="B6" i="27"/>
  <c r="B5" i="27"/>
  <c r="B4" i="27"/>
  <c r="N45" i="22"/>
  <c r="X22" i="26" l="1"/>
  <c r="Z21" i="26"/>
  <c r="AB5" i="6"/>
  <c r="AB6" i="6"/>
  <c r="AB7" i="6"/>
  <c r="AB8" i="6"/>
  <c r="AB9" i="6"/>
  <c r="AB10" i="6"/>
  <c r="AB11" i="6"/>
  <c r="AB12" i="6"/>
  <c r="AB13" i="6"/>
  <c r="AB14" i="6"/>
  <c r="AB15" i="6"/>
  <c r="AB16" i="6"/>
  <c r="AB17" i="6"/>
  <c r="AB18" i="6"/>
  <c r="AB19" i="6"/>
  <c r="AB20" i="6"/>
  <c r="AB21" i="6"/>
  <c r="AB22" i="6"/>
  <c r="AB23" i="6"/>
  <c r="AB24" i="6"/>
  <c r="AB25" i="6"/>
  <c r="AB26" i="6"/>
  <c r="AB27" i="6"/>
  <c r="AB4" i="6"/>
  <c r="AA5" i="6"/>
  <c r="AA6" i="6"/>
  <c r="AA7" i="6"/>
  <c r="AA8" i="6"/>
  <c r="AA9" i="6"/>
  <c r="AA10" i="6"/>
  <c r="AA11" i="6"/>
  <c r="AA12" i="6"/>
  <c r="AA13" i="6"/>
  <c r="AA14" i="6"/>
  <c r="AA15" i="6"/>
  <c r="AA16" i="6"/>
  <c r="AA17" i="6"/>
  <c r="AA18" i="6"/>
  <c r="AA19" i="6"/>
  <c r="AA20" i="6"/>
  <c r="AA21" i="6"/>
  <c r="AA22" i="6"/>
  <c r="AA23" i="6"/>
  <c r="AA24" i="6"/>
  <c r="AA25" i="6"/>
  <c r="AA26" i="6"/>
  <c r="AA27" i="6"/>
  <c r="AA4" i="6"/>
  <c r="BK5" i="7"/>
  <c r="BK6" i="7"/>
  <c r="BK7" i="7"/>
  <c r="BK8" i="7"/>
  <c r="BK9" i="7"/>
  <c r="BK10" i="7"/>
  <c r="BK11" i="7"/>
  <c r="BK12" i="7"/>
  <c r="BK13" i="7"/>
  <c r="BK14" i="7"/>
  <c r="BK15" i="7"/>
  <c r="BK16" i="7"/>
  <c r="BK17" i="7"/>
  <c r="BK18" i="7"/>
  <c r="BK19" i="7"/>
  <c r="BK20" i="7"/>
  <c r="BK21" i="7"/>
  <c r="BK22" i="7"/>
  <c r="BK23" i="7"/>
  <c r="BK24" i="7"/>
  <c r="BK25" i="7"/>
  <c r="BK4" i="7"/>
  <c r="BJ5" i="7"/>
  <c r="BJ6" i="7"/>
  <c r="BJ7" i="7"/>
  <c r="BJ8" i="7"/>
  <c r="BJ9" i="7"/>
  <c r="BJ10" i="7"/>
  <c r="BJ11" i="7"/>
  <c r="BJ12" i="7"/>
  <c r="BJ13" i="7"/>
  <c r="BJ14" i="7"/>
  <c r="BJ15" i="7"/>
  <c r="BJ16" i="7"/>
  <c r="BJ17" i="7"/>
  <c r="BJ18" i="7"/>
  <c r="BJ19" i="7"/>
  <c r="BJ20" i="7"/>
  <c r="BJ21" i="7"/>
  <c r="BJ22" i="7"/>
  <c r="BJ23" i="7"/>
  <c r="BJ24" i="7"/>
  <c r="BJ25" i="7"/>
  <c r="BJ4" i="7"/>
  <c r="AT4" i="9"/>
  <c r="AT5" i="9"/>
  <c r="AT6" i="9"/>
  <c r="AT7" i="9"/>
  <c r="AT8" i="9"/>
  <c r="AT9" i="9"/>
  <c r="AT10" i="9"/>
  <c r="AT11" i="9"/>
  <c r="AT12" i="9"/>
  <c r="AT13" i="9"/>
  <c r="AT14" i="9"/>
  <c r="AT15" i="9"/>
  <c r="AT16" i="9"/>
  <c r="AT17" i="9"/>
  <c r="AT18" i="9"/>
  <c r="AT19" i="9"/>
  <c r="AT20" i="9"/>
  <c r="AT21" i="9"/>
  <c r="AT22" i="9"/>
  <c r="AT23" i="9"/>
  <c r="AT24" i="9"/>
  <c r="AT25" i="9"/>
  <c r="M39" i="10"/>
  <c r="M38" i="10"/>
  <c r="AC4" i="10"/>
  <c r="AC5" i="10"/>
  <c r="AC6" i="10"/>
  <c r="AC7" i="10"/>
  <c r="AC8" i="10"/>
  <c r="AC9" i="10"/>
  <c r="AC10" i="10"/>
  <c r="AC11" i="10"/>
  <c r="AC12" i="10"/>
  <c r="AC13" i="10"/>
  <c r="AC14" i="10"/>
  <c r="AC15" i="10"/>
  <c r="AC16" i="10"/>
  <c r="AC17" i="10"/>
  <c r="AC18" i="10"/>
  <c r="AC19" i="10"/>
  <c r="AC20" i="10"/>
  <c r="AC21" i="10"/>
  <c r="AC22" i="10"/>
  <c r="AC23" i="10"/>
  <c r="AC24" i="10"/>
  <c r="AC25" i="10"/>
  <c r="AC3" i="10"/>
  <c r="AB4" i="10"/>
  <c r="AB5" i="10"/>
  <c r="AB6" i="10"/>
  <c r="AB7" i="10"/>
  <c r="AB8" i="10"/>
  <c r="AB9" i="10"/>
  <c r="AB10" i="10"/>
  <c r="AB11" i="10"/>
  <c r="AB12" i="10"/>
  <c r="AB13" i="10"/>
  <c r="AB14" i="10"/>
  <c r="AB15" i="10"/>
  <c r="AB16" i="10"/>
  <c r="AB17" i="10"/>
  <c r="AB18" i="10"/>
  <c r="AB19" i="10"/>
  <c r="AB20" i="10"/>
  <c r="AB21" i="10"/>
  <c r="AB22" i="10"/>
  <c r="AB23" i="10"/>
  <c r="AB24" i="10"/>
  <c r="AB25" i="10"/>
  <c r="AB3" i="10"/>
  <c r="BE5" i="14"/>
  <c r="BE6" i="14"/>
  <c r="BE7" i="14"/>
  <c r="BE8" i="14"/>
  <c r="BE9" i="14"/>
  <c r="BE10" i="14"/>
  <c r="BE11" i="14"/>
  <c r="BE12" i="14"/>
  <c r="BE13" i="14"/>
  <c r="BE14" i="14"/>
  <c r="BE15" i="14"/>
  <c r="BE16" i="14"/>
  <c r="BE17" i="14"/>
  <c r="BE18" i="14"/>
  <c r="BE19" i="14"/>
  <c r="BE20" i="14"/>
  <c r="BE21" i="14"/>
  <c r="BE22" i="14"/>
  <c r="BE23" i="14"/>
  <c r="BE4" i="14"/>
  <c r="AL4" i="20"/>
  <c r="AL5" i="20"/>
  <c r="AL6" i="20"/>
  <c r="AL7" i="20"/>
  <c r="AL8" i="20"/>
  <c r="AL9" i="20"/>
  <c r="AL10" i="20"/>
  <c r="AL11" i="20"/>
  <c r="AL12" i="20"/>
  <c r="AL13" i="20"/>
  <c r="AL14" i="20"/>
  <c r="AL15" i="20"/>
  <c r="AL16" i="20"/>
  <c r="AL17" i="20"/>
  <c r="AL18" i="20"/>
  <c r="AL19" i="20"/>
  <c r="AL20" i="20"/>
  <c r="AL21" i="20"/>
  <c r="AL22" i="20"/>
  <c r="AL23" i="20"/>
  <c r="AL24" i="20"/>
  <c r="AL25" i="20"/>
  <c r="AL3" i="20"/>
  <c r="AK4" i="20"/>
  <c r="AK5" i="20"/>
  <c r="AK6" i="20"/>
  <c r="AK7" i="20"/>
  <c r="AK8" i="20"/>
  <c r="AK9" i="20"/>
  <c r="AK10" i="20"/>
  <c r="AK11" i="20"/>
  <c r="AK12" i="20"/>
  <c r="AK13" i="20"/>
  <c r="AK14" i="20"/>
  <c r="AK15" i="20"/>
  <c r="AK16" i="20"/>
  <c r="AK17" i="20"/>
  <c r="AK18" i="20"/>
  <c r="AK19" i="20"/>
  <c r="AK20" i="20"/>
  <c r="AK21" i="20"/>
  <c r="AK22" i="20"/>
  <c r="AK23" i="20"/>
  <c r="AK24" i="20"/>
  <c r="AK25" i="20"/>
  <c r="AK3" i="20"/>
  <c r="BO5" i="17"/>
  <c r="BO6" i="17"/>
  <c r="BO7" i="17"/>
  <c r="BO8" i="17"/>
  <c r="BO9" i="17"/>
  <c r="BO10" i="17"/>
  <c r="BO11" i="17"/>
  <c r="BO12" i="17"/>
  <c r="BO13" i="17"/>
  <c r="BO14" i="17"/>
  <c r="BO15" i="17"/>
  <c r="BO16" i="17"/>
  <c r="BO17" i="17"/>
  <c r="BO18" i="17"/>
  <c r="BO19" i="17"/>
  <c r="BO20" i="17"/>
  <c r="BO21" i="17"/>
  <c r="BO22" i="17"/>
  <c r="BO23" i="17"/>
  <c r="BO24" i="17"/>
  <c r="BO25" i="17"/>
  <c r="BO26" i="17"/>
  <c r="BO27" i="17"/>
  <c r="BO4"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4" i="17"/>
  <c r="BK5" i="15"/>
  <c r="BK6" i="15"/>
  <c r="BK7" i="15"/>
  <c r="BK8" i="15"/>
  <c r="BK9" i="15"/>
  <c r="BK10" i="15"/>
  <c r="BK11" i="15"/>
  <c r="BK12" i="15"/>
  <c r="BK13" i="15"/>
  <c r="BK14" i="15"/>
  <c r="BK15" i="15"/>
  <c r="BK16" i="15"/>
  <c r="BK17" i="15"/>
  <c r="BK18" i="15"/>
  <c r="BK19" i="15"/>
  <c r="BK20" i="15"/>
  <c r="BK21" i="15"/>
  <c r="BK22" i="15"/>
  <c r="BK23" i="15"/>
  <c r="BK24" i="15"/>
  <c r="BK25" i="15"/>
  <c r="BK26" i="15"/>
  <c r="BK27" i="15"/>
  <c r="BK4" i="15"/>
  <c r="BJ5" i="15"/>
  <c r="BJ6" i="15"/>
  <c r="BJ7" i="15"/>
  <c r="BJ8" i="15"/>
  <c r="BJ9" i="15"/>
  <c r="BJ10" i="15"/>
  <c r="BJ11" i="15"/>
  <c r="BJ12" i="15"/>
  <c r="BJ13" i="15"/>
  <c r="BJ14" i="15"/>
  <c r="BJ15" i="15"/>
  <c r="BJ16" i="15"/>
  <c r="BJ17" i="15"/>
  <c r="BJ18" i="15"/>
  <c r="BJ19" i="15"/>
  <c r="BJ20" i="15"/>
  <c r="BJ21" i="15"/>
  <c r="BJ22" i="15"/>
  <c r="BJ23" i="15"/>
  <c r="BJ24" i="15"/>
  <c r="BJ25" i="15"/>
  <c r="BJ26" i="15"/>
  <c r="BJ27" i="15"/>
  <c r="BJ4" i="15"/>
  <c r="E60" i="28"/>
  <c r="D63" i="28"/>
  <c r="D62" i="28"/>
  <c r="AE39" i="9" l="1"/>
  <c r="Y31" i="20"/>
  <c r="AV41" i="15"/>
  <c r="I49" i="37" l="1"/>
  <c r="I37" i="37"/>
  <c r="I32" i="37"/>
  <c r="I43" i="37"/>
  <c r="I35" i="37"/>
  <c r="I34" i="37"/>
  <c r="I31" i="37"/>
  <c r="I30" i="37"/>
  <c r="I28" i="37"/>
  <c r="I27" i="37"/>
  <c r="I26" i="37"/>
  <c r="I25" i="37"/>
  <c r="I18" i="37"/>
  <c r="I17" i="37"/>
  <c r="I16" i="37"/>
  <c r="I15" i="37"/>
  <c r="I8" i="37"/>
  <c r="I7" i="37"/>
  <c r="I6" i="37"/>
  <c r="I5" i="37"/>
  <c r="D45" i="37"/>
  <c r="B39" i="37"/>
  <c r="L26" i="26"/>
  <c r="L25" i="26"/>
  <c r="L24" i="26"/>
  <c r="L23" i="26"/>
  <c r="L22" i="26"/>
  <c r="L21" i="26"/>
  <c r="L20" i="26"/>
  <c r="L19" i="26"/>
  <c r="L18" i="26"/>
  <c r="L17" i="26"/>
  <c r="L16" i="26"/>
  <c r="L15" i="26"/>
  <c r="L14" i="26"/>
  <c r="L13" i="26"/>
  <c r="L12" i="26"/>
  <c r="L11" i="26"/>
  <c r="L10" i="26"/>
  <c r="L9" i="26"/>
  <c r="L8" i="26"/>
  <c r="AZ8" i="17"/>
  <c r="D5" i="26"/>
  <c r="D4" i="26"/>
  <c r="P31" i="22"/>
  <c r="P29" i="22"/>
  <c r="P25" i="22"/>
  <c r="P39" i="22"/>
  <c r="P37" i="22"/>
  <c r="P35" i="22"/>
  <c r="P33" i="22"/>
  <c r="P27" i="22"/>
  <c r="P23" i="22"/>
  <c r="P21" i="22"/>
  <c r="L45" i="22"/>
  <c r="E39" i="22"/>
  <c r="E37" i="22"/>
  <c r="E35" i="22"/>
  <c r="E33" i="22"/>
  <c r="E31" i="22"/>
  <c r="E29" i="22"/>
  <c r="E27" i="22"/>
  <c r="E25" i="22"/>
  <c r="E23" i="22"/>
  <c r="E21" i="22"/>
  <c r="H8" i="39"/>
  <c r="B39" i="39"/>
  <c r="N37" i="39"/>
  <c r="D37" i="39"/>
  <c r="D36" i="39"/>
  <c r="N32" i="39"/>
  <c r="N39" i="39" s="1"/>
  <c r="D32" i="39"/>
  <c r="D33" i="39" s="1"/>
  <c r="D29" i="39"/>
  <c r="N20" i="39"/>
  <c r="P18" i="39" s="1"/>
  <c r="D20" i="39"/>
  <c r="F18" i="39"/>
  <c r="F17" i="39"/>
  <c r="P16" i="39"/>
  <c r="F16" i="39"/>
  <c r="P15" i="39"/>
  <c r="F15" i="39"/>
  <c r="F20" i="39" s="1"/>
  <c r="N10" i="39"/>
  <c r="N49" i="39" s="1"/>
  <c r="D10" i="39"/>
  <c r="D49" i="39" s="1"/>
  <c r="P8" i="39"/>
  <c r="F8" i="39"/>
  <c r="P7" i="39"/>
  <c r="F7" i="39"/>
  <c r="P6" i="39"/>
  <c r="F6" i="39"/>
  <c r="P5" i="39"/>
  <c r="P10" i="39" s="1"/>
  <c r="F5" i="39"/>
  <c r="F10" i="39" s="1"/>
  <c r="P20" i="39" l="1"/>
  <c r="P17" i="39"/>
  <c r="H45" i="39"/>
  <c r="H18" i="39"/>
  <c r="H17" i="39"/>
  <c r="H16" i="39"/>
  <c r="H15" i="39"/>
  <c r="H20" i="39" s="1"/>
  <c r="H7" i="39"/>
  <c r="H6" i="39"/>
  <c r="H5" i="39"/>
  <c r="H10" i="39" s="1"/>
  <c r="R45" i="39"/>
  <c r="S24" i="39"/>
  <c r="R18" i="39"/>
  <c r="R17" i="39"/>
  <c r="R16" i="39"/>
  <c r="R15" i="39"/>
  <c r="R8" i="39"/>
  <c r="R7" i="39"/>
  <c r="R6" i="39"/>
  <c r="R5" i="39"/>
  <c r="P37" i="39"/>
  <c r="R37" i="39" s="1"/>
  <c r="P36" i="39"/>
  <c r="P31" i="39"/>
  <c r="R31" i="39" s="1"/>
  <c r="P30" i="39"/>
  <c r="P29" i="39"/>
  <c r="R29" i="39" s="1"/>
  <c r="P35" i="39"/>
  <c r="P34" i="39"/>
  <c r="R34" i="39" s="1"/>
  <c r="P33" i="39"/>
  <c r="P28" i="39"/>
  <c r="R28" i="39" s="1"/>
  <c r="P27" i="39"/>
  <c r="P26" i="39"/>
  <c r="R26" i="39" s="1"/>
  <c r="P25" i="39"/>
  <c r="F37" i="39"/>
  <c r="H37" i="39" s="1"/>
  <c r="D39" i="39"/>
  <c r="F36" i="39" s="1"/>
  <c r="H36" i="39" s="1"/>
  <c r="P32" i="39"/>
  <c r="R32" i="39" s="1"/>
  <c r="N20" i="37"/>
  <c r="N10" i="37"/>
  <c r="D20" i="37"/>
  <c r="D10" i="37"/>
  <c r="H37" i="37"/>
  <c r="H36" i="37"/>
  <c r="H35" i="37"/>
  <c r="H34" i="37"/>
  <c r="H33" i="37"/>
  <c r="H32" i="37"/>
  <c r="H31" i="37"/>
  <c r="H30" i="37"/>
  <c r="H29" i="37"/>
  <c r="H28" i="37"/>
  <c r="H27" i="37"/>
  <c r="H26" i="37"/>
  <c r="H25" i="37"/>
  <c r="N32" i="37"/>
  <c r="N37" i="37"/>
  <c r="D32" i="37"/>
  <c r="D37" i="37"/>
  <c r="D36" i="37"/>
  <c r="D29" i="37"/>
  <c r="P18" i="37"/>
  <c r="P7" i="37"/>
  <c r="F7" i="37"/>
  <c r="R10" i="39" l="1"/>
  <c r="R49" i="39" s="1"/>
  <c r="R20" i="39"/>
  <c r="F31" i="39"/>
  <c r="H31" i="39" s="1"/>
  <c r="F30" i="39"/>
  <c r="H30" i="39" s="1"/>
  <c r="F35" i="39"/>
  <c r="H35" i="39" s="1"/>
  <c r="F34" i="39"/>
  <c r="H34" i="39" s="1"/>
  <c r="F32" i="39"/>
  <c r="H32" i="39" s="1"/>
  <c r="F28" i="39"/>
  <c r="H28" i="39" s="1"/>
  <c r="F27" i="39"/>
  <c r="H27" i="39" s="1"/>
  <c r="F26" i="39"/>
  <c r="H26" i="39" s="1"/>
  <c r="F25" i="39"/>
  <c r="R25" i="39"/>
  <c r="P39" i="39"/>
  <c r="R27" i="39"/>
  <c r="R33" i="39"/>
  <c r="R35" i="39"/>
  <c r="R30" i="39"/>
  <c r="R36" i="39"/>
  <c r="F29" i="39"/>
  <c r="H29" i="39" s="1"/>
  <c r="F33" i="39"/>
  <c r="H33" i="39" s="1"/>
  <c r="H49" i="39"/>
  <c r="N39" i="37"/>
  <c r="P25" i="37" s="1"/>
  <c r="F32" i="37"/>
  <c r="D39" i="37"/>
  <c r="F37" i="37" s="1"/>
  <c r="F25" i="37"/>
  <c r="D33" i="37"/>
  <c r="F33" i="37" s="1"/>
  <c r="F29" i="37"/>
  <c r="F36" i="37"/>
  <c r="P35" i="37"/>
  <c r="P31" i="37"/>
  <c r="P36" i="37"/>
  <c r="P27" i="37"/>
  <c r="P28" i="37"/>
  <c r="P37" i="37"/>
  <c r="P16" i="37"/>
  <c r="P15" i="37"/>
  <c r="P17" i="37"/>
  <c r="P6" i="37"/>
  <c r="P8" i="37"/>
  <c r="N49" i="37"/>
  <c r="P5" i="37"/>
  <c r="F6" i="37"/>
  <c r="F8" i="37"/>
  <c r="D49" i="37"/>
  <c r="H7" i="37" s="1"/>
  <c r="F5" i="37"/>
  <c r="H17" i="37"/>
  <c r="F18" i="37"/>
  <c r="F17" i="37"/>
  <c r="F16" i="37"/>
  <c r="F15" i="37"/>
  <c r="F34" i="37"/>
  <c r="F35" i="37"/>
  <c r="F26" i="37"/>
  <c r="F27" i="37"/>
  <c r="F31" i="37"/>
  <c r="F30" i="37"/>
  <c r="F28" i="37"/>
  <c r="W19" i="31"/>
  <c r="W40" i="31"/>
  <c r="M38" i="31"/>
  <c r="R15" i="37"/>
  <c r="R18" i="37"/>
  <c r="R16" i="37"/>
  <c r="R17" i="37"/>
  <c r="R8" i="37"/>
  <c r="R7" i="37"/>
  <c r="R6" i="37"/>
  <c r="R5" i="37"/>
  <c r="R39" i="39" l="1"/>
  <c r="F39" i="39"/>
  <c r="H25" i="39"/>
  <c r="H39" i="39" s="1"/>
  <c r="R45" i="37"/>
  <c r="S24" i="37"/>
  <c r="H15" i="37"/>
  <c r="H8" i="37"/>
  <c r="H18" i="37"/>
  <c r="H45" i="37"/>
  <c r="P33" i="37"/>
  <c r="P29" i="37"/>
  <c r="P30" i="37"/>
  <c r="P32" i="37"/>
  <c r="P26" i="37"/>
  <c r="P34" i="37"/>
  <c r="P39" i="37"/>
  <c r="P20" i="37"/>
  <c r="P10" i="37"/>
  <c r="H6" i="37"/>
  <c r="H16" i="37"/>
  <c r="H5" i="37"/>
  <c r="F10" i="37"/>
  <c r="H20" i="37"/>
  <c r="F20" i="37"/>
  <c r="H10" i="37"/>
  <c r="F39" i="37"/>
  <c r="H39" i="37"/>
  <c r="R10" i="37"/>
  <c r="R20" i="37"/>
  <c r="AV28" i="15"/>
  <c r="AV27" i="15"/>
  <c r="AV26" i="15"/>
  <c r="AV25" i="15"/>
  <c r="AV24" i="15"/>
  <c r="AV23" i="15"/>
  <c r="AV22" i="15"/>
  <c r="AV21" i="15"/>
  <c r="AV20" i="15"/>
  <c r="AV19" i="15"/>
  <c r="AV18" i="15"/>
  <c r="AV17" i="15"/>
  <c r="AV16" i="15"/>
  <c r="AV15" i="15"/>
  <c r="AV14" i="15"/>
  <c r="AV13" i="15"/>
  <c r="AV12" i="15"/>
  <c r="AV11" i="15"/>
  <c r="AV10" i="15"/>
  <c r="AV9" i="15"/>
  <c r="R36" i="37" l="1"/>
  <c r="R34" i="37"/>
  <c r="R32" i="37"/>
  <c r="R30" i="37"/>
  <c r="R28" i="37"/>
  <c r="R26" i="37"/>
  <c r="R37" i="37"/>
  <c r="R35" i="37"/>
  <c r="R33" i="37"/>
  <c r="R31" i="37"/>
  <c r="R29" i="37"/>
  <c r="R27" i="37"/>
  <c r="R25" i="37"/>
  <c r="R39" i="37" s="1"/>
  <c r="R49" i="37"/>
  <c r="H49" i="37"/>
  <c r="V26" i="21" l="1"/>
  <c r="V25" i="21"/>
  <c r="V24" i="21"/>
  <c r="V23" i="21"/>
  <c r="V22" i="21"/>
  <c r="V21" i="21"/>
  <c r="V20" i="21"/>
  <c r="V19" i="21"/>
  <c r="V18" i="21"/>
  <c r="V17" i="21"/>
  <c r="V16" i="21"/>
  <c r="V15" i="21"/>
  <c r="V14" i="21"/>
  <c r="V13" i="21"/>
  <c r="V12" i="21"/>
  <c r="V11" i="21"/>
  <c r="V10" i="21"/>
  <c r="V9" i="21"/>
  <c r="V7" i="21"/>
  <c r="V6" i="21"/>
  <c r="V4" i="21"/>
  <c r="V3" i="21"/>
  <c r="I21" i="28"/>
  <c r="I20" i="28"/>
  <c r="AZ38" i="17"/>
  <c r="AZ41" i="17" l="1"/>
  <c r="I18" i="28"/>
  <c r="I19" i="28"/>
  <c r="I22" i="28"/>
  <c r="I23" i="28"/>
  <c r="I24" i="28"/>
  <c r="I25" i="28"/>
  <c r="I26" i="28"/>
  <c r="I27" i="28"/>
  <c r="I28" i="28"/>
  <c r="I29" i="28"/>
  <c r="I30" i="28"/>
  <c r="I31" i="28"/>
  <c r="I32" i="28"/>
  <c r="I33" i="28"/>
  <c r="I34" i="28"/>
  <c r="I35" i="28"/>
  <c r="I36" i="28"/>
  <c r="I37" i="28"/>
  <c r="I38" i="28"/>
  <c r="I39" i="28"/>
  <c r="I40" i="28"/>
  <c r="I41" i="28"/>
  <c r="I42" i="28"/>
  <c r="CC32" i="31"/>
  <c r="CB3" i="31"/>
  <c r="CB4" i="31"/>
  <c r="CB5" i="31"/>
  <c r="CB6" i="31"/>
  <c r="CB7" i="31"/>
  <c r="CB8" i="31"/>
  <c r="CB9" i="31"/>
  <c r="CB10" i="31"/>
  <c r="CB11" i="31"/>
  <c r="CB12" i="31"/>
  <c r="CB13" i="31"/>
  <c r="CB14" i="31"/>
  <c r="CB15" i="31"/>
  <c r="CB16" i="31"/>
  <c r="CB17" i="31"/>
  <c r="CB18" i="31"/>
  <c r="CB19" i="31"/>
  <c r="CB20" i="31"/>
  <c r="CB21" i="31"/>
  <c r="CB22" i="31"/>
  <c r="CB23" i="31"/>
  <c r="CB24" i="31"/>
  <c r="CB25" i="31"/>
  <c r="CB26" i="31"/>
  <c r="CB27" i="31"/>
  <c r="CB28" i="31"/>
  <c r="CB29" i="31"/>
  <c r="CB30" i="31"/>
  <c r="CB31" i="31"/>
  <c r="CB32" i="31"/>
  <c r="CB33" i="31"/>
  <c r="CB34" i="31"/>
  <c r="CB35" i="31"/>
  <c r="CB2" i="31"/>
  <c r="CA38" i="31"/>
  <c r="CA37" i="31"/>
  <c r="CA3" i="31"/>
  <c r="CA4" i="31"/>
  <c r="CA5" i="31"/>
  <c r="CA6" i="31"/>
  <c r="CA7" i="31"/>
  <c r="CA8" i="31"/>
  <c r="CA9" i="31"/>
  <c r="CA10" i="31"/>
  <c r="CA11" i="31"/>
  <c r="CA12" i="31"/>
  <c r="CA13" i="31"/>
  <c r="CA14" i="31"/>
  <c r="CA15" i="31"/>
  <c r="CA16" i="31"/>
  <c r="CA17" i="31"/>
  <c r="CA18" i="31"/>
  <c r="CA19" i="31"/>
  <c r="CA20" i="31"/>
  <c r="CA21" i="31"/>
  <c r="CA22" i="31"/>
  <c r="CA23" i="31"/>
  <c r="CA24" i="31"/>
  <c r="CA25" i="31"/>
  <c r="CA26" i="31"/>
  <c r="CA27" i="31"/>
  <c r="CA28" i="31"/>
  <c r="CA29" i="31"/>
  <c r="CA30" i="31"/>
  <c r="CA31" i="31"/>
  <c r="CA32" i="31"/>
  <c r="CA33" i="31"/>
  <c r="CA34" i="31"/>
  <c r="CA35" i="31"/>
  <c r="CA2" i="31"/>
  <c r="BX31" i="31"/>
  <c r="BW3" i="31"/>
  <c r="BW4" i="31"/>
  <c r="BW5" i="31"/>
  <c r="BW6" i="31"/>
  <c r="BW7" i="31"/>
  <c r="BW8" i="31"/>
  <c r="BW9" i="31"/>
  <c r="BW10" i="31"/>
  <c r="BW11" i="31"/>
  <c r="BW12" i="31"/>
  <c r="BW13" i="31"/>
  <c r="BW14" i="31"/>
  <c r="BW15" i="31"/>
  <c r="BW16" i="31"/>
  <c r="BW17" i="31"/>
  <c r="BW18" i="31"/>
  <c r="BW19" i="31"/>
  <c r="BW20" i="31"/>
  <c r="BW21" i="31"/>
  <c r="BW22" i="31"/>
  <c r="BW23" i="31"/>
  <c r="BW24" i="31"/>
  <c r="BW25" i="31"/>
  <c r="BW26" i="31"/>
  <c r="BW27" i="31"/>
  <c r="BW28" i="31"/>
  <c r="BW29" i="31"/>
  <c r="BW30" i="31"/>
  <c r="BW31" i="31"/>
  <c r="BW32" i="31"/>
  <c r="BW33" i="31"/>
  <c r="BW34" i="31"/>
  <c r="BW35" i="31"/>
  <c r="BW36" i="31"/>
  <c r="BW2" i="31"/>
  <c r="BV39" i="31"/>
  <c r="BV38" i="31"/>
  <c r="BV3" i="31"/>
  <c r="BV4" i="31"/>
  <c r="BV5" i="31"/>
  <c r="BV6" i="31"/>
  <c r="BV7" i="31"/>
  <c r="BV8" i="31"/>
  <c r="BV9" i="31"/>
  <c r="BV10" i="31"/>
  <c r="BV11" i="31"/>
  <c r="BV12" i="31"/>
  <c r="BV13" i="31"/>
  <c r="BV14" i="31"/>
  <c r="BV15" i="31"/>
  <c r="BV16" i="31"/>
  <c r="BV17" i="31"/>
  <c r="BV18" i="31"/>
  <c r="BV19" i="31"/>
  <c r="BV20" i="31"/>
  <c r="BV21" i="31"/>
  <c r="BV22" i="31"/>
  <c r="BV23" i="31"/>
  <c r="BV24" i="31"/>
  <c r="BV25" i="31"/>
  <c r="BV26" i="31"/>
  <c r="BV27" i="31"/>
  <c r="BV28" i="31"/>
  <c r="BV29" i="31"/>
  <c r="BV30" i="31"/>
  <c r="BV31" i="31"/>
  <c r="BV32" i="31"/>
  <c r="BV33" i="31"/>
  <c r="BV34" i="31"/>
  <c r="BV35" i="31"/>
  <c r="BV36" i="31"/>
  <c r="BV2" i="31"/>
  <c r="BR3" i="31"/>
  <c r="BR4" i="31"/>
  <c r="BR5" i="31"/>
  <c r="BR6" i="31"/>
  <c r="BR7" i="31"/>
  <c r="BR8" i="31"/>
  <c r="BR9" i="31"/>
  <c r="BR10" i="31"/>
  <c r="BR11" i="31"/>
  <c r="BR12" i="31"/>
  <c r="BR13" i="31"/>
  <c r="BR14" i="31"/>
  <c r="BR15" i="31"/>
  <c r="BR16" i="31"/>
  <c r="BR17" i="31"/>
  <c r="BR18" i="31"/>
  <c r="BR19" i="31"/>
  <c r="BR20" i="31"/>
  <c r="BR21" i="31"/>
  <c r="BR22" i="31"/>
  <c r="BR23" i="31"/>
  <c r="BR24" i="31"/>
  <c r="BR25" i="31"/>
  <c r="BR26" i="31"/>
  <c r="BR27" i="31"/>
  <c r="BR28" i="31"/>
  <c r="BR29" i="31"/>
  <c r="BR30" i="31"/>
  <c r="BR31" i="31"/>
  <c r="BR32" i="31"/>
  <c r="BR33" i="31"/>
  <c r="BR34" i="31"/>
  <c r="BR35" i="31"/>
  <c r="BR36" i="31"/>
  <c r="BR2" i="31"/>
  <c r="BQ39" i="31"/>
  <c r="BQ38" i="31"/>
  <c r="BQ3" i="31"/>
  <c r="BQ4" i="31"/>
  <c r="BQ5" i="31"/>
  <c r="BQ6" i="31"/>
  <c r="BQ7" i="31"/>
  <c r="BQ8" i="31"/>
  <c r="BQ9" i="31"/>
  <c r="BQ10" i="31"/>
  <c r="BQ11" i="31"/>
  <c r="BQ12" i="31"/>
  <c r="BQ13" i="31"/>
  <c r="BQ14" i="31"/>
  <c r="BQ15" i="31"/>
  <c r="BQ16" i="31"/>
  <c r="BQ17" i="31"/>
  <c r="BQ18" i="31"/>
  <c r="BQ19" i="31"/>
  <c r="BQ20" i="31"/>
  <c r="BQ21" i="31"/>
  <c r="BQ22" i="31"/>
  <c r="BQ23" i="31"/>
  <c r="BQ24" i="31"/>
  <c r="BQ25" i="31"/>
  <c r="BQ26" i="31"/>
  <c r="BQ27" i="31"/>
  <c r="BQ28" i="31"/>
  <c r="BQ29" i="31"/>
  <c r="BQ30" i="31"/>
  <c r="BQ31" i="31"/>
  <c r="BQ32" i="31"/>
  <c r="BQ33" i="31"/>
  <c r="BQ34" i="31"/>
  <c r="BQ35" i="31"/>
  <c r="BQ36" i="31"/>
  <c r="BQ2" i="31"/>
  <c r="BN30" i="31"/>
  <c r="BS33" i="31" s="1"/>
  <c r="BI23" i="31"/>
  <c r="BE23" i="31"/>
  <c r="AC8" i="31"/>
  <c r="N37" i="26"/>
  <c r="N36" i="26"/>
  <c r="T11" i="26" s="1"/>
  <c r="C21" i="27" s="1"/>
  <c r="F36" i="26"/>
  <c r="D36" i="26"/>
  <c r="B36" i="26"/>
  <c r="X19" i="26"/>
  <c r="X3" i="26"/>
  <c r="X4" i="26"/>
  <c r="X5" i="26"/>
  <c r="X6" i="26"/>
  <c r="X7" i="26"/>
  <c r="X8" i="26"/>
  <c r="X9" i="26"/>
  <c r="X10" i="26"/>
  <c r="X11" i="26"/>
  <c r="X12" i="26"/>
  <c r="X13" i="26"/>
  <c r="X14" i="26"/>
  <c r="X15" i="26"/>
  <c r="X16" i="26"/>
  <c r="X17" i="26"/>
  <c r="X18" i="26"/>
  <c r="X20" i="26"/>
  <c r="X21" i="26"/>
  <c r="X23" i="26"/>
  <c r="X24" i="26"/>
  <c r="X25" i="26"/>
  <c r="X26" i="26"/>
  <c r="X2" i="26"/>
  <c r="AX37" i="7"/>
  <c r="P36" i="26" s="1"/>
  <c r="AS24" i="31"/>
  <c r="AN3" i="31"/>
  <c r="AN4" i="31"/>
  <c r="AN5" i="31"/>
  <c r="AN6" i="31"/>
  <c r="AN8" i="31"/>
  <c r="AN9" i="31"/>
  <c r="AN10" i="31"/>
  <c r="AN11" i="31"/>
  <c r="AN12" i="31"/>
  <c r="AN13" i="31"/>
  <c r="AN14" i="31"/>
  <c r="AN15" i="31"/>
  <c r="AN16" i="31"/>
  <c r="AN17" i="31"/>
  <c r="AN18" i="31"/>
  <c r="AN19" i="31"/>
  <c r="AN20" i="31"/>
  <c r="AN22" i="31"/>
  <c r="AN23" i="31"/>
  <c r="AN24" i="31"/>
  <c r="AN25" i="31"/>
  <c r="AN26" i="31"/>
  <c r="AN27" i="31"/>
  <c r="AN28" i="31"/>
  <c r="AN29" i="31"/>
  <c r="AN30" i="31"/>
  <c r="AN31" i="31"/>
  <c r="AN32" i="31"/>
  <c r="AN33" i="31"/>
  <c r="AN34" i="31"/>
  <c r="AN35" i="31"/>
  <c r="AN36" i="31"/>
  <c r="AN37" i="31"/>
  <c r="AN38" i="31"/>
  <c r="AN39" i="31"/>
  <c r="AN40" i="31"/>
  <c r="AN2" i="31"/>
  <c r="AM3" i="31"/>
  <c r="AM4" i="31"/>
  <c r="AM5" i="31"/>
  <c r="AM6" i="31"/>
  <c r="AM7" i="31"/>
  <c r="AM8" i="31"/>
  <c r="AM9" i="31"/>
  <c r="AM10" i="31"/>
  <c r="AM11" i="31"/>
  <c r="AM12" i="31"/>
  <c r="AM13" i="31"/>
  <c r="AM14" i="31"/>
  <c r="AM15" i="31"/>
  <c r="AM16" i="31"/>
  <c r="AM17" i="31"/>
  <c r="AM18" i="31"/>
  <c r="AM19" i="31"/>
  <c r="AM20" i="31"/>
  <c r="AM21" i="31"/>
  <c r="AM22" i="31"/>
  <c r="AM23" i="31"/>
  <c r="AM24" i="31"/>
  <c r="AM25" i="31"/>
  <c r="AM26" i="31"/>
  <c r="AM27" i="31"/>
  <c r="AM28" i="31"/>
  <c r="AM29" i="31"/>
  <c r="AM30" i="31"/>
  <c r="AM31" i="31"/>
  <c r="AM32" i="31"/>
  <c r="AM33" i="31"/>
  <c r="AM34" i="31"/>
  <c r="AM35" i="31"/>
  <c r="AM36" i="31"/>
  <c r="AM37" i="31"/>
  <c r="AM38" i="31"/>
  <c r="AM39" i="31"/>
  <c r="AM40" i="31"/>
  <c r="AM2" i="31"/>
  <c r="AI3" i="31"/>
  <c r="AI4" i="31"/>
  <c r="AI5" i="31"/>
  <c r="AI6" i="31"/>
  <c r="AI7" i="31"/>
  <c r="AI8" i="31"/>
  <c r="AI9" i="31"/>
  <c r="AI10" i="31"/>
  <c r="AI11" i="31"/>
  <c r="AI12" i="31"/>
  <c r="AI13" i="31"/>
  <c r="AI14" i="31"/>
  <c r="AI15" i="31"/>
  <c r="AI16" i="31"/>
  <c r="AI17" i="31"/>
  <c r="AI18" i="31"/>
  <c r="AI19" i="31"/>
  <c r="AI20" i="31"/>
  <c r="AI21" i="31"/>
  <c r="AI22" i="31"/>
  <c r="AI23" i="31"/>
  <c r="AI24" i="31"/>
  <c r="AI25" i="31"/>
  <c r="AI26" i="31"/>
  <c r="AI27" i="31"/>
  <c r="AI28" i="31"/>
  <c r="AI29" i="31"/>
  <c r="AI30" i="31"/>
  <c r="AI31" i="31"/>
  <c r="AI32" i="31"/>
  <c r="AI33" i="31"/>
  <c r="AI34" i="31"/>
  <c r="AI35" i="31"/>
  <c r="AI36" i="31"/>
  <c r="AI37" i="31"/>
  <c r="AI38" i="31"/>
  <c r="AI39" i="31"/>
  <c r="AI40" i="31"/>
  <c r="AI2" i="31"/>
  <c r="AC3" i="31"/>
  <c r="AC4" i="31"/>
  <c r="AC5" i="31"/>
  <c r="AC6" i="31"/>
  <c r="AC7" i="31"/>
  <c r="AC9" i="31"/>
  <c r="AC10" i="31"/>
  <c r="AC11" i="31"/>
  <c r="AC12" i="3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2" i="31"/>
  <c r="AA7" i="31"/>
  <c r="AA3" i="31"/>
  <c r="AA4" i="31"/>
  <c r="AA5" i="31"/>
  <c r="AA6" i="31"/>
  <c r="AA8" i="31"/>
  <c r="AA9" i="31"/>
  <c r="AA10" i="31"/>
  <c r="AA11" i="31"/>
  <c r="AA12" i="31"/>
  <c r="AA13" i="31"/>
  <c r="AA14" i="31"/>
  <c r="AA15" i="31"/>
  <c r="AA16" i="31"/>
  <c r="AA17" i="31"/>
  <c r="AA18" i="31"/>
  <c r="AA19" i="31"/>
  <c r="AA20" i="31"/>
  <c r="AA21" i="31"/>
  <c r="AA22" i="31"/>
  <c r="AA23" i="31"/>
  <c r="AA24" i="31"/>
  <c r="AA25" i="31"/>
  <c r="AA26" i="31"/>
  <c r="AA27" i="31"/>
  <c r="AA28" i="31"/>
  <c r="AA29" i="31"/>
  <c r="AA30" i="31"/>
  <c r="AA31" i="31"/>
  <c r="AA32" i="31"/>
  <c r="AA33" i="31"/>
  <c r="AA34" i="31"/>
  <c r="AA35" i="31"/>
  <c r="AA36" i="31"/>
  <c r="AA37" i="31"/>
  <c r="AA38" i="31"/>
  <c r="AA39" i="31"/>
  <c r="AA40" i="31"/>
  <c r="AA2" i="31"/>
  <c r="Z3" i="31"/>
  <c r="Z4" i="31"/>
  <c r="Z5" i="31"/>
  <c r="Z6" i="31"/>
  <c r="Z8" i="31"/>
  <c r="Z9" i="31"/>
  <c r="Z11" i="31"/>
  <c r="Z12" i="31"/>
  <c r="Z13" i="31"/>
  <c r="Z14" i="31"/>
  <c r="Z15" i="31"/>
  <c r="Z16" i="31"/>
  <c r="Z17" i="31"/>
  <c r="Z18" i="31"/>
  <c r="Z19" i="31"/>
  <c r="Z20" i="31"/>
  <c r="Z21" i="31"/>
  <c r="Z22" i="31"/>
  <c r="Z23" i="31"/>
  <c r="Z24" i="31"/>
  <c r="Z25" i="31"/>
  <c r="Z26" i="31"/>
  <c r="Z27" i="31"/>
  <c r="Z28" i="31"/>
  <c r="Z29" i="31"/>
  <c r="Z30" i="31"/>
  <c r="Z31" i="31"/>
  <c r="Z32" i="31"/>
  <c r="Z33" i="31"/>
  <c r="Z34" i="31"/>
  <c r="Z35" i="31"/>
  <c r="Z36" i="31"/>
  <c r="Z37" i="31"/>
  <c r="Z38" i="31"/>
  <c r="Z39" i="31"/>
  <c r="Z2" i="31"/>
  <c r="U3" i="31"/>
  <c r="U4" i="31"/>
  <c r="U5" i="31"/>
  <c r="U6" i="31"/>
  <c r="U7" i="31"/>
  <c r="U8" i="31"/>
  <c r="U9" i="31"/>
  <c r="U10" i="31"/>
  <c r="U11" i="31"/>
  <c r="U12" i="31"/>
  <c r="U13" i="31"/>
  <c r="U14" i="31"/>
  <c r="U15" i="31"/>
  <c r="U16" i="31"/>
  <c r="U17" i="31"/>
  <c r="U18" i="31"/>
  <c r="U19" i="31"/>
  <c r="U20" i="31"/>
  <c r="U21" i="31"/>
  <c r="U22" i="31"/>
  <c r="U23" i="31"/>
  <c r="U24" i="31"/>
  <c r="U25" i="31"/>
  <c r="U26" i="31"/>
  <c r="U27" i="31"/>
  <c r="U28" i="31"/>
  <c r="U29" i="31"/>
  <c r="U30" i="31"/>
  <c r="U31" i="31"/>
  <c r="U32" i="31"/>
  <c r="U33" i="31"/>
  <c r="U34" i="31"/>
  <c r="U35" i="31"/>
  <c r="U36" i="31"/>
  <c r="U37" i="31"/>
  <c r="U38" i="31"/>
  <c r="U39" i="31"/>
  <c r="U40" i="31"/>
  <c r="U2" i="31"/>
  <c r="S3" i="31"/>
  <c r="S4" i="31"/>
  <c r="S5" i="31"/>
  <c r="S6" i="31"/>
  <c r="S7" i="31"/>
  <c r="S8" i="31"/>
  <c r="S9" i="31"/>
  <c r="S10" i="31"/>
  <c r="S11" i="31"/>
  <c r="S12" i="31"/>
  <c r="S13" i="31"/>
  <c r="S14" i="31"/>
  <c r="S15" i="31"/>
  <c r="S16" i="31"/>
  <c r="S17" i="31"/>
  <c r="S18" i="31"/>
  <c r="S19" i="31"/>
  <c r="S20" i="31"/>
  <c r="S21" i="31"/>
  <c r="S22" i="31"/>
  <c r="S23" i="31"/>
  <c r="S24" i="31"/>
  <c r="S25" i="31"/>
  <c r="S26" i="31"/>
  <c r="S27" i="31"/>
  <c r="S28" i="31"/>
  <c r="S29" i="31"/>
  <c r="S30" i="31"/>
  <c r="S31" i="31"/>
  <c r="S32" i="31"/>
  <c r="S33" i="31"/>
  <c r="S34" i="31"/>
  <c r="S35" i="31"/>
  <c r="S36" i="31"/>
  <c r="S37" i="31"/>
  <c r="S38" i="31"/>
  <c r="S39" i="31"/>
  <c r="S40" i="31"/>
  <c r="S2" i="31"/>
  <c r="Q3"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2" i="31"/>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2" i="31"/>
  <c r="I3" i="31"/>
  <c r="I4" i="31"/>
  <c r="I5" i="31"/>
  <c r="I6" i="31"/>
  <c r="I7" i="31"/>
  <c r="I8" i="31"/>
  <c r="I9" i="3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2" i="31"/>
  <c r="AL46" i="31"/>
  <c r="AL45" i="31"/>
  <c r="AC46" i="31"/>
  <c r="S46" i="31"/>
  <c r="E3" i="31"/>
  <c r="BL16" i="31" s="1"/>
  <c r="E4" i="31"/>
  <c r="BL21" i="31" s="1"/>
  <c r="E5" i="31"/>
  <c r="E6" i="31"/>
  <c r="BL29" i="31" s="1"/>
  <c r="E7" i="31"/>
  <c r="BL35" i="31" s="1"/>
  <c r="E8" i="31"/>
  <c r="BL5" i="31" s="1"/>
  <c r="E9" i="31"/>
  <c r="BL8" i="31" s="1"/>
  <c r="E10" i="31"/>
  <c r="BL11" i="31" s="1"/>
  <c r="E11" i="31"/>
  <c r="BL13" i="31" s="1"/>
  <c r="E12" i="31"/>
  <c r="E13" i="31"/>
  <c r="BL14" i="31" s="1"/>
  <c r="E14" i="31"/>
  <c r="BL15" i="31" s="1"/>
  <c r="E15" i="31"/>
  <c r="BL17" i="31" s="1"/>
  <c r="E16" i="31"/>
  <c r="BL18" i="31" s="1"/>
  <c r="E17" i="31"/>
  <c r="BL19" i="31" s="1"/>
  <c r="E18" i="31"/>
  <c r="BL20" i="31" s="1"/>
  <c r="E19" i="31"/>
  <c r="E20" i="31"/>
  <c r="BL25" i="31" s="1"/>
  <c r="E21" i="31"/>
  <c r="BL26" i="31" s="1"/>
  <c r="E22" i="31"/>
  <c r="BL27" i="31" s="1"/>
  <c r="E23" i="31"/>
  <c r="BL28" i="31" s="1"/>
  <c r="E24" i="31"/>
  <c r="BL30" i="31" s="1"/>
  <c r="E25" i="31"/>
  <c r="BL31" i="31" s="1"/>
  <c r="E26" i="31"/>
  <c r="BL32" i="31" s="1"/>
  <c r="E27" i="31"/>
  <c r="BL2" i="31" s="1"/>
  <c r="E28" i="31"/>
  <c r="BL3" i="31" s="1"/>
  <c r="E29" i="31"/>
  <c r="BL4" i="31" s="1"/>
  <c r="E30" i="31"/>
  <c r="BL6" i="31" s="1"/>
  <c r="E31" i="31"/>
  <c r="BL7" i="31" s="1"/>
  <c r="E32" i="31"/>
  <c r="BL9" i="31" s="1"/>
  <c r="E33" i="31"/>
  <c r="BL10" i="31" s="1"/>
  <c r="E34" i="31"/>
  <c r="BL12" i="31" s="1"/>
  <c r="E35" i="31"/>
  <c r="E36" i="31"/>
  <c r="BL22" i="31" s="1"/>
  <c r="E37" i="31"/>
  <c r="BL23" i="31" s="1"/>
  <c r="E38" i="31"/>
  <c r="BL24" i="31" s="1"/>
  <c r="E39" i="31"/>
  <c r="BL33" i="31" s="1"/>
  <c r="E40" i="31"/>
  <c r="BL34" i="31" s="1"/>
  <c r="E2" i="31"/>
  <c r="G3" i="34"/>
  <c r="G4" i="34"/>
  <c r="G5" i="34"/>
  <c r="G6" i="34"/>
  <c r="G7" i="34"/>
  <c r="G8" i="34"/>
  <c r="G9" i="34"/>
  <c r="G10" i="34"/>
  <c r="G11" i="34"/>
  <c r="G12" i="34"/>
  <c r="G13" i="34"/>
  <c r="G14" i="34"/>
  <c r="G15" i="34"/>
  <c r="G16" i="34"/>
  <c r="G17" i="34"/>
  <c r="G18" i="34"/>
  <c r="G19" i="34"/>
  <c r="G20" i="34"/>
  <c r="G21" i="34"/>
  <c r="G22" i="34"/>
  <c r="G23" i="34"/>
  <c r="G24" i="34"/>
  <c r="G25" i="34"/>
  <c r="G26" i="34"/>
  <c r="G27" i="34"/>
  <c r="G28" i="34"/>
  <c r="G29" i="34"/>
  <c r="G30" i="34"/>
  <c r="G31" i="34"/>
  <c r="G32" i="34"/>
  <c r="G33" i="34"/>
  <c r="G34" i="34"/>
  <c r="G35" i="34"/>
  <c r="G36" i="34"/>
  <c r="G37" i="34"/>
  <c r="G38" i="34"/>
  <c r="G39" i="34"/>
  <c r="G40" i="34"/>
  <c r="G41" i="34"/>
  <c r="G42" i="34"/>
  <c r="G43" i="34"/>
  <c r="G44" i="34"/>
  <c r="G45" i="34"/>
  <c r="G46" i="34"/>
  <c r="G47" i="34"/>
  <c r="G48" i="34"/>
  <c r="G49" i="34"/>
  <c r="G50" i="34"/>
  <c r="G51" i="34"/>
  <c r="G52" i="34"/>
  <c r="G53" i="34"/>
  <c r="G54" i="34"/>
  <c r="G55" i="34"/>
  <c r="G56" i="34"/>
  <c r="G57" i="34"/>
  <c r="G58" i="34"/>
  <c r="G59" i="34"/>
  <c r="G60" i="34"/>
  <c r="G61" i="34"/>
  <c r="G62" i="34"/>
  <c r="G63" i="34"/>
  <c r="G64" i="34"/>
  <c r="G65" i="34"/>
  <c r="G66" i="34"/>
  <c r="G67" i="34"/>
  <c r="G68" i="34"/>
  <c r="G69" i="34"/>
  <c r="G70" i="34"/>
  <c r="G71" i="34"/>
  <c r="G72" i="34"/>
  <c r="G73" i="34"/>
  <c r="G74" i="34"/>
  <c r="G75" i="34"/>
  <c r="G76" i="34"/>
  <c r="G77" i="34"/>
  <c r="G78" i="34"/>
  <c r="G79" i="34"/>
  <c r="G80" i="34"/>
  <c r="G81" i="34"/>
  <c r="G82" i="34"/>
  <c r="G83" i="34"/>
  <c r="G84" i="34"/>
  <c r="G85" i="34"/>
  <c r="G86" i="34"/>
  <c r="G87" i="34"/>
  <c r="G88" i="34"/>
  <c r="G89" i="34"/>
  <c r="G90" i="34"/>
  <c r="G91" i="34"/>
  <c r="G92" i="34"/>
  <c r="G93" i="34"/>
  <c r="G94" i="34"/>
  <c r="G95" i="34"/>
  <c r="G96" i="34"/>
  <c r="G97" i="34"/>
  <c r="G98" i="34"/>
  <c r="G99" i="34"/>
  <c r="G100" i="34"/>
  <c r="G101" i="34"/>
  <c r="G102" i="34"/>
  <c r="G103" i="34"/>
  <c r="G104" i="34"/>
  <c r="G105" i="34"/>
  <c r="G106" i="34"/>
  <c r="G107" i="34"/>
  <c r="G108" i="34"/>
  <c r="G109" i="34"/>
  <c r="G110" i="34"/>
  <c r="G111" i="34"/>
  <c r="G112" i="34"/>
  <c r="G113" i="34"/>
  <c r="G114" i="34"/>
  <c r="G115" i="34"/>
  <c r="G116" i="34"/>
  <c r="G117" i="34"/>
  <c r="G118" i="34"/>
  <c r="G119" i="34"/>
  <c r="G120" i="34"/>
  <c r="G121" i="34"/>
  <c r="G122" i="34"/>
  <c r="G123" i="34"/>
  <c r="G124" i="34"/>
  <c r="G125" i="34"/>
  <c r="G126" i="34"/>
  <c r="G127" i="34"/>
  <c r="G128" i="34"/>
  <c r="G129" i="34"/>
  <c r="G130" i="34"/>
  <c r="G131" i="34"/>
  <c r="G132" i="34"/>
  <c r="G133" i="34"/>
  <c r="G134" i="34"/>
  <c r="G135" i="34"/>
  <c r="G136" i="34"/>
  <c r="G137" i="34"/>
  <c r="G138" i="34"/>
  <c r="G139" i="34"/>
  <c r="G140" i="34"/>
  <c r="G141" i="34"/>
  <c r="G142" i="34"/>
  <c r="G143" i="34"/>
  <c r="G144" i="34"/>
  <c r="G145" i="34"/>
  <c r="G146" i="34"/>
  <c r="G147" i="34"/>
  <c r="G148" i="34"/>
  <c r="G149" i="34"/>
  <c r="G150" i="34"/>
  <c r="G151" i="34"/>
  <c r="G152" i="34"/>
  <c r="G153" i="34"/>
  <c r="G154" i="34"/>
  <c r="G155" i="34"/>
  <c r="G156" i="34"/>
  <c r="G157" i="34"/>
  <c r="G158" i="34"/>
  <c r="G159" i="34"/>
  <c r="G160" i="34"/>
  <c r="G161" i="34"/>
  <c r="G2" i="34"/>
  <c r="F3" i="34"/>
  <c r="F4" i="34"/>
  <c r="F5" i="34"/>
  <c r="F6" i="34"/>
  <c r="F7" i="34"/>
  <c r="F8" i="34"/>
  <c r="F9" i="34"/>
  <c r="F10" i="34"/>
  <c r="F11" i="34"/>
  <c r="F12" i="34"/>
  <c r="F13" i="34"/>
  <c r="F14" i="34"/>
  <c r="F15" i="34"/>
  <c r="F16" i="34"/>
  <c r="F17" i="34"/>
  <c r="F18" i="34"/>
  <c r="F19" i="34"/>
  <c r="F20" i="34"/>
  <c r="F21" i="34"/>
  <c r="F22" i="34"/>
  <c r="F23" i="34"/>
  <c r="F24" i="34"/>
  <c r="F25" i="34"/>
  <c r="F26" i="34"/>
  <c r="F27" i="34"/>
  <c r="F28" i="34"/>
  <c r="F29" i="34"/>
  <c r="F30" i="34"/>
  <c r="F31" i="34"/>
  <c r="F32" i="34"/>
  <c r="F33" i="34"/>
  <c r="F34" i="34"/>
  <c r="F35" i="34"/>
  <c r="F36" i="34"/>
  <c r="F37" i="34"/>
  <c r="F38" i="34"/>
  <c r="F39" i="34"/>
  <c r="F40" i="34"/>
  <c r="F41" i="34"/>
  <c r="F42" i="34"/>
  <c r="F43" i="34"/>
  <c r="F44" i="34"/>
  <c r="F45" i="34"/>
  <c r="F46" i="34"/>
  <c r="F47" i="34"/>
  <c r="F48" i="34"/>
  <c r="F49" i="34"/>
  <c r="F50" i="34"/>
  <c r="F51" i="34"/>
  <c r="F52" i="34"/>
  <c r="F53" i="34"/>
  <c r="F54" i="34"/>
  <c r="F55" i="34"/>
  <c r="F56" i="34"/>
  <c r="F57" i="34"/>
  <c r="F58" i="34"/>
  <c r="F59" i="34"/>
  <c r="F60" i="34"/>
  <c r="F61"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148" i="34"/>
  <c r="F149" i="34"/>
  <c r="F150" i="34"/>
  <c r="F151" i="34"/>
  <c r="F152" i="34"/>
  <c r="F153" i="34"/>
  <c r="F154" i="34"/>
  <c r="F155" i="34"/>
  <c r="F156" i="34"/>
  <c r="F157" i="34"/>
  <c r="F158" i="34"/>
  <c r="F159" i="34"/>
  <c r="F160" i="34"/>
  <c r="F161" i="34"/>
  <c r="F2" i="34"/>
  <c r="D3" i="34"/>
  <c r="D4" i="34"/>
  <c r="D5"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100" i="34"/>
  <c r="D101" i="34"/>
  <c r="D103" i="34"/>
  <c r="D104" i="34"/>
  <c r="D105" i="34"/>
  <c r="D106" i="34"/>
  <c r="D107" i="34"/>
  <c r="D108" i="34"/>
  <c r="D109"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1" i="34"/>
  <c r="D142" i="34"/>
  <c r="D143" i="34"/>
  <c r="D144" i="34"/>
  <c r="D145" i="34"/>
  <c r="D146" i="34"/>
  <c r="D147" i="34"/>
  <c r="D148" i="34"/>
  <c r="D149" i="34"/>
  <c r="D150" i="34"/>
  <c r="D152" i="34"/>
  <c r="D153" i="34"/>
  <c r="D154" i="34"/>
  <c r="D155" i="34"/>
  <c r="D156" i="34"/>
  <c r="D158" i="34"/>
  <c r="D159" i="34"/>
  <c r="D160" i="34"/>
  <c r="D161" i="34"/>
  <c r="D2" i="34"/>
  <c r="C3" i="34"/>
  <c r="C4" i="34"/>
  <c r="C5" i="34"/>
  <c r="C6" i="34"/>
  <c r="C7" i="34"/>
  <c r="C8" i="34"/>
  <c r="C9" i="34"/>
  <c r="C10" i="34"/>
  <c r="C11" i="34"/>
  <c r="C12" i="34"/>
  <c r="C13" i="34"/>
  <c r="C14" i="34"/>
  <c r="C15" i="34"/>
  <c r="C16" i="34"/>
  <c r="C17" i="34"/>
  <c r="C18" i="34"/>
  <c r="C19" i="34"/>
  <c r="C20" i="34"/>
  <c r="C21" i="34"/>
  <c r="C22" i="34"/>
  <c r="C23" i="34"/>
  <c r="C24" i="34"/>
  <c r="C25" i="34"/>
  <c r="C26" i="34"/>
  <c r="C27" i="34"/>
  <c r="C28" i="34"/>
  <c r="C29" i="34"/>
  <c r="C30" i="34"/>
  <c r="C31" i="34"/>
  <c r="C32" i="34"/>
  <c r="C33" i="34"/>
  <c r="C34" i="34"/>
  <c r="C35" i="34"/>
  <c r="C36" i="34"/>
  <c r="C37" i="34"/>
  <c r="C38" i="34"/>
  <c r="C39" i="34"/>
  <c r="C40" i="34"/>
  <c r="C41" i="34"/>
  <c r="C42" i="34"/>
  <c r="C43" i="34"/>
  <c r="C44" i="34"/>
  <c r="C45" i="34"/>
  <c r="C46" i="34"/>
  <c r="C47" i="34"/>
  <c r="C48" i="34"/>
  <c r="C49" i="34"/>
  <c r="C50" i="34"/>
  <c r="C51" i="34"/>
  <c r="C52" i="34"/>
  <c r="C53" i="34"/>
  <c r="C54" i="34"/>
  <c r="C55" i="34"/>
  <c r="C56" i="34"/>
  <c r="C57" i="34"/>
  <c r="C58" i="34"/>
  <c r="C59" i="34"/>
  <c r="C60" i="34"/>
  <c r="C61" i="34"/>
  <c r="C62" i="34"/>
  <c r="C63" i="34"/>
  <c r="C64" i="34"/>
  <c r="C65" i="34"/>
  <c r="C66" i="34"/>
  <c r="C67" i="34"/>
  <c r="C68" i="34"/>
  <c r="C69" i="34"/>
  <c r="C70" i="34"/>
  <c r="C71" i="34"/>
  <c r="C72" i="34"/>
  <c r="C73" i="34"/>
  <c r="C74" i="34"/>
  <c r="C75" i="34"/>
  <c r="C76" i="34"/>
  <c r="C77" i="34"/>
  <c r="C78" i="34"/>
  <c r="C79" i="34"/>
  <c r="C80" i="34"/>
  <c r="C81" i="34"/>
  <c r="C82" i="34"/>
  <c r="C83" i="34"/>
  <c r="C84" i="34"/>
  <c r="C85" i="34"/>
  <c r="C86" i="34"/>
  <c r="C87" i="34"/>
  <c r="C88" i="34"/>
  <c r="C89" i="34"/>
  <c r="C90" i="34"/>
  <c r="C91" i="34"/>
  <c r="C92" i="34"/>
  <c r="C93" i="34"/>
  <c r="C94" i="34"/>
  <c r="C95" i="34"/>
  <c r="C96" i="34"/>
  <c r="C97" i="34"/>
  <c r="C98" i="34"/>
  <c r="C99" i="34"/>
  <c r="C100" i="34"/>
  <c r="C101" i="34"/>
  <c r="C102" i="34"/>
  <c r="C103" i="34"/>
  <c r="C104" i="34"/>
  <c r="C105" i="34"/>
  <c r="C106" i="34"/>
  <c r="C107" i="34"/>
  <c r="C108" i="34"/>
  <c r="C109" i="34"/>
  <c r="C110" i="34"/>
  <c r="C111" i="34"/>
  <c r="C112" i="34"/>
  <c r="C113" i="34"/>
  <c r="C114" i="34"/>
  <c r="C115" i="34"/>
  <c r="C116" i="34"/>
  <c r="C117" i="34"/>
  <c r="C118" i="34"/>
  <c r="C119" i="34"/>
  <c r="C120" i="34"/>
  <c r="C121" i="34"/>
  <c r="C122" i="34"/>
  <c r="C123" i="34"/>
  <c r="C124" i="34"/>
  <c r="C125" i="34"/>
  <c r="C126" i="34"/>
  <c r="C127" i="34"/>
  <c r="C128" i="34"/>
  <c r="C129" i="34"/>
  <c r="C130" i="34"/>
  <c r="C131" i="34"/>
  <c r="C132" i="34"/>
  <c r="C133" i="34"/>
  <c r="C134" i="34"/>
  <c r="C135" i="34"/>
  <c r="C136" i="34"/>
  <c r="C137" i="34"/>
  <c r="C138" i="34"/>
  <c r="C139" i="34"/>
  <c r="C140" i="34"/>
  <c r="C141" i="34"/>
  <c r="C142" i="34"/>
  <c r="C143" i="34"/>
  <c r="C144" i="34"/>
  <c r="C145" i="34"/>
  <c r="C146" i="34"/>
  <c r="C147" i="34"/>
  <c r="C148" i="34"/>
  <c r="C149" i="34"/>
  <c r="C150" i="34"/>
  <c r="C151" i="34"/>
  <c r="C152" i="34"/>
  <c r="C153" i="34"/>
  <c r="C154" i="34"/>
  <c r="C155" i="34"/>
  <c r="C156" i="34"/>
  <c r="C157" i="34"/>
  <c r="C158" i="34"/>
  <c r="C159" i="34"/>
  <c r="C160" i="34"/>
  <c r="C161" i="34"/>
  <c r="C2" i="34"/>
  <c r="D3" i="31"/>
  <c r="D4" i="31"/>
  <c r="D5" i="31"/>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2" i="31"/>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5" i="29"/>
  <c r="B4" i="30"/>
  <c r="B5" i="30"/>
  <c r="B6" i="30"/>
  <c r="B7" i="30"/>
  <c r="B8" i="30"/>
  <c r="B9" i="30"/>
  <c r="B10" i="30"/>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 i="30"/>
  <c r="H43" i="2"/>
  <c r="H42" i="2"/>
  <c r="H41" i="2"/>
  <c r="H40" i="2"/>
  <c r="H39" i="2"/>
  <c r="H38" i="2"/>
  <c r="H37" i="2"/>
  <c r="H36" i="2"/>
  <c r="H35" i="2"/>
  <c r="H34" i="2"/>
  <c r="H33" i="2"/>
  <c r="H32" i="2"/>
  <c r="H31" i="2"/>
  <c r="H30" i="2"/>
  <c r="H29" i="2"/>
  <c r="H28" i="2"/>
  <c r="H27" i="2"/>
  <c r="H26" i="2"/>
  <c r="H24" i="2"/>
  <c r="H23" i="2"/>
  <c r="H21" i="2"/>
  <c r="H20" i="2"/>
  <c r="H19" i="2"/>
  <c r="H18" i="2"/>
  <c r="H16" i="2"/>
  <c r="H15" i="2"/>
  <c r="H14" i="2"/>
  <c r="H13" i="2"/>
  <c r="H12" i="2"/>
  <c r="H11" i="2"/>
  <c r="H10" i="2"/>
  <c r="H9" i="2"/>
  <c r="H8" i="2"/>
  <c r="H7" i="2"/>
  <c r="C46" i="2"/>
  <c r="C45" i="2"/>
  <c r="B6" i="35" l="1"/>
  <c r="E3" i="22"/>
  <c r="B5" i="35"/>
  <c r="E5" i="22"/>
  <c r="B4" i="35"/>
  <c r="E7" i="22"/>
  <c r="E9" i="22"/>
  <c r="E11" i="22"/>
  <c r="B14" i="35"/>
  <c r="E13" i="22"/>
  <c r="B15" i="35"/>
  <c r="E15" i="22"/>
  <c r="E17" i="22"/>
  <c r="E41" i="22"/>
  <c r="BL37" i="31"/>
  <c r="BL38" i="31"/>
  <c r="BM2" i="31" s="1"/>
  <c r="E46" i="31"/>
  <c r="AE8" i="31"/>
  <c r="G45" i="31"/>
  <c r="AE2" i="31"/>
  <c r="AE39" i="31"/>
  <c r="AE37" i="31"/>
  <c r="AE35" i="31"/>
  <c r="AE33" i="31"/>
  <c r="AE31" i="31"/>
  <c r="AE29" i="31"/>
  <c r="AE27" i="31"/>
  <c r="AE25" i="31"/>
  <c r="AC45" i="31"/>
  <c r="AD5" i="31" s="1"/>
  <c r="AE40" i="31"/>
  <c r="AE38" i="31"/>
  <c r="AE36" i="31"/>
  <c r="AE34" i="31"/>
  <c r="AE32" i="31"/>
  <c r="AE30" i="31"/>
  <c r="AE28" i="31"/>
  <c r="AE26" i="31"/>
  <c r="AE24" i="31"/>
  <c r="AE22" i="31"/>
  <c r="AE20" i="31"/>
  <c r="AE18" i="31"/>
  <c r="AE16" i="31"/>
  <c r="AE14" i="31"/>
  <c r="AE12" i="31"/>
  <c r="AE10" i="31"/>
  <c r="AE5" i="31"/>
  <c r="AE3" i="31"/>
  <c r="I45" i="31"/>
  <c r="E45" i="31"/>
  <c r="F6" i="31" s="1"/>
  <c r="BM29" i="31" s="1"/>
  <c r="Q46" i="31"/>
  <c r="K45" i="31"/>
  <c r="AE23" i="31"/>
  <c r="AE21" i="31"/>
  <c r="AE19" i="31"/>
  <c r="AE17" i="31"/>
  <c r="AE15" i="31"/>
  <c r="AE13" i="31"/>
  <c r="AE11" i="31"/>
  <c r="AE9" i="31"/>
  <c r="AE6" i="31"/>
  <c r="AE4" i="31"/>
  <c r="AE7" i="31"/>
  <c r="AD3" i="31"/>
  <c r="AD8" i="31"/>
  <c r="AD12" i="31"/>
  <c r="AD16" i="31"/>
  <c r="AD20" i="31"/>
  <c r="AD7" i="31"/>
  <c r="AD6" i="31"/>
  <c r="AD11" i="31"/>
  <c r="AD15" i="31"/>
  <c r="AD19" i="31"/>
  <c r="AD23" i="31"/>
  <c r="AD38" i="31"/>
  <c r="AD34" i="31"/>
  <c r="AD30" i="31"/>
  <c r="AD26" i="31"/>
  <c r="AD2" i="31"/>
  <c r="AD37" i="31"/>
  <c r="AD33" i="31"/>
  <c r="AD29" i="31"/>
  <c r="AD25" i="31"/>
  <c r="AA46" i="31"/>
  <c r="AA45" i="31"/>
  <c r="U45" i="31"/>
  <c r="U46" i="31"/>
  <c r="S45" i="31"/>
  <c r="T4" i="31" s="1"/>
  <c r="Q45" i="31"/>
  <c r="R4" i="31" s="1"/>
  <c r="K46" i="31"/>
  <c r="I46" i="31"/>
  <c r="J2" i="31" s="1"/>
  <c r="G46" i="31"/>
  <c r="H38" i="31" s="1"/>
  <c r="F38" i="31"/>
  <c r="BM24" i="31" s="1"/>
  <c r="F34" i="31"/>
  <c r="BM12" i="31" s="1"/>
  <c r="F30" i="31"/>
  <c r="BM6" i="31" s="1"/>
  <c r="F26" i="31"/>
  <c r="BM32" i="31" s="1"/>
  <c r="F22" i="31"/>
  <c r="BM27" i="31" s="1"/>
  <c r="F18" i="31"/>
  <c r="BM20" i="31" s="1"/>
  <c r="F14" i="31"/>
  <c r="BM15" i="31" s="1"/>
  <c r="F10" i="31"/>
  <c r="BM11" i="31" s="1"/>
  <c r="F3" i="31"/>
  <c r="BM16" i="31" s="1"/>
  <c r="F2" i="31"/>
  <c r="F39" i="31"/>
  <c r="BM33" i="31" s="1"/>
  <c r="F37" i="31"/>
  <c r="BM23" i="31" s="1"/>
  <c r="F35" i="31"/>
  <c r="F33" i="31"/>
  <c r="BM10" i="31" s="1"/>
  <c r="F31" i="31"/>
  <c r="BM7" i="31" s="1"/>
  <c r="F29" i="31"/>
  <c r="BM4" i="31" s="1"/>
  <c r="F27" i="31"/>
  <c r="F25" i="31"/>
  <c r="BM31" i="31" s="1"/>
  <c r="F23" i="31"/>
  <c r="BM28" i="31" s="1"/>
  <c r="F21" i="31"/>
  <c r="BM26" i="31" s="1"/>
  <c r="F19" i="31"/>
  <c r="F17" i="31"/>
  <c r="BM19" i="31" s="1"/>
  <c r="F15" i="31"/>
  <c r="BM17" i="31" s="1"/>
  <c r="F13" i="31"/>
  <c r="BM14" i="31" s="1"/>
  <c r="F11" i="31"/>
  <c r="BM13" i="31" s="1"/>
  <c r="F9" i="31"/>
  <c r="BM8" i="31" s="1"/>
  <c r="F7" i="31"/>
  <c r="BM35" i="31" s="1"/>
  <c r="F5" i="31"/>
  <c r="P3" i="26"/>
  <c r="P4" i="26"/>
  <c r="P5" i="26"/>
  <c r="P6" i="26"/>
  <c r="P7" i="26"/>
  <c r="P8" i="26"/>
  <c r="P9" i="26"/>
  <c r="P10" i="26"/>
  <c r="P11" i="26"/>
  <c r="P12" i="26"/>
  <c r="P13" i="26"/>
  <c r="P14" i="26"/>
  <c r="P15" i="26"/>
  <c r="P16" i="26"/>
  <c r="P17" i="26"/>
  <c r="P18" i="26"/>
  <c r="P19" i="26"/>
  <c r="P20" i="26"/>
  <c r="P21" i="26"/>
  <c r="P22" i="26"/>
  <c r="P23" i="26"/>
  <c r="P24" i="26"/>
  <c r="P25" i="26"/>
  <c r="P26" i="26"/>
  <c r="P2" i="26"/>
  <c r="N3" i="26"/>
  <c r="N4" i="26"/>
  <c r="N5" i="26"/>
  <c r="N6" i="26"/>
  <c r="N7" i="26"/>
  <c r="N8" i="26"/>
  <c r="N9" i="26"/>
  <c r="N10" i="26"/>
  <c r="N11" i="26"/>
  <c r="N12" i="26"/>
  <c r="N13" i="26"/>
  <c r="N14" i="26"/>
  <c r="N15" i="26"/>
  <c r="N16" i="26"/>
  <c r="N17" i="26"/>
  <c r="N18" i="26"/>
  <c r="N19" i="26"/>
  <c r="N20" i="26"/>
  <c r="N21" i="26"/>
  <c r="N22" i="26"/>
  <c r="N23" i="26"/>
  <c r="N24" i="26"/>
  <c r="N25" i="26"/>
  <c r="N26" i="26"/>
  <c r="N2" i="26"/>
  <c r="L3" i="26"/>
  <c r="L4" i="26"/>
  <c r="L5" i="26"/>
  <c r="L6" i="26"/>
  <c r="L7" i="26"/>
  <c r="L2" i="26"/>
  <c r="F3" i="26"/>
  <c r="F4" i="26"/>
  <c r="F5" i="26"/>
  <c r="F6" i="26"/>
  <c r="F7" i="26"/>
  <c r="F8" i="26"/>
  <c r="F9" i="26"/>
  <c r="F10" i="26"/>
  <c r="F11" i="26"/>
  <c r="F12" i="26"/>
  <c r="F13" i="26"/>
  <c r="F14" i="26"/>
  <c r="F15" i="26"/>
  <c r="F16" i="26"/>
  <c r="F17" i="26"/>
  <c r="F18" i="26"/>
  <c r="F19" i="26"/>
  <c r="F20" i="26"/>
  <c r="F21" i="26"/>
  <c r="F22" i="26"/>
  <c r="F23" i="26"/>
  <c r="F24" i="26"/>
  <c r="F25" i="26"/>
  <c r="F26" i="26"/>
  <c r="F2" i="26"/>
  <c r="D3" i="26"/>
  <c r="D6" i="26"/>
  <c r="D7" i="26"/>
  <c r="D8" i="26"/>
  <c r="D9" i="26"/>
  <c r="D10" i="26"/>
  <c r="D11" i="26"/>
  <c r="D12" i="26"/>
  <c r="D13" i="26"/>
  <c r="D14" i="26"/>
  <c r="D15" i="26"/>
  <c r="D16" i="26"/>
  <c r="D17" i="26"/>
  <c r="D18" i="26"/>
  <c r="D19" i="26"/>
  <c r="D20" i="26"/>
  <c r="D21" i="26"/>
  <c r="D22" i="26"/>
  <c r="D23" i="26"/>
  <c r="D24" i="26"/>
  <c r="D25" i="26"/>
  <c r="D26" i="26"/>
  <c r="D2" i="26"/>
  <c r="B3" i="26"/>
  <c r="B4" i="26"/>
  <c r="B5" i="26"/>
  <c r="B6" i="26"/>
  <c r="B7" i="26"/>
  <c r="B8" i="26"/>
  <c r="B9" i="26"/>
  <c r="B10" i="26"/>
  <c r="B11" i="26"/>
  <c r="B12" i="26"/>
  <c r="B13" i="26"/>
  <c r="B14" i="26"/>
  <c r="B15" i="26"/>
  <c r="B16" i="26"/>
  <c r="B17" i="26"/>
  <c r="B18" i="26"/>
  <c r="B19" i="26"/>
  <c r="B20" i="26"/>
  <c r="B21" i="26"/>
  <c r="B22" i="26"/>
  <c r="B23" i="26"/>
  <c r="B24" i="26"/>
  <c r="B25" i="26"/>
  <c r="B26" i="26"/>
  <c r="B2" i="26"/>
  <c r="AX38" i="7"/>
  <c r="P37" i="26" s="1"/>
  <c r="BK3" i="7"/>
  <c r="AU35" i="7"/>
  <c r="AT35" i="7"/>
  <c r="AU34" i="7"/>
  <c r="AX5" i="7"/>
  <c r="AT34" i="7"/>
  <c r="AT2" i="9"/>
  <c r="AD34" i="9"/>
  <c r="AD33" i="9"/>
  <c r="AE4" i="9"/>
  <c r="AC33" i="9"/>
  <c r="L37" i="26"/>
  <c r="L36" i="26"/>
  <c r="AC2" i="10"/>
  <c r="L34" i="10"/>
  <c r="L33" i="10"/>
  <c r="N5" i="10"/>
  <c r="K34" i="10"/>
  <c r="K33" i="10"/>
  <c r="BE3" i="14"/>
  <c r="AR2" i="14"/>
  <c r="AM34" i="14"/>
  <c r="AM33" i="14"/>
  <c r="AO5" i="14"/>
  <c r="BD5" i="14" s="1"/>
  <c r="AL33" i="14"/>
  <c r="AO3" i="14"/>
  <c r="H2" i="26" s="1"/>
  <c r="AZ39" i="17"/>
  <c r="D37" i="26" s="1"/>
  <c r="BO3" i="17"/>
  <c r="AV42" i="15"/>
  <c r="B37" i="26" s="1"/>
  <c r="AL22" i="14"/>
  <c r="Y32" i="20"/>
  <c r="F37" i="26" s="1"/>
  <c r="AL2" i="20"/>
  <c r="V4" i="20"/>
  <c r="V5" i="20"/>
  <c r="V6" i="20"/>
  <c r="V7" i="20"/>
  <c r="V8" i="20"/>
  <c r="V10" i="20"/>
  <c r="V11" i="20"/>
  <c r="V12" i="20"/>
  <c r="V13" i="20"/>
  <c r="V14" i="20"/>
  <c r="V15" i="20"/>
  <c r="V16" i="20"/>
  <c r="V17" i="20"/>
  <c r="V18" i="20"/>
  <c r="V19" i="20"/>
  <c r="V20" i="20"/>
  <c r="V21" i="20"/>
  <c r="V22" i="20"/>
  <c r="V23" i="20"/>
  <c r="V24" i="20"/>
  <c r="V25" i="20"/>
  <c r="V26" i="20"/>
  <c r="V27" i="20"/>
  <c r="V3" i="20"/>
  <c r="T30" i="20"/>
  <c r="T29" i="20"/>
  <c r="AX35" i="17"/>
  <c r="AX34" i="17"/>
  <c r="AZ6" i="17"/>
  <c r="AW34" i="17"/>
  <c r="P31" i="6"/>
  <c r="R37" i="26" s="1"/>
  <c r="P30" i="6"/>
  <c r="R36" i="26" s="1"/>
  <c r="J6" i="6"/>
  <c r="K34" i="6"/>
  <c r="K33" i="6"/>
  <c r="L34" i="6"/>
  <c r="L33" i="6"/>
  <c r="M5" i="6"/>
  <c r="R4" i="26"/>
  <c r="AS34" i="15"/>
  <c r="AS35" i="15"/>
  <c r="AT35" i="15"/>
  <c r="AT34" i="15"/>
  <c r="AV6" i="15"/>
  <c r="P2" i="6"/>
  <c r="BA3" i="7"/>
  <c r="AH2" i="9"/>
  <c r="Q2" i="10"/>
  <c r="Y2" i="20"/>
  <c r="BC3" i="17"/>
  <c r="S30" i="20"/>
  <c r="S29" i="20"/>
  <c r="V2" i="21"/>
  <c r="V35" i="21"/>
  <c r="V36" i="21"/>
  <c r="AL9" i="14"/>
  <c r="AL34" i="14"/>
  <c r="AL12" i="14"/>
  <c r="AL15" i="14"/>
  <c r="AL27" i="14"/>
  <c r="AN25" i="14"/>
  <c r="J4" i="6"/>
  <c r="J5" i="6"/>
  <c r="J7" i="6"/>
  <c r="J8" i="6"/>
  <c r="J9" i="6"/>
  <c r="J10" i="6"/>
  <c r="J11" i="6"/>
  <c r="J12" i="6"/>
  <c r="J13" i="6"/>
  <c r="J14" i="6"/>
  <c r="J15" i="6"/>
  <c r="J16" i="6"/>
  <c r="J17" i="6"/>
  <c r="J18" i="6"/>
  <c r="J19" i="6"/>
  <c r="J20" i="6"/>
  <c r="J21" i="6"/>
  <c r="J22" i="6"/>
  <c r="J23" i="6"/>
  <c r="J24" i="6"/>
  <c r="J25" i="6"/>
  <c r="J26" i="6"/>
  <c r="J27" i="6"/>
  <c r="J3" i="6"/>
  <c r="AC34" i="9"/>
  <c r="AB6" i="9"/>
  <c r="AB11" i="9"/>
  <c r="AB13" i="9"/>
  <c r="AB18" i="9"/>
  <c r="AB22" i="9"/>
  <c r="AB27" i="9"/>
  <c r="AB9" i="9"/>
  <c r="AB10" i="9"/>
  <c r="AB12" i="9"/>
  <c r="AB15" i="9"/>
  <c r="AB19" i="9"/>
  <c r="AB20" i="9"/>
  <c r="AB21" i="9"/>
  <c r="AB23" i="9"/>
  <c r="AB24" i="9"/>
  <c r="AB3" i="9"/>
  <c r="AB4" i="9"/>
  <c r="AB5" i="9"/>
  <c r="AB7" i="9"/>
  <c r="AB8" i="9"/>
  <c r="AB14" i="9"/>
  <c r="AB16" i="9"/>
  <c r="AB17" i="9"/>
  <c r="AB25" i="9"/>
  <c r="AB26" i="9"/>
  <c r="AA6" i="9"/>
  <c r="AA11" i="9"/>
  <c r="AA13" i="9"/>
  <c r="AA18" i="9"/>
  <c r="AA22" i="9"/>
  <c r="AA27" i="9"/>
  <c r="AA9" i="9"/>
  <c r="AA10" i="9"/>
  <c r="AA12" i="9"/>
  <c r="AA15" i="9"/>
  <c r="AA19" i="9"/>
  <c r="AA20" i="9"/>
  <c r="AA21" i="9"/>
  <c r="AA23" i="9"/>
  <c r="AA24" i="9"/>
  <c r="AA3" i="9"/>
  <c r="AA4" i="9"/>
  <c r="AA5" i="9"/>
  <c r="AA7" i="9"/>
  <c r="AA8" i="9"/>
  <c r="AA14" i="9"/>
  <c r="AA16" i="9"/>
  <c r="AA17" i="9"/>
  <c r="AA25" i="9"/>
  <c r="AA26" i="9"/>
  <c r="AS34" i="7"/>
  <c r="AR34" i="7"/>
  <c r="AW34" i="7"/>
  <c r="AW16" i="7"/>
  <c r="AK33" i="14"/>
  <c r="AJ33" i="14"/>
  <c r="AL31" i="14"/>
  <c r="AK31" i="14"/>
  <c r="AJ31" i="14"/>
  <c r="AL30" i="14"/>
  <c r="AK30" i="14"/>
  <c r="AJ30" i="14"/>
  <c r="AL29" i="14"/>
  <c r="AK29" i="14"/>
  <c r="AJ29" i="14"/>
  <c r="AN33" i="14"/>
  <c r="AJ27" i="14"/>
  <c r="AK27" i="14"/>
  <c r="AN27" i="14"/>
  <c r="AJ22" i="14"/>
  <c r="AK22" i="14"/>
  <c r="AN22" i="14"/>
  <c r="AJ15" i="14"/>
  <c r="AK15" i="14"/>
  <c r="AN15" i="14"/>
  <c r="AJ9" i="14"/>
  <c r="AK9" i="14"/>
  <c r="AN9" i="14"/>
  <c r="AX4" i="19"/>
  <c r="AX3" i="19"/>
  <c r="AX5" i="19"/>
  <c r="AX6" i="19"/>
  <c r="AX7" i="19"/>
  <c r="AX8" i="19"/>
  <c r="AX9" i="19"/>
  <c r="AX10" i="19"/>
  <c r="AX11" i="19"/>
  <c r="AX12" i="19"/>
  <c r="AX13" i="19"/>
  <c r="AX14" i="19"/>
  <c r="AX15" i="19"/>
  <c r="AX16" i="19"/>
  <c r="AX17" i="19"/>
  <c r="AX18" i="19"/>
  <c r="AX19" i="19"/>
  <c r="AX20" i="19"/>
  <c r="AX21" i="19"/>
  <c r="AX22" i="19"/>
  <c r="AX23" i="19"/>
  <c r="AX24" i="19"/>
  <c r="AX25" i="19"/>
  <c r="AX26" i="19"/>
  <c r="AX27" i="19"/>
  <c r="AV24" i="19"/>
  <c r="AV25" i="19"/>
  <c r="AV26" i="19"/>
  <c r="AV27" i="19"/>
  <c r="AW4" i="19"/>
  <c r="AW5" i="19"/>
  <c r="AW6" i="19"/>
  <c r="AW7" i="19"/>
  <c r="AW8" i="19"/>
  <c r="AW9" i="19"/>
  <c r="AW10" i="19"/>
  <c r="AW11" i="19"/>
  <c r="AW12" i="19"/>
  <c r="AW13" i="19"/>
  <c r="AW14" i="19"/>
  <c r="AW15" i="19"/>
  <c r="AW16" i="19"/>
  <c r="AW17" i="19"/>
  <c r="AW18" i="19"/>
  <c r="AW19" i="19"/>
  <c r="AW20" i="19"/>
  <c r="AW21" i="19"/>
  <c r="AW22" i="19"/>
  <c r="AW23" i="19"/>
  <c r="AW24" i="19"/>
  <c r="AW25" i="19"/>
  <c r="AW26" i="19"/>
  <c r="AW27" i="19"/>
  <c r="AW3" i="19"/>
  <c r="R9" i="20"/>
  <c r="R12" i="20"/>
  <c r="R22" i="20"/>
  <c r="R27" i="20"/>
  <c r="Q22" i="20"/>
  <c r="Q9" i="20"/>
  <c r="AY27" i="19"/>
  <c r="U27" i="20"/>
  <c r="U25" i="20"/>
  <c r="U22" i="20"/>
  <c r="U15" i="20"/>
  <c r="U9" i="20"/>
  <c r="AU34" i="15"/>
  <c r="AW35" i="17"/>
  <c r="AY34" i="17"/>
  <c r="AY16" i="17"/>
  <c r="AY23" i="17"/>
  <c r="AY26" i="17"/>
  <c r="AW28" i="7"/>
  <c r="AW26" i="7"/>
  <c r="AW23" i="7"/>
  <c r="AW10" i="7"/>
  <c r="AY10" i="17"/>
  <c r="AY26" i="19"/>
  <c r="AY4" i="19"/>
  <c r="AY5" i="19"/>
  <c r="AY6" i="19"/>
  <c r="AY7" i="19"/>
  <c r="AY8" i="19"/>
  <c r="AY9" i="19"/>
  <c r="AY10" i="19"/>
  <c r="AY11" i="19"/>
  <c r="AY12" i="19"/>
  <c r="AY13" i="19"/>
  <c r="AY14" i="19"/>
  <c r="AY15" i="19"/>
  <c r="AY16" i="19"/>
  <c r="AY17" i="19"/>
  <c r="AY18" i="19"/>
  <c r="AY19" i="19"/>
  <c r="AY20" i="19"/>
  <c r="AY21" i="19"/>
  <c r="AY22" i="19"/>
  <c r="AY23" i="19"/>
  <c r="AY24" i="19"/>
  <c r="AY25" i="19"/>
  <c r="AY3" i="19"/>
  <c r="Q12" i="20"/>
  <c r="U4" i="20"/>
  <c r="U5" i="20"/>
  <c r="U6" i="20"/>
  <c r="U7" i="20"/>
  <c r="U8" i="20"/>
  <c r="U10" i="20"/>
  <c r="U11" i="20"/>
  <c r="U12" i="20"/>
  <c r="U13" i="20"/>
  <c r="U14" i="20"/>
  <c r="U16" i="20"/>
  <c r="U17" i="20"/>
  <c r="U18" i="20"/>
  <c r="U19" i="20"/>
  <c r="U20" i="20"/>
  <c r="U21" i="20"/>
  <c r="U23" i="20"/>
  <c r="U24" i="20"/>
  <c r="U26" i="20"/>
  <c r="U3" i="20"/>
  <c r="AV3" i="19"/>
  <c r="AV23" i="19"/>
  <c r="AV4" i="19"/>
  <c r="AV5" i="19"/>
  <c r="AV6" i="19"/>
  <c r="AV7" i="19"/>
  <c r="AV8" i="19"/>
  <c r="AV9" i="19"/>
  <c r="AV10" i="19"/>
  <c r="AV11" i="19"/>
  <c r="AV12" i="19"/>
  <c r="AV13" i="19"/>
  <c r="AV14" i="19"/>
  <c r="AV15" i="19"/>
  <c r="AV16" i="19"/>
  <c r="AV17" i="19"/>
  <c r="AV18" i="19"/>
  <c r="AV19" i="19"/>
  <c r="AV20" i="19"/>
  <c r="AV21" i="19"/>
  <c r="AV22" i="19"/>
  <c r="AJ12" i="14"/>
  <c r="AK12" i="14"/>
  <c r="AW5" i="7"/>
  <c r="AW6" i="7"/>
  <c r="AW7" i="7"/>
  <c r="AW8" i="7"/>
  <c r="AW9" i="7"/>
  <c r="AW11" i="7"/>
  <c r="AW12" i="7"/>
  <c r="AW13" i="7"/>
  <c r="AW14" i="7"/>
  <c r="AW15" i="7"/>
  <c r="AW17" i="7"/>
  <c r="AW18" i="7"/>
  <c r="AW19" i="7"/>
  <c r="AW20" i="7"/>
  <c r="AW21" i="7"/>
  <c r="AW22" i="7"/>
  <c r="AW24" i="7"/>
  <c r="AW25" i="7"/>
  <c r="AW27" i="7"/>
  <c r="AW30" i="7"/>
  <c r="AW31" i="7"/>
  <c r="AW32" i="7"/>
  <c r="AW4" i="7"/>
  <c r="AR30" i="7"/>
  <c r="AS30" i="7"/>
  <c r="AT30" i="7"/>
  <c r="AR31" i="7"/>
  <c r="AS31" i="7"/>
  <c r="AT31" i="7"/>
  <c r="AR32" i="7"/>
  <c r="AS32" i="7"/>
  <c r="AT32" i="7"/>
  <c r="AN4" i="14"/>
  <c r="AN5" i="14"/>
  <c r="AN6" i="14"/>
  <c r="AN7" i="14"/>
  <c r="AN8" i="14"/>
  <c r="AN10" i="14"/>
  <c r="AN11" i="14"/>
  <c r="AN12" i="14"/>
  <c r="AN13" i="14"/>
  <c r="AN14" i="14"/>
  <c r="AN16" i="14"/>
  <c r="AN17" i="14"/>
  <c r="AN18" i="14"/>
  <c r="AN19" i="14"/>
  <c r="AN20" i="14"/>
  <c r="AN21" i="14"/>
  <c r="AN23" i="14"/>
  <c r="AN24" i="14"/>
  <c r="AN26" i="14"/>
  <c r="AN29" i="14"/>
  <c r="AN30" i="14"/>
  <c r="AN31" i="14"/>
  <c r="AN3" i="14"/>
  <c r="AU30" i="17"/>
  <c r="AV30" i="17"/>
  <c r="AW30" i="17"/>
  <c r="AY30" i="17"/>
  <c r="AU31" i="17"/>
  <c r="AV31" i="17"/>
  <c r="AW31" i="17"/>
  <c r="AY31" i="17"/>
  <c r="AU32" i="17"/>
  <c r="AV32" i="17"/>
  <c r="AW32" i="17"/>
  <c r="AY32" i="17"/>
  <c r="AY5" i="17"/>
  <c r="AY6" i="17"/>
  <c r="AY7" i="17"/>
  <c r="AY8" i="17"/>
  <c r="AY9" i="17"/>
  <c r="AY11" i="17"/>
  <c r="AY12" i="17"/>
  <c r="AY13" i="17"/>
  <c r="AY14" i="17"/>
  <c r="AY15" i="17"/>
  <c r="AY17" i="17"/>
  <c r="AY18" i="17"/>
  <c r="AY19" i="17"/>
  <c r="AY20" i="17"/>
  <c r="AY21" i="17"/>
  <c r="AY22" i="17"/>
  <c r="AY24" i="17"/>
  <c r="AY25" i="17"/>
  <c r="AY27" i="17"/>
  <c r="AY28" i="17"/>
  <c r="AY4" i="17"/>
  <c r="AQ30" i="15"/>
  <c r="AR30" i="15"/>
  <c r="AS30" i="15"/>
  <c r="AU30" i="15"/>
  <c r="AQ31" i="15"/>
  <c r="AR31" i="15"/>
  <c r="AS31" i="15"/>
  <c r="AU31" i="15"/>
  <c r="AQ32" i="15"/>
  <c r="AR32" i="15"/>
  <c r="AS32" i="15"/>
  <c r="AU32" i="15"/>
  <c r="AU28" i="15"/>
  <c r="AU26" i="15"/>
  <c r="AU27" i="15"/>
  <c r="AU25" i="15"/>
  <c r="AU23" i="15"/>
  <c r="AU24" i="15"/>
  <c r="AU22" i="15"/>
  <c r="AU21" i="15"/>
  <c r="AU20" i="15"/>
  <c r="AU19" i="15"/>
  <c r="AU18" i="15"/>
  <c r="AU5" i="15"/>
  <c r="AU6" i="15"/>
  <c r="AU7" i="15"/>
  <c r="AU8" i="15"/>
  <c r="AU9" i="15"/>
  <c r="AU10" i="15"/>
  <c r="AU11" i="15"/>
  <c r="AU12" i="15"/>
  <c r="AU13" i="15"/>
  <c r="AU14" i="15"/>
  <c r="AU15" i="15"/>
  <c r="AU16" i="15"/>
  <c r="AU17" i="15"/>
  <c r="AU4" i="15"/>
  <c r="AX33" i="19"/>
  <c r="AZ25" i="19"/>
  <c r="AZ5" i="19"/>
  <c r="AZ9" i="19"/>
  <c r="AZ13" i="19"/>
  <c r="AZ17" i="19"/>
  <c r="AZ21" i="19"/>
  <c r="AZ4" i="19"/>
  <c r="AZ8" i="19"/>
  <c r="AZ12" i="19"/>
  <c r="AZ16" i="19"/>
  <c r="AZ20" i="19"/>
  <c r="AZ24" i="19"/>
  <c r="AZ3" i="19"/>
  <c r="AZ6" i="19"/>
  <c r="AZ10" i="19"/>
  <c r="AZ14" i="19"/>
  <c r="AZ18" i="19"/>
  <c r="AZ22" i="19"/>
  <c r="AZ26" i="19"/>
  <c r="AZ7" i="19"/>
  <c r="AZ11" i="19"/>
  <c r="AZ15" i="19"/>
  <c r="AZ19" i="19"/>
  <c r="AZ23" i="19"/>
  <c r="AZ27" i="19"/>
  <c r="E56" i="28"/>
  <c r="E52" i="28"/>
  <c r="E48" i="28"/>
  <c r="E44" i="28"/>
  <c r="E40" i="28"/>
  <c r="E36" i="28"/>
  <c r="AO15" i="31" s="1"/>
  <c r="E32" i="28"/>
  <c r="E28" i="28"/>
  <c r="E24" i="28"/>
  <c r="E20" i="28"/>
  <c r="AO28" i="31" s="1"/>
  <c r="E18" i="28"/>
  <c r="E53" i="28"/>
  <c r="E49" i="28"/>
  <c r="E45" i="28"/>
  <c r="E41" i="28"/>
  <c r="AO17" i="31" s="1"/>
  <c r="E37" i="28"/>
  <c r="E33" i="28"/>
  <c r="AO13" i="31" s="1"/>
  <c r="E29" i="28"/>
  <c r="E25" i="28"/>
  <c r="E19" i="28"/>
  <c r="AX28" i="7"/>
  <c r="AX26" i="7"/>
  <c r="AX24" i="7"/>
  <c r="AX22" i="7"/>
  <c r="AX20" i="7"/>
  <c r="AX18" i="7"/>
  <c r="AX16" i="7"/>
  <c r="AX14" i="7"/>
  <c r="AX12" i="7"/>
  <c r="AX10" i="7"/>
  <c r="AX8" i="7"/>
  <c r="AX6" i="7"/>
  <c r="AX4" i="7"/>
  <c r="AX27" i="7"/>
  <c r="AX25" i="7"/>
  <c r="AX23" i="7"/>
  <c r="AX21" i="7"/>
  <c r="AX19" i="7"/>
  <c r="AX17" i="7"/>
  <c r="AX15" i="7"/>
  <c r="AX13" i="7"/>
  <c r="AX11" i="7"/>
  <c r="AX9" i="7"/>
  <c r="AX7" i="7"/>
  <c r="AE27" i="9"/>
  <c r="AE25" i="9"/>
  <c r="AE23" i="9"/>
  <c r="AE21" i="9"/>
  <c r="AE19" i="9"/>
  <c r="AE17" i="9"/>
  <c r="AE15" i="9"/>
  <c r="AE13" i="9"/>
  <c r="AE11" i="9"/>
  <c r="AE9" i="9"/>
  <c r="AE7" i="9"/>
  <c r="AE5" i="9"/>
  <c r="AE3" i="9"/>
  <c r="AE26" i="9"/>
  <c r="AE24" i="9"/>
  <c r="AE22" i="9"/>
  <c r="AE20" i="9"/>
  <c r="AE18" i="9"/>
  <c r="AE16" i="9"/>
  <c r="AE14" i="9"/>
  <c r="AE12" i="9"/>
  <c r="AE10" i="9"/>
  <c r="AE8" i="9"/>
  <c r="AE6" i="9"/>
  <c r="N3" i="10"/>
  <c r="N26" i="10"/>
  <c r="N24" i="10"/>
  <c r="N22" i="10"/>
  <c r="N20" i="10"/>
  <c r="N18" i="10"/>
  <c r="N16" i="10"/>
  <c r="N14" i="10"/>
  <c r="N12" i="10"/>
  <c r="N10" i="10"/>
  <c r="N8" i="10"/>
  <c r="N6" i="10"/>
  <c r="N4" i="10"/>
  <c r="N27" i="10"/>
  <c r="N25" i="10"/>
  <c r="N23" i="10"/>
  <c r="N21" i="10"/>
  <c r="N19" i="10"/>
  <c r="N17" i="10"/>
  <c r="N15" i="10"/>
  <c r="N13" i="10"/>
  <c r="N11" i="10"/>
  <c r="N9" i="10"/>
  <c r="N7" i="10"/>
  <c r="AO26" i="14"/>
  <c r="H25" i="26" s="1"/>
  <c r="AO24" i="14"/>
  <c r="BD22" i="14" s="1"/>
  <c r="AO22" i="14"/>
  <c r="BD20" i="14" s="1"/>
  <c r="AO20" i="14"/>
  <c r="BD18" i="14" s="1"/>
  <c r="AO18" i="14"/>
  <c r="BD16" i="14" s="1"/>
  <c r="AO16" i="14"/>
  <c r="BD14" i="14" s="1"/>
  <c r="AO14" i="14"/>
  <c r="BD12" i="14" s="1"/>
  <c r="AO12" i="14"/>
  <c r="BD10" i="14" s="1"/>
  <c r="AO10" i="14"/>
  <c r="BD8" i="14" s="1"/>
  <c r="AO8" i="14"/>
  <c r="H7" i="26" s="1"/>
  <c r="AO6" i="14"/>
  <c r="BD6" i="14" s="1"/>
  <c r="AO4" i="14"/>
  <c r="BD4" i="14" s="1"/>
  <c r="AO37" i="14" s="1"/>
  <c r="H37" i="26" s="1"/>
  <c r="AO27" i="14"/>
  <c r="BD23" i="14" s="1"/>
  <c r="AO25" i="14"/>
  <c r="H24" i="26" s="1"/>
  <c r="AO23" i="14"/>
  <c r="BD21" i="14" s="1"/>
  <c r="AO21" i="14"/>
  <c r="BD19" i="14" s="1"/>
  <c r="AO19" i="14"/>
  <c r="BD17" i="14" s="1"/>
  <c r="AO17" i="14"/>
  <c r="BD15" i="14" s="1"/>
  <c r="AO15" i="14"/>
  <c r="BD13" i="14" s="1"/>
  <c r="AO13" i="14"/>
  <c r="BD11" i="14" s="1"/>
  <c r="AO11" i="14"/>
  <c r="BD9" i="14" s="1"/>
  <c r="AO9" i="14"/>
  <c r="H8" i="26" s="1"/>
  <c r="AO7" i="14"/>
  <c r="BD7" i="14" s="1"/>
  <c r="AZ4" i="17"/>
  <c r="AZ27" i="17"/>
  <c r="AZ25" i="17"/>
  <c r="AZ23" i="17"/>
  <c r="AZ21" i="17"/>
  <c r="AZ19" i="17"/>
  <c r="AZ17" i="17"/>
  <c r="AZ15" i="17"/>
  <c r="AZ13" i="17"/>
  <c r="AZ11" i="17"/>
  <c r="AZ9" i="17"/>
  <c r="AZ7" i="17"/>
  <c r="AZ5" i="17"/>
  <c r="AZ28" i="17"/>
  <c r="AZ26" i="17"/>
  <c r="AZ24" i="17"/>
  <c r="AZ22" i="17"/>
  <c r="AZ20" i="17"/>
  <c r="AZ18" i="17"/>
  <c r="AZ16" i="17"/>
  <c r="AZ14" i="17"/>
  <c r="AZ12" i="17"/>
  <c r="AZ10" i="17"/>
  <c r="AV4" i="15"/>
  <c r="AV7" i="15"/>
  <c r="AV5" i="15"/>
  <c r="AV8" i="15"/>
  <c r="M6" i="6"/>
  <c r="R5" i="26"/>
  <c r="M27" i="6"/>
  <c r="R26" i="26"/>
  <c r="M25" i="6"/>
  <c r="R24" i="26"/>
  <c r="M23" i="6"/>
  <c r="R22" i="26"/>
  <c r="M21" i="6"/>
  <c r="R20" i="26"/>
  <c r="M19" i="6"/>
  <c r="R18" i="26"/>
  <c r="M17" i="6"/>
  <c r="R16" i="26"/>
  <c r="M15" i="6"/>
  <c r="R14" i="26"/>
  <c r="M13" i="6"/>
  <c r="R12" i="26"/>
  <c r="M11" i="6"/>
  <c r="R10" i="26"/>
  <c r="M9" i="6"/>
  <c r="R8" i="26"/>
  <c r="M7" i="6"/>
  <c r="R6" i="26"/>
  <c r="M4" i="6"/>
  <c r="R3" i="26"/>
  <c r="M3" i="6"/>
  <c r="R2" i="26"/>
  <c r="M26" i="6"/>
  <c r="R25" i="26"/>
  <c r="M24" i="6"/>
  <c r="R23" i="26"/>
  <c r="M22" i="6"/>
  <c r="R21" i="26"/>
  <c r="M20" i="6"/>
  <c r="R19" i="26"/>
  <c r="M18" i="6"/>
  <c r="R17" i="26"/>
  <c r="T17" i="26" s="1"/>
  <c r="C13" i="27" s="1"/>
  <c r="M16" i="6"/>
  <c r="R15" i="26"/>
  <c r="M14" i="6"/>
  <c r="R13" i="26"/>
  <c r="M12" i="6"/>
  <c r="R11" i="26"/>
  <c r="M10" i="6"/>
  <c r="R9" i="26"/>
  <c r="M8" i="6"/>
  <c r="R7" i="26"/>
  <c r="AO36" i="14" l="1"/>
  <c r="H36" i="26" s="1"/>
  <c r="H26" i="26"/>
  <c r="H22" i="26"/>
  <c r="H20" i="26"/>
  <c r="H18" i="26"/>
  <c r="J18" i="26" s="1"/>
  <c r="H16" i="26"/>
  <c r="H14" i="26"/>
  <c r="J14" i="26" s="1"/>
  <c r="H12" i="26"/>
  <c r="H10" i="26"/>
  <c r="J10" i="26" s="1"/>
  <c r="H6" i="26"/>
  <c r="H4" i="26"/>
  <c r="H23" i="26"/>
  <c r="H21" i="26"/>
  <c r="H19" i="26"/>
  <c r="H17" i="26"/>
  <c r="J17" i="26" s="1"/>
  <c r="H15" i="26"/>
  <c r="H13" i="26"/>
  <c r="H11" i="26"/>
  <c r="H9" i="26"/>
  <c r="H5" i="26"/>
  <c r="H3" i="26"/>
  <c r="B16" i="35"/>
  <c r="B13" i="35"/>
  <c r="J13" i="26"/>
  <c r="B7" i="35"/>
  <c r="J20" i="26"/>
  <c r="J11" i="26"/>
  <c r="J26" i="26"/>
  <c r="J22" i="26"/>
  <c r="J16" i="26"/>
  <c r="J12" i="26"/>
  <c r="J8" i="26"/>
  <c r="J4" i="26"/>
  <c r="AH6" i="26"/>
  <c r="AO31" i="31"/>
  <c r="C8" i="30"/>
  <c r="BA8" i="7"/>
  <c r="Y7" i="20"/>
  <c r="BC8" i="17"/>
  <c r="AH8" i="26"/>
  <c r="AO10" i="31"/>
  <c r="C12" i="30"/>
  <c r="BA10" i="7"/>
  <c r="Y9" i="20"/>
  <c r="BC10" i="17"/>
  <c r="CC13" i="31"/>
  <c r="BN14" i="31"/>
  <c r="BS14" i="31" s="1"/>
  <c r="BI13" i="31"/>
  <c r="BX16" i="31"/>
  <c r="AS13" i="31"/>
  <c r="BE13" i="31"/>
  <c r="BI16" i="31"/>
  <c r="BX20" i="31"/>
  <c r="CC19" i="31"/>
  <c r="BN19" i="31"/>
  <c r="BS20" i="31" s="1"/>
  <c r="AS17" i="31"/>
  <c r="BE16" i="31"/>
  <c r="AH17" i="26"/>
  <c r="AO5" i="31"/>
  <c r="C25" i="30"/>
  <c r="BA19" i="7"/>
  <c r="AH18" i="9"/>
  <c r="Q18" i="10"/>
  <c r="AR18" i="14"/>
  <c r="AY19" i="15"/>
  <c r="P18" i="6"/>
  <c r="AH2" i="26"/>
  <c r="AO27" i="31"/>
  <c r="C3" i="30"/>
  <c r="AH3" i="9"/>
  <c r="Q3" i="10"/>
  <c r="AR3" i="14"/>
  <c r="AY4" i="15"/>
  <c r="AS28" i="31"/>
  <c r="CC2" i="31"/>
  <c r="BI27" i="31"/>
  <c r="BN3" i="31"/>
  <c r="BS3" i="31" s="1"/>
  <c r="BX3" i="31" s="1"/>
  <c r="BE27" i="31"/>
  <c r="AH5" i="26"/>
  <c r="C7" i="30"/>
  <c r="AO2" i="31"/>
  <c r="BA7" i="7"/>
  <c r="AH6" i="9"/>
  <c r="Q6" i="10"/>
  <c r="AR6" i="14"/>
  <c r="AY7" i="15"/>
  <c r="P6" i="6"/>
  <c r="AH7" i="26"/>
  <c r="C11" i="30"/>
  <c r="AO33" i="31"/>
  <c r="BA9" i="7"/>
  <c r="AH8" i="9"/>
  <c r="Q8" i="10"/>
  <c r="AR8" i="14"/>
  <c r="AY9" i="15"/>
  <c r="P8" i="6"/>
  <c r="AO12" i="31"/>
  <c r="C14" i="30"/>
  <c r="CC16" i="31"/>
  <c r="AS15" i="31"/>
  <c r="BN17" i="31"/>
  <c r="BS17" i="31" s="1"/>
  <c r="AH11" i="26"/>
  <c r="AO16" i="31"/>
  <c r="C18" i="30"/>
  <c r="BA13" i="7"/>
  <c r="AH12" i="9"/>
  <c r="Q12" i="10"/>
  <c r="AR12" i="14"/>
  <c r="AY13" i="15"/>
  <c r="P12" i="6"/>
  <c r="AH13" i="26"/>
  <c r="AO36" i="31"/>
  <c r="C21" i="30"/>
  <c r="BA15" i="7"/>
  <c r="AH14" i="9"/>
  <c r="Q14" i="10"/>
  <c r="AR14" i="14"/>
  <c r="AY15" i="15"/>
  <c r="P14" i="6"/>
  <c r="AH16" i="26"/>
  <c r="AO38" i="31"/>
  <c r="C24" i="30"/>
  <c r="BA18" i="7"/>
  <c r="Y17" i="20"/>
  <c r="BC18" i="17"/>
  <c r="C28" i="30"/>
  <c r="AO22" i="31"/>
  <c r="AY24" i="15"/>
  <c r="AH22" i="26"/>
  <c r="AO25" i="31"/>
  <c r="C31" i="30"/>
  <c r="BA24" i="7"/>
  <c r="Y23" i="20"/>
  <c r="BC24" i="17"/>
  <c r="E21" i="28"/>
  <c r="P3" i="6"/>
  <c r="P17" i="6"/>
  <c r="P9" i="6"/>
  <c r="AY18" i="15"/>
  <c r="AY10" i="15"/>
  <c r="BC19" i="17"/>
  <c r="BC15" i="17"/>
  <c r="BC7" i="17"/>
  <c r="Y18" i="20"/>
  <c r="Y14" i="20"/>
  <c r="Y6" i="20"/>
  <c r="AR23" i="14"/>
  <c r="AR7" i="14"/>
  <c r="Q17" i="10"/>
  <c r="Q9" i="10"/>
  <c r="AH23" i="9"/>
  <c r="AH7" i="9"/>
  <c r="BA4" i="7"/>
  <c r="E59" i="28"/>
  <c r="E23" i="28"/>
  <c r="E27" i="28"/>
  <c r="E31" i="28"/>
  <c r="AO11" i="31" s="1"/>
  <c r="E35" i="28"/>
  <c r="E39" i="28"/>
  <c r="E43" i="28"/>
  <c r="E47" i="28"/>
  <c r="E51" i="28"/>
  <c r="E55" i="28"/>
  <c r="E58" i="28"/>
  <c r="E22" i="28"/>
  <c r="E26" i="28"/>
  <c r="E30" i="28"/>
  <c r="E34" i="28"/>
  <c r="E38" i="28"/>
  <c r="E42" i="28"/>
  <c r="E46" i="28"/>
  <c r="E50" i="28"/>
  <c r="E54" i="28"/>
  <c r="E57" i="28"/>
  <c r="P23" i="6"/>
  <c r="P7" i="6"/>
  <c r="AY8" i="15"/>
  <c r="BC4" i="17"/>
  <c r="BC13" i="17"/>
  <c r="BC9" i="17"/>
  <c r="Y3" i="20"/>
  <c r="Y12" i="20"/>
  <c r="Y8" i="20"/>
  <c r="AR17" i="14"/>
  <c r="AR9" i="14"/>
  <c r="Q23" i="10"/>
  <c r="Q7" i="10"/>
  <c r="AH17" i="9"/>
  <c r="AH9" i="9"/>
  <c r="J2" i="26"/>
  <c r="J19" i="26"/>
  <c r="J3" i="26"/>
  <c r="T4" i="26"/>
  <c r="C7" i="27" s="1"/>
  <c r="T7" i="26"/>
  <c r="C25" i="27" s="1"/>
  <c r="T9" i="26"/>
  <c r="C14" i="27" s="1"/>
  <c r="T13" i="26"/>
  <c r="C9" i="27" s="1"/>
  <c r="T15" i="26"/>
  <c r="C8" i="27" s="1"/>
  <c r="T19" i="26"/>
  <c r="C15" i="27" s="1"/>
  <c r="T21" i="26"/>
  <c r="C22" i="27" s="1"/>
  <c r="T23" i="26"/>
  <c r="C26" i="27" s="1"/>
  <c r="T25" i="26"/>
  <c r="C28" i="27" s="1"/>
  <c r="T2" i="26"/>
  <c r="C23" i="27" s="1"/>
  <c r="T6" i="26"/>
  <c r="C16" i="27" s="1"/>
  <c r="T8" i="26"/>
  <c r="C24" i="27" s="1"/>
  <c r="T10" i="26"/>
  <c r="C12" i="27" s="1"/>
  <c r="T12" i="26"/>
  <c r="C5" i="27" s="1"/>
  <c r="T14" i="26"/>
  <c r="C27" i="27" s="1"/>
  <c r="T16" i="26"/>
  <c r="C6" i="27" s="1"/>
  <c r="T18" i="26"/>
  <c r="C18" i="27" s="1"/>
  <c r="T20" i="26"/>
  <c r="C17" i="27" s="1"/>
  <c r="T22" i="26"/>
  <c r="C20" i="27" s="1"/>
  <c r="T24" i="26"/>
  <c r="C11" i="27" s="1"/>
  <c r="T26" i="26"/>
  <c r="C19" i="27" s="1"/>
  <c r="T5" i="26"/>
  <c r="C4" i="27" s="1"/>
  <c r="J21" i="26"/>
  <c r="J5" i="26"/>
  <c r="T3" i="26"/>
  <c r="C10" i="27" s="1"/>
  <c r="V2" i="31"/>
  <c r="AD27" i="31"/>
  <c r="AD31" i="31"/>
  <c r="AD35" i="31"/>
  <c r="AD39" i="31"/>
  <c r="AD24" i="31"/>
  <c r="AD28" i="31"/>
  <c r="AD32" i="31"/>
  <c r="AD36" i="31"/>
  <c r="AD40" i="31"/>
  <c r="AD21" i="31"/>
  <c r="AD17" i="31"/>
  <c r="AD13" i="31"/>
  <c r="AD9" i="31"/>
  <c r="AD4" i="31"/>
  <c r="AD22" i="31"/>
  <c r="AD18" i="31"/>
  <c r="AD14" i="31"/>
  <c r="AD10" i="31"/>
  <c r="AB40" i="31"/>
  <c r="L40" i="31"/>
  <c r="AE45" i="31"/>
  <c r="AE46" i="31"/>
  <c r="AB8" i="31"/>
  <c r="AB4" i="31"/>
  <c r="AB9" i="31"/>
  <c r="AB13" i="31"/>
  <c r="AB17" i="31"/>
  <c r="AB21" i="31"/>
  <c r="AB25" i="31"/>
  <c r="AB29" i="31"/>
  <c r="AB33" i="31"/>
  <c r="AB37" i="31"/>
  <c r="AB2" i="31"/>
  <c r="V5" i="31"/>
  <c r="V9" i="31"/>
  <c r="AB3" i="31"/>
  <c r="AB10" i="31"/>
  <c r="AB14" i="31"/>
  <c r="AB18" i="31"/>
  <c r="AB22" i="31"/>
  <c r="AB26" i="31"/>
  <c r="AB30" i="31"/>
  <c r="AB34" i="31"/>
  <c r="AB38" i="31"/>
  <c r="V6" i="31"/>
  <c r="V10" i="31"/>
  <c r="V14" i="31"/>
  <c r="V18" i="31"/>
  <c r="V22" i="31"/>
  <c r="V26" i="31"/>
  <c r="V30" i="31"/>
  <c r="V34" i="31"/>
  <c r="V38" i="31"/>
  <c r="T3" i="31"/>
  <c r="T7" i="31"/>
  <c r="T11" i="31"/>
  <c r="T15" i="31"/>
  <c r="T19" i="31"/>
  <c r="T23" i="31"/>
  <c r="T27" i="31"/>
  <c r="T31" i="31"/>
  <c r="T35" i="31"/>
  <c r="T39" i="31"/>
  <c r="R6" i="31"/>
  <c r="R10" i="31"/>
  <c r="R14" i="31"/>
  <c r="R18" i="31"/>
  <c r="R22" i="31"/>
  <c r="R26" i="31"/>
  <c r="R30" i="31"/>
  <c r="R34" i="31"/>
  <c r="R38" i="31"/>
  <c r="J4" i="31"/>
  <c r="J8" i="31"/>
  <c r="J12" i="31"/>
  <c r="J16" i="31"/>
  <c r="J20" i="31"/>
  <c r="J24" i="31"/>
  <c r="J28" i="31"/>
  <c r="H5" i="31"/>
  <c r="H9" i="31"/>
  <c r="H13" i="31"/>
  <c r="H17" i="31"/>
  <c r="H21" i="31"/>
  <c r="H25" i="31"/>
  <c r="H29" i="31"/>
  <c r="H33" i="31"/>
  <c r="H37" i="31"/>
  <c r="H2" i="31"/>
  <c r="V11" i="31"/>
  <c r="V15" i="31"/>
  <c r="V19" i="31"/>
  <c r="V23" i="31"/>
  <c r="V27" i="31"/>
  <c r="V31" i="31"/>
  <c r="V35" i="31"/>
  <c r="V39" i="31"/>
  <c r="T6" i="31"/>
  <c r="T10" i="31"/>
  <c r="T14" i="31"/>
  <c r="T18" i="31"/>
  <c r="T22" i="31"/>
  <c r="T26" i="31"/>
  <c r="T30" i="31"/>
  <c r="T34" i="31"/>
  <c r="T38" i="31"/>
  <c r="R3" i="31"/>
  <c r="R7" i="31"/>
  <c r="R11" i="31"/>
  <c r="R15" i="31"/>
  <c r="R19" i="31"/>
  <c r="R23" i="31"/>
  <c r="R27" i="31"/>
  <c r="R31" i="31"/>
  <c r="R35" i="31"/>
  <c r="R39" i="31"/>
  <c r="L4" i="31"/>
  <c r="L8" i="31"/>
  <c r="L12" i="31"/>
  <c r="L16" i="31"/>
  <c r="L20" i="31"/>
  <c r="L24" i="31"/>
  <c r="L28" i="31"/>
  <c r="L32" i="31"/>
  <c r="L36" i="31"/>
  <c r="J30" i="31"/>
  <c r="J32" i="31"/>
  <c r="J34" i="31"/>
  <c r="J36" i="31"/>
  <c r="J38" i="31"/>
  <c r="J40" i="31"/>
  <c r="F8" i="31"/>
  <c r="BM5" i="31" s="1"/>
  <c r="F16" i="31"/>
  <c r="BM18" i="31" s="1"/>
  <c r="F24" i="31"/>
  <c r="BM30" i="31" s="1"/>
  <c r="F32" i="31"/>
  <c r="BM9" i="31" s="1"/>
  <c r="F40" i="31"/>
  <c r="BM34" i="31" s="1"/>
  <c r="J7" i="31"/>
  <c r="J11" i="31"/>
  <c r="J15" i="31"/>
  <c r="J19" i="31"/>
  <c r="J23" i="31"/>
  <c r="J27" i="31"/>
  <c r="J31" i="31"/>
  <c r="J35" i="31"/>
  <c r="J39" i="31"/>
  <c r="H4" i="31"/>
  <c r="H8" i="31"/>
  <c r="H12" i="31"/>
  <c r="H16" i="31"/>
  <c r="H20" i="31"/>
  <c r="H24" i="31"/>
  <c r="H28" i="31"/>
  <c r="H32" i="31"/>
  <c r="H36" i="31"/>
  <c r="H40" i="31"/>
  <c r="AB7" i="31"/>
  <c r="AB6" i="31"/>
  <c r="AB11" i="31"/>
  <c r="AB15" i="31"/>
  <c r="AB19" i="31"/>
  <c r="AB23" i="31"/>
  <c r="AB27" i="31"/>
  <c r="AB31" i="31"/>
  <c r="AB35" i="31"/>
  <c r="AB39" i="31"/>
  <c r="V3" i="31"/>
  <c r="V7" i="31"/>
  <c r="L3" i="31"/>
  <c r="L7" i="31"/>
  <c r="L11" i="31"/>
  <c r="L15" i="31"/>
  <c r="L19" i="31"/>
  <c r="L23" i="31"/>
  <c r="L27" i="31"/>
  <c r="L31" i="31"/>
  <c r="L35" i="31"/>
  <c r="L39" i="31"/>
  <c r="L5" i="31"/>
  <c r="L9" i="31"/>
  <c r="L13" i="31"/>
  <c r="L17" i="31"/>
  <c r="L21" i="31"/>
  <c r="L25" i="31"/>
  <c r="L29" i="31"/>
  <c r="L33" i="31"/>
  <c r="L37" i="31"/>
  <c r="L2" i="31"/>
  <c r="AB5" i="31"/>
  <c r="AB12" i="31"/>
  <c r="AB16" i="31"/>
  <c r="AB20" i="31"/>
  <c r="AB24" i="31"/>
  <c r="AB28" i="31"/>
  <c r="AB32" i="31"/>
  <c r="AB36" i="31"/>
  <c r="V4" i="31"/>
  <c r="W4" i="31" s="1"/>
  <c r="V8" i="31"/>
  <c r="V12" i="31"/>
  <c r="V16" i="31"/>
  <c r="V20" i="31"/>
  <c r="V24" i="31"/>
  <c r="V28" i="31"/>
  <c r="V32" i="31"/>
  <c r="V36" i="31"/>
  <c r="V40" i="31"/>
  <c r="T5" i="31"/>
  <c r="T9" i="31"/>
  <c r="T13" i="31"/>
  <c r="T17" i="31"/>
  <c r="T21" i="31"/>
  <c r="T25" i="31"/>
  <c r="T29" i="31"/>
  <c r="T33" i="31"/>
  <c r="T37" i="31"/>
  <c r="T2" i="31"/>
  <c r="R8" i="31"/>
  <c r="R12" i="31"/>
  <c r="R16" i="31"/>
  <c r="R20" i="31"/>
  <c r="R24" i="31"/>
  <c r="R28" i="31"/>
  <c r="R32" i="31"/>
  <c r="R36" i="31"/>
  <c r="R40" i="31"/>
  <c r="J6" i="31"/>
  <c r="J10" i="31"/>
  <c r="J14" i="31"/>
  <c r="J18" i="31"/>
  <c r="J22" i="31"/>
  <c r="J26" i="31"/>
  <c r="H3" i="31"/>
  <c r="H7" i="31"/>
  <c r="M7" i="31" s="1"/>
  <c r="H11" i="31"/>
  <c r="M11" i="31" s="1"/>
  <c r="H15" i="31"/>
  <c r="M15" i="31" s="1"/>
  <c r="H19" i="31"/>
  <c r="M19" i="31" s="1"/>
  <c r="H23" i="31"/>
  <c r="M23" i="31" s="1"/>
  <c r="H27" i="31"/>
  <c r="M27" i="31" s="1"/>
  <c r="H31" i="31"/>
  <c r="M31" i="31" s="1"/>
  <c r="H35" i="31"/>
  <c r="M35" i="31" s="1"/>
  <c r="H39" i="31"/>
  <c r="M39" i="31" s="1"/>
  <c r="V13" i="31"/>
  <c r="V17" i="31"/>
  <c r="V21" i="31"/>
  <c r="V25" i="31"/>
  <c r="V29" i="31"/>
  <c r="V33" i="31"/>
  <c r="V37" i="31"/>
  <c r="T8" i="31"/>
  <c r="T12" i="31"/>
  <c r="T16" i="31"/>
  <c r="T20" i="31"/>
  <c r="T24" i="31"/>
  <c r="T28" i="31"/>
  <c r="T32" i="31"/>
  <c r="T36" i="31"/>
  <c r="T40" i="31"/>
  <c r="R5" i="31"/>
  <c r="R9" i="31"/>
  <c r="W9" i="31" s="1"/>
  <c r="R13" i="31"/>
  <c r="R17" i="31"/>
  <c r="W17" i="31" s="1"/>
  <c r="R21" i="31"/>
  <c r="R25" i="31"/>
  <c r="W25" i="31" s="1"/>
  <c r="R29" i="31"/>
  <c r="R33" i="31"/>
  <c r="W33" i="31" s="1"/>
  <c r="R37" i="31"/>
  <c r="R2" i="31"/>
  <c r="W2" i="31" s="1"/>
  <c r="L6" i="31"/>
  <c r="L10" i="31"/>
  <c r="L14" i="31"/>
  <c r="L18" i="31"/>
  <c r="L22" i="31"/>
  <c r="L26" i="31"/>
  <c r="L30" i="31"/>
  <c r="L34" i="31"/>
  <c r="L38" i="31"/>
  <c r="J3" i="31"/>
  <c r="F4" i="31"/>
  <c r="BM21" i="31" s="1"/>
  <c r="F12" i="31"/>
  <c r="M12" i="31" s="1"/>
  <c r="F20" i="31"/>
  <c r="BM25" i="31" s="1"/>
  <c r="F28" i="31"/>
  <c r="F36" i="31"/>
  <c r="BM22" i="31" s="1"/>
  <c r="J5" i="31"/>
  <c r="J9" i="31"/>
  <c r="J13" i="31"/>
  <c r="J17" i="31"/>
  <c r="J21" i="31"/>
  <c r="J25" i="31"/>
  <c r="J29" i="31"/>
  <c r="J33" i="31"/>
  <c r="J37" i="31"/>
  <c r="H6" i="31"/>
  <c r="M6" i="31" s="1"/>
  <c r="H10" i="31"/>
  <c r="M10" i="31" s="1"/>
  <c r="H14" i="31"/>
  <c r="M14" i="31" s="1"/>
  <c r="H18" i="31"/>
  <c r="M18" i="31" s="1"/>
  <c r="H22" i="31"/>
  <c r="M22" i="31" s="1"/>
  <c r="H26" i="31"/>
  <c r="M26" i="31" s="1"/>
  <c r="H30" i="31"/>
  <c r="M30" i="31" s="1"/>
  <c r="H34" i="31"/>
  <c r="M34" i="31" s="1"/>
  <c r="AB21" i="26" l="1"/>
  <c r="E22" i="27" s="1"/>
  <c r="J6" i="26"/>
  <c r="J24" i="26"/>
  <c r="J7" i="26"/>
  <c r="J15" i="26"/>
  <c r="J25" i="26"/>
  <c r="J23" i="26"/>
  <c r="J9" i="26"/>
  <c r="AH20" i="26"/>
  <c r="AO23" i="31"/>
  <c r="C29" i="30"/>
  <c r="BA22" i="7"/>
  <c r="Y21" i="20"/>
  <c r="BC22" i="17"/>
  <c r="AH21" i="9"/>
  <c r="AR21" i="14"/>
  <c r="P21" i="6"/>
  <c r="Q21" i="10"/>
  <c r="AY22" i="15"/>
  <c r="AH14" i="26"/>
  <c r="AO19" i="31"/>
  <c r="C22" i="30"/>
  <c r="BA16" i="7"/>
  <c r="Y15" i="20"/>
  <c r="BC16" i="17"/>
  <c r="Q15" i="10"/>
  <c r="AY16" i="15"/>
  <c r="P15" i="6"/>
  <c r="AH15" i="9"/>
  <c r="AR15" i="14"/>
  <c r="C17" i="30"/>
  <c r="AO35" i="31"/>
  <c r="AO34" i="31"/>
  <c r="C13" i="30"/>
  <c r="C5" i="30"/>
  <c r="AO8" i="31"/>
  <c r="AY23" i="15"/>
  <c r="AH21" i="26"/>
  <c r="C30" i="30"/>
  <c r="AO6" i="31"/>
  <c r="BA23" i="7"/>
  <c r="AH22" i="9"/>
  <c r="Q22" i="10"/>
  <c r="AR22" i="14"/>
  <c r="Y22" i="20"/>
  <c r="BC23" i="17"/>
  <c r="P22" i="6"/>
  <c r="AH15" i="26"/>
  <c r="C23" i="30"/>
  <c r="AO37" i="31"/>
  <c r="AH16" i="9"/>
  <c r="Q16" i="10"/>
  <c r="AR16" i="14"/>
  <c r="AY17" i="15"/>
  <c r="P16" i="6"/>
  <c r="Y16" i="20"/>
  <c r="BC17" i="17"/>
  <c r="BA17" i="7"/>
  <c r="BI11" i="31"/>
  <c r="CC12" i="31"/>
  <c r="AS11" i="31"/>
  <c r="BE11" i="31"/>
  <c r="BX14" i="31"/>
  <c r="BN13" i="31"/>
  <c r="BS13" i="31" s="1"/>
  <c r="AH4" i="26"/>
  <c r="AO30" i="31"/>
  <c r="C6" i="30"/>
  <c r="BA6" i="7"/>
  <c r="Y5" i="20"/>
  <c r="BC6" i="17"/>
  <c r="P5" i="6"/>
  <c r="AH5" i="9"/>
  <c r="AR5" i="14"/>
  <c r="Q5" i="10"/>
  <c r="AY6" i="15"/>
  <c r="AH3" i="26"/>
  <c r="AO29" i="31"/>
  <c r="C4" i="30"/>
  <c r="BA5" i="7"/>
  <c r="AH4" i="9"/>
  <c r="Q4" i="10"/>
  <c r="AR4" i="14"/>
  <c r="AY5" i="15"/>
  <c r="Y4" i="20"/>
  <c r="BC5" i="17"/>
  <c r="P4" i="6"/>
  <c r="BI24" i="31"/>
  <c r="CC33" i="31"/>
  <c r="AS25" i="31"/>
  <c r="BX32" i="31"/>
  <c r="BN31" i="31"/>
  <c r="BS34" i="31" s="1"/>
  <c r="BE24" i="31"/>
  <c r="AS36" i="31"/>
  <c r="CC22" i="31"/>
  <c r="BN22" i="31"/>
  <c r="BS23" i="31" s="1"/>
  <c r="BI35" i="31"/>
  <c r="BX23" i="31"/>
  <c r="BE35" i="31"/>
  <c r="BI32" i="31"/>
  <c r="AS33" i="31"/>
  <c r="BX11" i="31"/>
  <c r="BN10" i="31"/>
  <c r="BE32" i="31"/>
  <c r="BI26" i="31"/>
  <c r="AS27" i="31"/>
  <c r="BN2" i="31"/>
  <c r="BS2" i="31" s="1"/>
  <c r="BX2" i="31" s="1"/>
  <c r="BE26" i="31"/>
  <c r="AY25" i="15"/>
  <c r="AH23" i="26"/>
  <c r="AO26" i="31"/>
  <c r="C32" i="30"/>
  <c r="AH24" i="9"/>
  <c r="Q24" i="10"/>
  <c r="AR24" i="14"/>
  <c r="Y24" i="20"/>
  <c r="BC25" i="17"/>
  <c r="BA25" i="7"/>
  <c r="P24" i="6"/>
  <c r="AH18" i="26"/>
  <c r="AO20" i="31"/>
  <c r="C26" i="30"/>
  <c r="BA20" i="7"/>
  <c r="Y19" i="20"/>
  <c r="BC20" i="17"/>
  <c r="Q19" i="10"/>
  <c r="AY20" i="15"/>
  <c r="P19" i="6"/>
  <c r="AH19" i="9"/>
  <c r="AR19" i="14"/>
  <c r="C19" i="30"/>
  <c r="AO18" i="31"/>
  <c r="AH9" i="26"/>
  <c r="C15" i="30"/>
  <c r="AO14" i="31"/>
  <c r="BA11" i="7"/>
  <c r="AH10" i="9"/>
  <c r="Q10" i="10"/>
  <c r="AR10" i="14"/>
  <c r="AY11" i="15"/>
  <c r="P10" i="6"/>
  <c r="Y10" i="20"/>
  <c r="BC11" i="17"/>
  <c r="AO9" i="31"/>
  <c r="C9" i="30"/>
  <c r="AY26" i="15"/>
  <c r="AH24" i="26"/>
  <c r="AO39" i="31"/>
  <c r="C33" i="30"/>
  <c r="BA26" i="7"/>
  <c r="Y25" i="20"/>
  <c r="BC26" i="17"/>
  <c r="AR25" i="14"/>
  <c r="P25" i="6"/>
  <c r="Q25" i="10"/>
  <c r="AH19" i="26"/>
  <c r="AO21" i="31"/>
  <c r="C27" i="30"/>
  <c r="AH20" i="9"/>
  <c r="Q20" i="10"/>
  <c r="AR20" i="14"/>
  <c r="AY21" i="15"/>
  <c r="BA21" i="7"/>
  <c r="Y20" i="20"/>
  <c r="BC21" i="17"/>
  <c r="P20" i="6"/>
  <c r="AH12" i="26"/>
  <c r="AO4" i="31"/>
  <c r="C20" i="30"/>
  <c r="BA14" i="7"/>
  <c r="Y13" i="20"/>
  <c r="BC14" i="17"/>
  <c r="AH13" i="9"/>
  <c r="AR13" i="14"/>
  <c r="Q13" i="10"/>
  <c r="AY14" i="15"/>
  <c r="P13" i="6"/>
  <c r="AH10" i="26"/>
  <c r="AO3" i="31"/>
  <c r="C16" i="30"/>
  <c r="BA12" i="7"/>
  <c r="Y11" i="20"/>
  <c r="BC12" i="17"/>
  <c r="Q11" i="10"/>
  <c r="AY12" i="15"/>
  <c r="P11" i="6"/>
  <c r="AH11" i="9"/>
  <c r="AR11" i="14"/>
  <c r="AO32" i="31"/>
  <c r="C10" i="30"/>
  <c r="AY27" i="15"/>
  <c r="AH25" i="26"/>
  <c r="AO40" i="31"/>
  <c r="C34" i="30"/>
  <c r="AH26" i="9"/>
  <c r="Q26" i="10"/>
  <c r="AR26" i="14"/>
  <c r="BA27" i="7"/>
  <c r="Y26" i="20"/>
  <c r="BC27" i="17"/>
  <c r="P26" i="6"/>
  <c r="AY28" i="15"/>
  <c r="AH26" i="26"/>
  <c r="AO7" i="31"/>
  <c r="C35" i="30"/>
  <c r="BA28" i="7"/>
  <c r="Y27" i="20"/>
  <c r="BC28" i="17"/>
  <c r="Q27" i="10"/>
  <c r="P27" i="6"/>
  <c r="AH27" i="9"/>
  <c r="AR27" i="14"/>
  <c r="BI21" i="31"/>
  <c r="BX29" i="31"/>
  <c r="CC29" i="31"/>
  <c r="AS22" i="31"/>
  <c r="BN27" i="31"/>
  <c r="BS30" i="31" s="1"/>
  <c r="BE21" i="31"/>
  <c r="AS38" i="31"/>
  <c r="BI37" i="31"/>
  <c r="BX26" i="31"/>
  <c r="BE37" i="31"/>
  <c r="CC25" i="31"/>
  <c r="BN24" i="31"/>
  <c r="BS26" i="31" s="1"/>
  <c r="BI15" i="31"/>
  <c r="CC18" i="31"/>
  <c r="AS16" i="31"/>
  <c r="BN18" i="31"/>
  <c r="BS19" i="31" s="1"/>
  <c r="BE15" i="31"/>
  <c r="BI12" i="31"/>
  <c r="AS12" i="31"/>
  <c r="BX15" i="31"/>
  <c r="BE12" i="31"/>
  <c r="AS2" i="31"/>
  <c r="CC6" i="31"/>
  <c r="BI2" i="31"/>
  <c r="BS7" i="31" s="1"/>
  <c r="BX7" i="31" s="1"/>
  <c r="BE2" i="31"/>
  <c r="E23" i="30"/>
  <c r="X37" i="26" s="1"/>
  <c r="AS5" i="31"/>
  <c r="BI5" i="31"/>
  <c r="BS27" i="31" s="1"/>
  <c r="BX27" i="31"/>
  <c r="CC26" i="31"/>
  <c r="BE5" i="31"/>
  <c r="BI10" i="31"/>
  <c r="AS10" i="31"/>
  <c r="BE10" i="31"/>
  <c r="BN11" i="31"/>
  <c r="BS11" i="31" s="1"/>
  <c r="BX12" i="31" s="1"/>
  <c r="CC10" i="31" s="1"/>
  <c r="BI30" i="31"/>
  <c r="CC7" i="31"/>
  <c r="AS31" i="31"/>
  <c r="BE30" i="31"/>
  <c r="BN7" i="31"/>
  <c r="BS8" i="31" s="1"/>
  <c r="BX8" i="31" s="1"/>
  <c r="T36" i="26"/>
  <c r="M28" i="31"/>
  <c r="BM3" i="31"/>
  <c r="M36" i="31"/>
  <c r="M20" i="31"/>
  <c r="M4" i="31"/>
  <c r="M3" i="31"/>
  <c r="W35" i="31"/>
  <c r="W27" i="31"/>
  <c r="W11" i="31"/>
  <c r="M33" i="31"/>
  <c r="M25" i="31"/>
  <c r="M17" i="31"/>
  <c r="M9" i="31"/>
  <c r="M37" i="31"/>
  <c r="M29" i="31"/>
  <c r="M21" i="31"/>
  <c r="M13" i="31"/>
  <c r="M5" i="31"/>
  <c r="W37" i="31"/>
  <c r="W29" i="31"/>
  <c r="W21" i="31"/>
  <c r="W13" i="31"/>
  <c r="W5" i="31"/>
  <c r="W36" i="31"/>
  <c r="W28" i="31"/>
  <c r="W20" i="31"/>
  <c r="W12" i="31"/>
  <c r="M40" i="31"/>
  <c r="M24" i="31"/>
  <c r="M8" i="31"/>
  <c r="W39" i="31"/>
  <c r="W31" i="31"/>
  <c r="W23" i="31"/>
  <c r="W15" i="31"/>
  <c r="W7" i="31"/>
  <c r="W38" i="31"/>
  <c r="W30" i="31"/>
  <c r="W22" i="31"/>
  <c r="W14" i="31"/>
  <c r="W6" i="31"/>
  <c r="W32" i="31"/>
  <c r="W24" i="31"/>
  <c r="W16" i="31"/>
  <c r="W8" i="31"/>
  <c r="M32" i="31"/>
  <c r="M16" i="31"/>
  <c r="W3" i="31"/>
  <c r="M2" i="31"/>
  <c r="W34" i="31"/>
  <c r="W26" i="31"/>
  <c r="W18" i="31"/>
  <c r="W10" i="31"/>
  <c r="AF4" i="31"/>
  <c r="BH4" i="31" s="1"/>
  <c r="AF10" i="31"/>
  <c r="BH10" i="31" s="1"/>
  <c r="AF14" i="31"/>
  <c r="BH14" i="31" s="1"/>
  <c r="AF18" i="31"/>
  <c r="BH17" i="31" s="1"/>
  <c r="AF22" i="31"/>
  <c r="BH21" i="31" s="1"/>
  <c r="AF26" i="31"/>
  <c r="BH25" i="31" s="1"/>
  <c r="AF30" i="31"/>
  <c r="BH29" i="31" s="1"/>
  <c r="AF34" i="31"/>
  <c r="BH33" i="31" s="1"/>
  <c r="AF38" i="31"/>
  <c r="BH37" i="31" s="1"/>
  <c r="AF3" i="31"/>
  <c r="BH3" i="31" s="1"/>
  <c r="AF7" i="31"/>
  <c r="BH7" i="31" s="1"/>
  <c r="AF11" i="31"/>
  <c r="BH11" i="31" s="1"/>
  <c r="AF15" i="31"/>
  <c r="AF19" i="31"/>
  <c r="BH18" i="31" s="1"/>
  <c r="AF23" i="31"/>
  <c r="BH22" i="31" s="1"/>
  <c r="AF27" i="31"/>
  <c r="BH26" i="31" s="1"/>
  <c r="AF31" i="31"/>
  <c r="BH30" i="31" s="1"/>
  <c r="AF35" i="31"/>
  <c r="BH34" i="31" s="1"/>
  <c r="AF39" i="31"/>
  <c r="BH38" i="31" s="1"/>
  <c r="AF6" i="31"/>
  <c r="BH6" i="31" s="1"/>
  <c r="AF12" i="31"/>
  <c r="BH12" i="31" s="1"/>
  <c r="AF16" i="31"/>
  <c r="BH15" i="31" s="1"/>
  <c r="AF20" i="31"/>
  <c r="BH19" i="31" s="1"/>
  <c r="AF24" i="31"/>
  <c r="BH23" i="31" s="1"/>
  <c r="AF28" i="31"/>
  <c r="BH27" i="31" s="1"/>
  <c r="AF32" i="31"/>
  <c r="BH31" i="31" s="1"/>
  <c r="AF36" i="31"/>
  <c r="BH35" i="31" s="1"/>
  <c r="AF40" i="31"/>
  <c r="BH39" i="31" s="1"/>
  <c r="AF5" i="31"/>
  <c r="BH5" i="31" s="1"/>
  <c r="AF9" i="31"/>
  <c r="BH9" i="31" s="1"/>
  <c r="AF13" i="31"/>
  <c r="BH13" i="31" s="1"/>
  <c r="AF17" i="31"/>
  <c r="BH16" i="31" s="1"/>
  <c r="AF21" i="31"/>
  <c r="BH20" i="31" s="1"/>
  <c r="AF25" i="31"/>
  <c r="BH24" i="31" s="1"/>
  <c r="AF29" i="31"/>
  <c r="BH28" i="31" s="1"/>
  <c r="AF33" i="31"/>
  <c r="BH32" i="31" s="1"/>
  <c r="AF37" i="31"/>
  <c r="BH36" i="31" s="1"/>
  <c r="AF2" i="31"/>
  <c r="BH2" i="31" s="1"/>
  <c r="AF8" i="31"/>
  <c r="BH8" i="31" s="1"/>
  <c r="J36" i="26" l="1"/>
  <c r="X36" i="26"/>
  <c r="B20" i="35" s="1"/>
  <c r="CC35" i="31"/>
  <c r="BI7" i="31"/>
  <c r="BE7" i="31"/>
  <c r="AS7" i="31"/>
  <c r="BX36" i="31"/>
  <c r="BN35" i="31"/>
  <c r="BS36" i="31" s="1"/>
  <c r="BI4" i="31"/>
  <c r="AS4" i="31"/>
  <c r="CC21" i="31"/>
  <c r="BN21" i="31"/>
  <c r="BS22" i="31" s="1"/>
  <c r="BX22" i="31"/>
  <c r="BE4" i="31"/>
  <c r="BI14" i="31"/>
  <c r="BX17" i="31"/>
  <c r="CC14" i="31"/>
  <c r="AS14" i="31"/>
  <c r="BN15" i="31"/>
  <c r="BS15" i="31" s="1"/>
  <c r="BE14" i="31"/>
  <c r="BI19" i="31"/>
  <c r="AS20" i="31"/>
  <c r="BX28" i="31"/>
  <c r="BN25" i="31"/>
  <c r="BS28" i="31" s="1"/>
  <c r="BE19" i="31"/>
  <c r="CC27" i="31"/>
  <c r="AS26" i="31"/>
  <c r="BX33" i="31"/>
  <c r="BN32" i="31"/>
  <c r="BS35" i="31" s="1"/>
  <c r="BE25" i="31"/>
  <c r="BI25" i="31"/>
  <c r="BI28" i="31"/>
  <c r="CC3" i="31"/>
  <c r="AS29" i="31"/>
  <c r="BN4" i="31"/>
  <c r="BS4" i="31" s="1"/>
  <c r="BX4" i="31" s="1"/>
  <c r="BE28" i="31"/>
  <c r="AS34" i="31"/>
  <c r="BI33" i="31"/>
  <c r="BX13" i="31"/>
  <c r="BE33" i="31"/>
  <c r="CC11" i="31"/>
  <c r="BN12" i="31"/>
  <c r="BS12" i="31" s="1"/>
  <c r="CC23" i="31"/>
  <c r="AS19" i="31"/>
  <c r="BE18" i="31"/>
  <c r="BI18" i="31"/>
  <c r="BS24" i="31" s="1"/>
  <c r="BX24" i="31"/>
  <c r="BI39" i="31"/>
  <c r="AS40" i="31"/>
  <c r="BN34" i="31"/>
  <c r="BX35" i="31" s="1"/>
  <c r="BE39" i="31"/>
  <c r="AS32" i="31"/>
  <c r="CC9" i="31"/>
  <c r="BN9" i="31"/>
  <c r="BS10" i="31" s="1"/>
  <c r="BX10" i="31" s="1"/>
  <c r="BI31" i="31"/>
  <c r="BE31" i="31"/>
  <c r="AS3" i="31"/>
  <c r="CC15" i="31"/>
  <c r="BE3" i="31"/>
  <c r="BI3" i="31"/>
  <c r="BX18" i="31"/>
  <c r="BN16" i="31"/>
  <c r="BS16" i="31" s="1"/>
  <c r="CC28" i="31"/>
  <c r="BN26" i="31"/>
  <c r="BS29" i="31" s="1"/>
  <c r="BI20" i="31"/>
  <c r="AS21" i="31"/>
  <c r="BE20" i="31"/>
  <c r="BI38" i="31"/>
  <c r="AS39" i="31"/>
  <c r="CC34" i="31"/>
  <c r="BE38" i="31"/>
  <c r="BX34" i="31"/>
  <c r="BN33" i="31"/>
  <c r="CC8" i="31"/>
  <c r="BI9" i="31"/>
  <c r="AS9" i="31"/>
  <c r="BN8" i="31"/>
  <c r="BS9" i="31" s="1"/>
  <c r="BX9" i="31" s="1"/>
  <c r="BE9" i="31"/>
  <c r="BI17" i="31"/>
  <c r="BX21" i="31"/>
  <c r="CC20" i="31"/>
  <c r="AS18" i="31"/>
  <c r="BN20" i="31"/>
  <c r="BS21" i="31" s="1"/>
  <c r="BE17" i="31"/>
  <c r="AS30" i="31"/>
  <c r="CC5" i="31"/>
  <c r="BN6" i="31"/>
  <c r="BS6" i="31" s="1"/>
  <c r="BX6" i="31" s="1"/>
  <c r="BE29" i="31"/>
  <c r="BI29" i="31"/>
  <c r="BI36" i="31"/>
  <c r="CC24" i="31"/>
  <c r="BX25" i="31"/>
  <c r="AS37" i="31"/>
  <c r="BN23" i="31"/>
  <c r="BS25" i="31" s="1"/>
  <c r="BE36" i="31"/>
  <c r="BI6" i="31"/>
  <c r="CC31" i="31"/>
  <c r="AS6" i="31"/>
  <c r="BE6" i="31"/>
  <c r="BX30" i="31"/>
  <c r="BN29" i="31"/>
  <c r="BS32" i="31" s="1"/>
  <c r="BI8" i="31"/>
  <c r="AS8" i="31"/>
  <c r="BN5" i="31"/>
  <c r="BS5" i="31" s="1"/>
  <c r="BX5" i="31" s="1"/>
  <c r="CC4" i="31"/>
  <c r="BE8" i="31"/>
  <c r="BI34" i="31"/>
  <c r="BS18" i="31" s="1"/>
  <c r="BX19" i="31"/>
  <c r="AS35" i="31"/>
  <c r="BE34" i="31"/>
  <c r="CC17" i="31"/>
  <c r="CC30" i="31"/>
  <c r="AS23" i="31"/>
  <c r="BE22" i="31"/>
  <c r="BI22" i="31"/>
  <c r="BN28" i="31"/>
  <c r="BS31" i="31" s="1"/>
  <c r="W45" i="31"/>
  <c r="M45" i="31"/>
  <c r="M46" i="31"/>
  <c r="W46" i="31"/>
  <c r="X21" i="31" l="1"/>
  <c r="N24" i="31"/>
  <c r="X28" i="31"/>
  <c r="X34" i="31"/>
  <c r="N32" i="31"/>
  <c r="X24" i="31"/>
  <c r="AQ24" i="31" s="1"/>
  <c r="N16" i="31"/>
  <c r="X26" i="31"/>
  <c r="X37" i="31"/>
  <c r="X5" i="31"/>
  <c r="X12" i="31"/>
  <c r="X39" i="31"/>
  <c r="X7" i="31"/>
  <c r="X14" i="31"/>
  <c r="X40" i="31"/>
  <c r="X8" i="31"/>
  <c r="N2" i="31"/>
  <c r="X10" i="31"/>
  <c r="X13" i="31"/>
  <c r="X20" i="31"/>
  <c r="N8" i="31"/>
  <c r="X15" i="31"/>
  <c r="X22" i="31"/>
  <c r="X32" i="31"/>
  <c r="X4" i="31"/>
  <c r="X25" i="31"/>
  <c r="X17" i="31"/>
  <c r="X27" i="31"/>
  <c r="X11" i="31"/>
  <c r="X2" i="31"/>
  <c r="X33" i="31"/>
  <c r="X9" i="31"/>
  <c r="X35" i="31"/>
  <c r="X19" i="31"/>
  <c r="X18" i="31"/>
  <c r="X23" i="31"/>
  <c r="X30" i="31"/>
  <c r="N22" i="31"/>
  <c r="N35" i="31"/>
  <c r="AQ35" i="31" s="1"/>
  <c r="N26" i="31"/>
  <c r="AQ26" i="31" s="1"/>
  <c r="N10" i="31"/>
  <c r="N31" i="31"/>
  <c r="N15" i="31"/>
  <c r="N29" i="31"/>
  <c r="N13" i="31"/>
  <c r="AQ13" i="31" s="1"/>
  <c r="N30" i="31"/>
  <c r="N38" i="31"/>
  <c r="N19" i="31"/>
  <c r="AQ19" i="31" s="1"/>
  <c r="N3" i="31"/>
  <c r="N25" i="31"/>
  <c r="AQ25" i="31" s="1"/>
  <c r="N9" i="31"/>
  <c r="N20" i="31"/>
  <c r="AQ20" i="31" s="1"/>
  <c r="N12" i="31"/>
  <c r="AQ12" i="31" s="1"/>
  <c r="N6" i="31"/>
  <c r="N34" i="31"/>
  <c r="AQ34" i="31" s="1"/>
  <c r="N18" i="31"/>
  <c r="N39" i="31"/>
  <c r="AQ39" i="31" s="1"/>
  <c r="N23" i="31"/>
  <c r="AQ23" i="31" s="1"/>
  <c r="N7" i="31"/>
  <c r="AQ7" i="31" s="1"/>
  <c r="N37" i="31"/>
  <c r="AQ37" i="31" s="1"/>
  <c r="N21" i="31"/>
  <c r="AQ21" i="31" s="1"/>
  <c r="N5" i="31"/>
  <c r="AQ5" i="31" s="1"/>
  <c r="N14" i="31"/>
  <c r="AQ14" i="31" s="1"/>
  <c r="N27" i="31"/>
  <c r="AQ27" i="31" s="1"/>
  <c r="N11" i="31"/>
  <c r="AQ11" i="31" s="1"/>
  <c r="N33" i="31"/>
  <c r="N17" i="31"/>
  <c r="AQ17" i="31" s="1"/>
  <c r="N28" i="31"/>
  <c r="N36" i="31"/>
  <c r="AQ36" i="31" s="1"/>
  <c r="N4" i="31"/>
  <c r="AQ4" i="31" s="1"/>
  <c r="X29" i="31"/>
  <c r="X36" i="31"/>
  <c r="N40" i="31"/>
  <c r="AQ40" i="31" s="1"/>
  <c r="X31" i="31"/>
  <c r="X38" i="31"/>
  <c r="X6" i="31"/>
  <c r="X16" i="31"/>
  <c r="X3" i="31"/>
  <c r="AQ28" i="31" l="1"/>
  <c r="AQ33" i="31"/>
  <c r="AQ18" i="31"/>
  <c r="AQ30" i="31"/>
  <c r="AQ22" i="31"/>
  <c r="AQ32" i="31"/>
  <c r="AQ9" i="31"/>
  <c r="AQ3" i="31"/>
  <c r="AQ38" i="31"/>
  <c r="AQ15" i="31"/>
  <c r="AQ10" i="31"/>
  <c r="AQ8" i="31"/>
  <c r="AQ2" i="31"/>
  <c r="AQ16" i="31"/>
  <c r="AQ6" i="31"/>
  <c r="AQ29" i="31"/>
  <c r="AQ31" i="31"/>
  <c r="AQ46" i="31" l="1"/>
  <c r="AQ45" i="31"/>
  <c r="AR6" i="31" s="1"/>
  <c r="AR18" i="31" l="1"/>
  <c r="BD17" i="31" s="1"/>
  <c r="AR31" i="31"/>
  <c r="AR40" i="31"/>
  <c r="AR23" i="31"/>
  <c r="AR22" i="31"/>
  <c r="BD21" i="31" s="1"/>
  <c r="AR38" i="31"/>
  <c r="AR30" i="31"/>
  <c r="AR19" i="31"/>
  <c r="AR21" i="31"/>
  <c r="AR12" i="31"/>
  <c r="BD12" i="31" s="1"/>
  <c r="AR35" i="31"/>
  <c r="BD34" i="31" s="1"/>
  <c r="AR33" i="31"/>
  <c r="AR27" i="31"/>
  <c r="AR4" i="31"/>
  <c r="AR14" i="31"/>
  <c r="AR32" i="31"/>
  <c r="BD31" i="31" s="1"/>
  <c r="AR2" i="31"/>
  <c r="V5" i="26" s="1"/>
  <c r="AR25" i="31"/>
  <c r="AR26" i="31"/>
  <c r="AR20" i="31"/>
  <c r="AR37" i="31"/>
  <c r="AR34" i="31"/>
  <c r="BD33" i="31" s="1"/>
  <c r="AR11" i="31"/>
  <c r="BD11" i="31" s="1"/>
  <c r="AR24" i="31"/>
  <c r="BD23" i="31" s="1"/>
  <c r="AR5" i="31"/>
  <c r="V17" i="26" s="1"/>
  <c r="AR13" i="31"/>
  <c r="BD13" i="31" s="1"/>
  <c r="AR7" i="31"/>
  <c r="AR17" i="31"/>
  <c r="BD16" i="31" s="1"/>
  <c r="AR28" i="31"/>
  <c r="BD27" i="31" s="1"/>
  <c r="AR39" i="31"/>
  <c r="AR15" i="31"/>
  <c r="AR29" i="31"/>
  <c r="AR10" i="31"/>
  <c r="V8" i="26" s="1"/>
  <c r="BD10" i="31"/>
  <c r="AR16" i="31"/>
  <c r="AR9" i="31"/>
  <c r="BD9" i="31" s="1"/>
  <c r="AR3" i="31"/>
  <c r="AR8" i="31"/>
  <c r="BD8" i="31" s="1"/>
  <c r="AR36" i="31"/>
  <c r="V4" i="26"/>
  <c r="BD29" i="31"/>
  <c r="V20" i="26"/>
  <c r="BD22" i="31"/>
  <c r="V14" i="26"/>
  <c r="BD18" i="31"/>
  <c r="V7" i="26"/>
  <c r="BD32" i="31"/>
  <c r="V19" i="26"/>
  <c r="BD20" i="31"/>
  <c r="V2" i="26"/>
  <c r="BD26" i="31"/>
  <c r="V12" i="26"/>
  <c r="BD4" i="31"/>
  <c r="V9" i="26"/>
  <c r="BD14" i="31"/>
  <c r="V25" i="26"/>
  <c r="BD39" i="31"/>
  <c r="V21" i="26"/>
  <c r="BD6" i="31"/>
  <c r="V3" i="26"/>
  <c r="BD28" i="31"/>
  <c r="V16" i="26"/>
  <c r="BD37" i="31"/>
  <c r="V6" i="26"/>
  <c r="BD30" i="31"/>
  <c r="V22" i="26"/>
  <c r="BD24" i="31"/>
  <c r="V23" i="26"/>
  <c r="BD25" i="31"/>
  <c r="V18" i="26"/>
  <c r="BD19" i="31"/>
  <c r="V15" i="26"/>
  <c r="BD36" i="31"/>
  <c r="V26" i="26"/>
  <c r="BD7" i="31"/>
  <c r="V24" i="26"/>
  <c r="BD38" i="31"/>
  <c r="V11" i="26"/>
  <c r="BD15" i="31"/>
  <c r="V10" i="26"/>
  <c r="BD3" i="31"/>
  <c r="V13" i="26"/>
  <c r="BD35" i="31"/>
  <c r="BD5" i="31" l="1"/>
  <c r="V36" i="26" s="1"/>
  <c r="BD2" i="31"/>
  <c r="AR49" i="31" l="1"/>
  <c r="V37" i="26" s="1"/>
  <c r="Z10" i="26"/>
  <c r="Z19" i="26"/>
  <c r="Z18" i="26"/>
  <c r="Z17" i="26"/>
  <c r="Z20" i="26"/>
  <c r="Z14" i="26"/>
  <c r="Z7" i="26"/>
  <c r="Z12" i="26"/>
  <c r="Z25" i="26"/>
  <c r="Z6" i="26"/>
  <c r="Z22" i="26"/>
  <c r="Z15" i="26"/>
  <c r="Z24" i="26"/>
  <c r="Z13" i="26"/>
  <c r="Z4" i="26"/>
  <c r="Z9" i="26"/>
  <c r="Z3" i="26"/>
  <c r="Z16" i="26"/>
  <c r="Z23" i="26"/>
  <c r="Z11" i="26"/>
  <c r="B18" i="35"/>
  <c r="E19" i="22"/>
  <c r="E45" i="22" s="1"/>
  <c r="Z8" i="26"/>
  <c r="Z5" i="26"/>
  <c r="Z26" i="26"/>
  <c r="AD8" i="26" l="1"/>
  <c r="AD4" i="26"/>
  <c r="AD10" i="26"/>
  <c r="AD15" i="26"/>
  <c r="AD22" i="26"/>
  <c r="AD7" i="26"/>
  <c r="AD21" i="26"/>
  <c r="AD19" i="26"/>
  <c r="AD11" i="26"/>
  <c r="AD16" i="26"/>
  <c r="AD2" i="26"/>
  <c r="AD6" i="26"/>
  <c r="AD25" i="26"/>
  <c r="AD12" i="26"/>
  <c r="AD20" i="26"/>
  <c r="AD17" i="26"/>
  <c r="AD9" i="26"/>
  <c r="AD13" i="26"/>
  <c r="AD14" i="26"/>
  <c r="AD18" i="26"/>
  <c r="AD26" i="26"/>
  <c r="AD23" i="26"/>
  <c r="AD3" i="26"/>
  <c r="AD24" i="26"/>
  <c r="AD5" i="26"/>
  <c r="AB19" i="26"/>
  <c r="E15" i="27" s="1"/>
  <c r="Z36" i="26"/>
  <c r="AB26" i="26"/>
  <c r="E19" i="27" s="1"/>
  <c r="AB8" i="26"/>
  <c r="E24" i="27" s="1"/>
  <c r="AB23" i="26"/>
  <c r="E26" i="27" s="1"/>
  <c r="AB5" i="26"/>
  <c r="G19" i="22"/>
  <c r="P19" i="22" s="1"/>
  <c r="AB16" i="26"/>
  <c r="E6" i="27" s="1"/>
  <c r="AB9" i="26"/>
  <c r="E14" i="27" s="1"/>
  <c r="AB2" i="26"/>
  <c r="AB4" i="26"/>
  <c r="AB13" i="26"/>
  <c r="AB15" i="26"/>
  <c r="AB22" i="26"/>
  <c r="E20" i="27" s="1"/>
  <c r="AE21" i="26"/>
  <c r="AB14" i="26"/>
  <c r="AB17" i="26"/>
  <c r="AB11" i="26"/>
  <c r="AB3" i="26"/>
  <c r="AB24" i="26"/>
  <c r="E11" i="27" s="1"/>
  <c r="AB10" i="26"/>
  <c r="E12" i="27" s="1"/>
  <c r="AB6" i="26"/>
  <c r="AB25" i="26"/>
  <c r="E28" i="27" s="1"/>
  <c r="AB12" i="26"/>
  <c r="AB7" i="26"/>
  <c r="AB20" i="26"/>
  <c r="E17" i="27" s="1"/>
  <c r="AB18" i="26"/>
  <c r="AE12" i="26" l="1"/>
  <c r="E5" i="27"/>
  <c r="AE6" i="26"/>
  <c r="E16" i="27"/>
  <c r="AE11" i="26"/>
  <c r="E21" i="27"/>
  <c r="AE14" i="26"/>
  <c r="E27" i="27"/>
  <c r="AE13" i="26"/>
  <c r="E9" i="27"/>
  <c r="AE2" i="26"/>
  <c r="E23" i="27"/>
  <c r="AE18" i="26"/>
  <c r="E18" i="27"/>
  <c r="AE7" i="26"/>
  <c r="E25" i="27"/>
  <c r="AE3" i="26"/>
  <c r="E10" i="27"/>
  <c r="AE17" i="26"/>
  <c r="E13" i="27"/>
  <c r="AE15" i="26"/>
  <c r="E8" i="27"/>
  <c r="AE4" i="26"/>
  <c r="E7" i="27"/>
  <c r="AE5" i="26"/>
  <c r="E4" i="27"/>
  <c r="AE20" i="26"/>
  <c r="AE25" i="26"/>
  <c r="AE10" i="26"/>
  <c r="AE24" i="26"/>
  <c r="AE9" i="26"/>
  <c r="AE16" i="26"/>
  <c r="AE8" i="26"/>
  <c r="AE19" i="26"/>
  <c r="AE26" i="26"/>
  <c r="AE22" i="26"/>
  <c r="AD36" i="26"/>
  <c r="AE23" i="26"/>
  <c r="AD37" i="26"/>
  <c r="G9" i="22"/>
  <c r="P9" i="22" s="1"/>
  <c r="G41" i="22"/>
  <c r="P41" i="22" s="1"/>
  <c r="G17" i="22"/>
  <c r="P17" i="22" s="1"/>
  <c r="G5" i="22"/>
  <c r="P5" i="22" s="1"/>
  <c r="G11" i="22"/>
  <c r="P11" i="22" s="1"/>
  <c r="G15" i="22"/>
  <c r="P15" i="22" s="1"/>
  <c r="G13" i="22"/>
  <c r="P13" i="22" s="1"/>
  <c r="G3" i="22"/>
  <c r="G7" i="22"/>
  <c r="P7" i="22" s="1"/>
  <c r="P3" i="22" l="1"/>
</calcChain>
</file>

<file path=xl/comments1.xml><?xml version="1.0" encoding="utf-8"?>
<comments xmlns="http://schemas.openxmlformats.org/spreadsheetml/2006/main">
  <authors>
    <author>Brian Fagan</author>
  </authors>
  <commentList>
    <comment ref="X26" authorId="0">
      <text>
        <r>
          <rPr>
            <b/>
            <sz val="9"/>
            <color indexed="81"/>
            <rFont val="Tahoma"/>
            <family val="2"/>
          </rPr>
          <t>Brian Fagan:</t>
        </r>
        <r>
          <rPr>
            <sz val="9"/>
            <color indexed="81"/>
            <rFont val="Tahoma"/>
            <family val="2"/>
          </rPr>
          <t xml:space="preserve">
Missing "Willingness to Pay" indicator. </t>
        </r>
      </text>
    </comment>
  </commentList>
</comments>
</file>

<file path=xl/sharedStrings.xml><?xml version="1.0" encoding="utf-8"?>
<sst xmlns="http://schemas.openxmlformats.org/spreadsheetml/2006/main" count="5943" uniqueCount="717">
  <si>
    <t>China</t>
  </si>
  <si>
    <t>India</t>
  </si>
  <si>
    <t>Indonesia</t>
  </si>
  <si>
    <t>Malaysia</t>
  </si>
  <si>
    <t>Philippines</t>
  </si>
  <si>
    <t>Singapore</t>
  </si>
  <si>
    <t>Korea</t>
  </si>
  <si>
    <t>Taiwan</t>
  </si>
  <si>
    <t>Thailand</t>
  </si>
  <si>
    <t>Brazil</t>
  </si>
  <si>
    <t>Argentina</t>
  </si>
  <si>
    <t>Mexico</t>
  </si>
  <si>
    <t>Venezuela</t>
  </si>
  <si>
    <t>Russia</t>
  </si>
  <si>
    <t>Turkey</t>
  </si>
  <si>
    <t>Europe</t>
  </si>
  <si>
    <t>Asia</t>
  </si>
  <si>
    <t>Japan</t>
  </si>
  <si>
    <t>America</t>
  </si>
  <si>
    <t>BRICs</t>
  </si>
  <si>
    <t>Emerging</t>
  </si>
  <si>
    <t>Hong Kong</t>
  </si>
  <si>
    <t>South Korea</t>
  </si>
  <si>
    <t>South Africa</t>
  </si>
  <si>
    <t>Asia ex Japan</t>
  </si>
  <si>
    <t>Latin America</t>
  </si>
  <si>
    <t>Emerging Mkts</t>
  </si>
  <si>
    <t>Real GDP % yoy (GS)</t>
  </si>
  <si>
    <t>CPI % yoy (GS)</t>
  </si>
  <si>
    <t>Central and Eastern Europe</t>
  </si>
  <si>
    <t>Latin Am</t>
  </si>
  <si>
    <t>Current Account % GDP (GS)</t>
  </si>
  <si>
    <t>Emerging MKts</t>
  </si>
  <si>
    <t>General Gov Balance % GDP (GS)</t>
  </si>
  <si>
    <t>Australia</t>
  </si>
  <si>
    <t>Canada</t>
  </si>
  <si>
    <t>Chile</t>
  </si>
  <si>
    <t>Colombia</t>
  </si>
  <si>
    <t>Denmark</t>
  </si>
  <si>
    <t>Ecuador</t>
  </si>
  <si>
    <t>Euroland</t>
  </si>
  <si>
    <t>France</t>
  </si>
  <si>
    <t>Germany</t>
  </si>
  <si>
    <t>Hungary</t>
  </si>
  <si>
    <t>Italy</t>
  </si>
  <si>
    <t>Kazakhstan</t>
  </si>
  <si>
    <t>Netherlands</t>
  </si>
  <si>
    <t>Peru</t>
  </si>
  <si>
    <t>Poland</t>
  </si>
  <si>
    <t>Spain</t>
  </si>
  <si>
    <t>Sweden</t>
  </si>
  <si>
    <t>Switzerland</t>
  </si>
  <si>
    <t>UK</t>
  </si>
  <si>
    <t>USA</t>
  </si>
  <si>
    <t>World</t>
  </si>
  <si>
    <t>Czech Rep</t>
  </si>
  <si>
    <t>Advanced Econ</t>
  </si>
  <si>
    <t>–</t>
  </si>
  <si>
    <t>Ukraine</t>
  </si>
  <si>
    <t>New Zealand</t>
  </si>
  <si>
    <t>Gov Debt Ratio % GDP (GS)</t>
  </si>
  <si>
    <t>Israel</t>
  </si>
  <si>
    <t>Nigeria</t>
  </si>
  <si>
    <t>Norway</t>
  </si>
  <si>
    <t>Vietnam</t>
  </si>
  <si>
    <t>Egypt</t>
  </si>
  <si>
    <t>Czech Republic</t>
  </si>
  <si>
    <t>Adv Econ</t>
  </si>
  <si>
    <t>EM</t>
  </si>
  <si>
    <t>Bangladesh</t>
  </si>
  <si>
    <t>Pakistan</t>
  </si>
  <si>
    <t>Panama</t>
  </si>
  <si>
    <t>Uruguay</t>
  </si>
  <si>
    <t>Romania</t>
  </si>
  <si>
    <t>Slovakia</t>
  </si>
  <si>
    <t>Africa/Mideast</t>
  </si>
  <si>
    <t>Total</t>
  </si>
  <si>
    <t>Sri Lanka</t>
  </si>
  <si>
    <t>GDP g (Citi)</t>
  </si>
  <si>
    <t>CPI Inflation (Citi)</t>
  </si>
  <si>
    <t>Current Balance (Citi)</t>
  </si>
  <si>
    <t>Fiscal Balance (Citi)</t>
  </si>
  <si>
    <t>EMEA*</t>
  </si>
  <si>
    <t>LATIN AMERICA</t>
  </si>
  <si>
    <t>Saudi Arabia</t>
  </si>
  <si>
    <t>United Arab Emir</t>
  </si>
  <si>
    <t>NON-JAPAN Asia</t>
  </si>
  <si>
    <t>EMERGING MKTS</t>
  </si>
  <si>
    <t>Nominal GDP $B (CS)</t>
  </si>
  <si>
    <t>Real GDP % (CS)</t>
  </si>
  <si>
    <t>EMERGING MTS</t>
  </si>
  <si>
    <t>Inflation (CS)</t>
  </si>
  <si>
    <t>EMERGING Mkts</t>
  </si>
  <si>
    <t>Current Account (CS)</t>
  </si>
  <si>
    <t>EMERGING MTKS</t>
  </si>
  <si>
    <t>Fiscal Balance (CS)</t>
  </si>
  <si>
    <t>na</t>
  </si>
  <si>
    <t>Gross Gov Debt % GDP (CS)</t>
  </si>
  <si>
    <t>Exports Goods and Services % GDP (CS)</t>
  </si>
  <si>
    <t>Global</t>
  </si>
  <si>
    <t>Developed</t>
  </si>
  <si>
    <t>BRIC</t>
  </si>
  <si>
    <t>Asia/Pacific</t>
  </si>
  <si>
    <t>India*</t>
  </si>
  <si>
    <t>United States</t>
  </si>
  <si>
    <t>Europe and Africa</t>
  </si>
  <si>
    <t>Euro area</t>
  </si>
  <si>
    <t>United Kingdom</t>
  </si>
  <si>
    <t>EM Europe &amp; Africa</t>
  </si>
  <si>
    <t>Real GDP % yoy (BC)</t>
  </si>
  <si>
    <t>CPI Inflation (BC)</t>
  </si>
  <si>
    <t>Current Account % (BC)</t>
  </si>
  <si>
    <t>2009(f)</t>
  </si>
  <si>
    <t>2010(f)</t>
  </si>
  <si>
    <t>US</t>
  </si>
  <si>
    <t>EU</t>
  </si>
  <si>
    <t>HK</t>
  </si>
  <si>
    <t>Real GDP % yoy (HSBC)</t>
  </si>
  <si>
    <t>Current account % GDP (HSBC)</t>
  </si>
  <si>
    <t>Fiscal Balance % GDP (HSBC)</t>
  </si>
  <si>
    <t>N/A</t>
  </si>
  <si>
    <t>External debt % GDP (HSBC)</t>
  </si>
  <si>
    <t>CPI % (HSBC)</t>
  </si>
  <si>
    <t>Euro-15</t>
  </si>
  <si>
    <t>EMEA</t>
  </si>
  <si>
    <t>Egypt*</t>
  </si>
  <si>
    <t>UAE</t>
  </si>
  <si>
    <t>Asia-Pacific</t>
  </si>
  <si>
    <t>World (nominal GDP weights)</t>
  </si>
  <si>
    <t>World (PPP weights)</t>
  </si>
  <si>
    <t>North America</t>
  </si>
  <si>
    <t>Western Europe</t>
  </si>
  <si>
    <t>Other Western Europe</t>
  </si>
  <si>
    <t>Asia ex Japan &amp; China</t>
  </si>
  <si>
    <t>GDP (HSBC)</t>
  </si>
  <si>
    <t>Inflation (HSBC)</t>
  </si>
  <si>
    <t>2009f</t>
  </si>
  <si>
    <t>2010f</t>
  </si>
  <si>
    <t>Asia-ex-Japan</t>
  </si>
  <si>
    <t xml:space="preserve">Other Western Europe </t>
  </si>
  <si>
    <t>Budget Balance % GDP (HSBC)</t>
  </si>
  <si>
    <t>x</t>
  </si>
  <si>
    <t>y</t>
  </si>
  <si>
    <t>ASIA EM</t>
  </si>
  <si>
    <t>Asia EM</t>
  </si>
  <si>
    <t>Asia Non Japan</t>
  </si>
  <si>
    <t>Fiscal Balance % GDP</t>
  </si>
  <si>
    <t>Asia NON-JAPAN</t>
  </si>
  <si>
    <t>Asia Emerging</t>
  </si>
  <si>
    <t>Foreign Debt % GDP (JPM)</t>
  </si>
  <si>
    <t>Foreign Debt %Exports (JPM)</t>
  </si>
  <si>
    <t>Real GDP % yoy (JPM)</t>
  </si>
  <si>
    <t>Total DSR % GDP (JPM)</t>
  </si>
  <si>
    <t>Sov Ext DSR % Exports (JPM)</t>
  </si>
  <si>
    <t>Fiscal Balance % GDP (JPM)</t>
  </si>
  <si>
    <t>Real GDP % yoy</t>
  </si>
  <si>
    <t>Total Foreign Debt % GDP (CS)</t>
  </si>
  <si>
    <t>z</t>
  </si>
  <si>
    <t>Foreign Debt % GDP</t>
  </si>
  <si>
    <t>Foreign Debt % Exports (CS)</t>
  </si>
  <si>
    <t>Fixed Investments % GDP (CS)</t>
  </si>
  <si>
    <t>Foreign Debt % Exports</t>
  </si>
  <si>
    <t>Europe EM</t>
  </si>
  <si>
    <t>St Dev</t>
  </si>
  <si>
    <t>Inflation</t>
  </si>
  <si>
    <t>Foreign Debt % Exports (Citi)</t>
  </si>
  <si>
    <t>Foreign debt % GDP (Citi)</t>
  </si>
  <si>
    <t>Current Account % GDP</t>
  </si>
  <si>
    <t>FDI % GDP</t>
  </si>
  <si>
    <t>LatAm</t>
  </si>
  <si>
    <t>FDI % GDP (JPM)</t>
  </si>
  <si>
    <t>FDI % GDP (Citi)</t>
  </si>
  <si>
    <t>FDI % GDP (CS)</t>
  </si>
  <si>
    <t>FDI % GDP (BC)</t>
  </si>
  <si>
    <t>FDI % GDP (HSBC)</t>
  </si>
  <si>
    <t>Savings %  GDP (BC)</t>
  </si>
  <si>
    <t>Savings % GDP (HSBC)</t>
  </si>
  <si>
    <t>Saving % GDP</t>
  </si>
  <si>
    <t>FX Res/Ext Debt (BC)</t>
  </si>
  <si>
    <t>FX Res/Ext Debt (HSBC)</t>
  </si>
  <si>
    <t>FX Res/Ext Debt</t>
  </si>
  <si>
    <t>Coefficients</t>
  </si>
  <si>
    <t>GDP g%</t>
  </si>
  <si>
    <t>Fiscal Balance</t>
  </si>
  <si>
    <t>Savings</t>
  </si>
  <si>
    <t>FDI</t>
  </si>
  <si>
    <t>Current Account</t>
  </si>
  <si>
    <t>FX Reserves</t>
  </si>
  <si>
    <t>Pol Risk</t>
  </si>
  <si>
    <t>Ext Debt / Expo</t>
  </si>
  <si>
    <t>Comptv</t>
  </si>
  <si>
    <t>INDEX</t>
  </si>
  <si>
    <t>Economic &amp; Financial Driver</t>
  </si>
  <si>
    <t>Coefficient</t>
  </si>
  <si>
    <t>Model Importance</t>
  </si>
  <si>
    <t>Comp</t>
  </si>
  <si>
    <t>Lineal</t>
  </si>
  <si>
    <t>Quadratic (Not used)</t>
  </si>
  <si>
    <t>Solvency</t>
  </si>
  <si>
    <t>Liquidity</t>
  </si>
  <si>
    <t>Avg</t>
  </si>
  <si>
    <t>Comp &amp; Pol</t>
  </si>
  <si>
    <t>Ratings</t>
  </si>
  <si>
    <t>Region</t>
  </si>
  <si>
    <t>A</t>
  </si>
  <si>
    <t>BBB</t>
  </si>
  <si>
    <t>BB</t>
  </si>
  <si>
    <t>B</t>
  </si>
  <si>
    <t xml:space="preserve">BB </t>
  </si>
  <si>
    <t xml:space="preserve">Political &amp; Competitive </t>
  </si>
  <si>
    <t>Country</t>
  </si>
  <si>
    <t>Total Index</t>
  </si>
  <si>
    <t>http://databank.worldbank.org</t>
  </si>
  <si>
    <t>http://www.imf.org/external/data.html</t>
  </si>
  <si>
    <t>Bam Id</t>
  </si>
  <si>
    <t>Date</t>
  </si>
  <si>
    <t>Instrument</t>
  </si>
  <si>
    <t>Stripped Spread</t>
  </si>
  <si>
    <t>FC_EMBIG</t>
  </si>
  <si>
    <t>EMBI Global Diversified</t>
  </si>
  <si>
    <t>By instrument type</t>
  </si>
  <si>
    <t>FC_EMBIG-BRADY</t>
  </si>
  <si>
    <t>Restructured (Brady)</t>
  </si>
  <si>
    <t>FC_EMBIG-EURO</t>
  </si>
  <si>
    <t>Eurobonds</t>
  </si>
  <si>
    <t>By region</t>
  </si>
  <si>
    <t>FC_EMBIG_LATIN</t>
  </si>
  <si>
    <t>FC_EMBIG_NONLAT</t>
  </si>
  <si>
    <t>Non-Latin</t>
  </si>
  <si>
    <t>By sub-region</t>
  </si>
  <si>
    <t>FC_EMBIG_AFRICA</t>
  </si>
  <si>
    <t>Africa</t>
  </si>
  <si>
    <t>FC_EMBIG_ASIA</t>
  </si>
  <si>
    <t>FC_EMBIG_EUROPE</t>
  </si>
  <si>
    <t>Latin</t>
  </si>
  <si>
    <t>FC_EMBIG_MIDEAST</t>
  </si>
  <si>
    <t>Middle East</t>
  </si>
  <si>
    <t>By collateral type</t>
  </si>
  <si>
    <t>FC_EMBIG_UNCOLLAT</t>
  </si>
  <si>
    <t>Uncollateralized</t>
  </si>
  <si>
    <t>By country</t>
  </si>
  <si>
    <t>FC_EMBIG_AR</t>
  </si>
  <si>
    <t>FC_EMBIG_BZ</t>
  </si>
  <si>
    <t>Belize</t>
  </si>
  <si>
    <t>FC_EMBIG_BR</t>
  </si>
  <si>
    <t>FC_EMBIG_BG</t>
  </si>
  <si>
    <t>Bulgaria</t>
  </si>
  <si>
    <t>FC_EMBIG_CL</t>
  </si>
  <si>
    <t>FC_EMBIG_CN</t>
  </si>
  <si>
    <t>FC_EMBIG_CO</t>
  </si>
  <si>
    <t>FC_EMBIG_HR</t>
  </si>
  <si>
    <t>Croatia</t>
  </si>
  <si>
    <t>FC_EMBIG_DO</t>
  </si>
  <si>
    <t>Dominican Republic</t>
  </si>
  <si>
    <t>FC_EMBIG_EC</t>
  </si>
  <si>
    <t>FC_EMBIG_EG</t>
  </si>
  <si>
    <t>FC_EMBIG_SV</t>
  </si>
  <si>
    <t>El Salvador</t>
  </si>
  <si>
    <t>FC_EMBIG_GA</t>
  </si>
  <si>
    <t>Gabon</t>
  </si>
  <si>
    <t>FC_EMBIG_GE</t>
  </si>
  <si>
    <t>Georgia</t>
  </si>
  <si>
    <t>FC_EMBIG_GH</t>
  </si>
  <si>
    <t>Ghana</t>
  </si>
  <si>
    <t>FC_EMBIG_HU</t>
  </si>
  <si>
    <t>FC_EMBIG_ID</t>
  </si>
  <si>
    <t>FC_EMBIG_IQ</t>
  </si>
  <si>
    <t>Iraq</t>
  </si>
  <si>
    <t>FC_EMBIG_JM</t>
  </si>
  <si>
    <t>Jamaica</t>
  </si>
  <si>
    <t>FC_EMBIG_KZ</t>
  </si>
  <si>
    <t>FC_EMBIG_LB</t>
  </si>
  <si>
    <t>Lebanon</t>
  </si>
  <si>
    <t>FC_EMBIG_LT</t>
  </si>
  <si>
    <t>Lithuania</t>
  </si>
  <si>
    <t>FC_EMBIG_MY</t>
  </si>
  <si>
    <t>FC_EMBIG_MX</t>
  </si>
  <si>
    <t>FC_EMBIG_PK</t>
  </si>
  <si>
    <t>FC_EMBIG_PA</t>
  </si>
  <si>
    <t>FC_EMBIG_PE</t>
  </si>
  <si>
    <t>FC_EMBIG_PH</t>
  </si>
  <si>
    <t>FC_EMBIG_PL</t>
  </si>
  <si>
    <t>FC_EMBIG_RU</t>
  </si>
  <si>
    <t>FC_EMBIG_CS</t>
  </si>
  <si>
    <t>Serbia</t>
  </si>
  <si>
    <t>FC_EMBIG_ZA</t>
  </si>
  <si>
    <t>FC_EMBIG_LK</t>
  </si>
  <si>
    <t>FC_EMBIG_TR</t>
  </si>
  <si>
    <t>FC_EMBIG_UA</t>
  </si>
  <si>
    <t>FC_EMBIG_UY</t>
  </si>
  <si>
    <t>FC_EMBIG_VE</t>
  </si>
  <si>
    <t>FC_EMBIG_VN</t>
  </si>
  <si>
    <t>By Credit Bucket</t>
  </si>
  <si>
    <t>FC_EMBIG_CREDIT_IG</t>
  </si>
  <si>
    <t>Investment Grade</t>
  </si>
  <si>
    <t>FC_EMBIG_CREDIT_BB</t>
  </si>
  <si>
    <t>FC_EMBIG_CREDIT_B</t>
  </si>
  <si>
    <t>FC_EMBIG_CREDIT_R</t>
  </si>
  <si>
    <t>Residual</t>
  </si>
  <si>
    <t>FC_EMBIG_BY</t>
  </si>
  <si>
    <t>Belarus</t>
  </si>
  <si>
    <t>FC_EMBIG_CI</t>
  </si>
  <si>
    <t>Ivory Coast</t>
  </si>
  <si>
    <t>FC_EMBIG_JO</t>
  </si>
  <si>
    <t>Jordan</t>
  </si>
  <si>
    <t>FC_EMBIG_NG</t>
  </si>
  <si>
    <t>FC_EMBIG_SN</t>
  </si>
  <si>
    <t>Senegal</t>
  </si>
  <si>
    <t>M1</t>
  </si>
  <si>
    <t>Y-Intercept</t>
  </si>
  <si>
    <t>2011 FX Reserves/Ext Debt Z Stat</t>
  </si>
  <si>
    <t>Stripped Spread Z stat</t>
  </si>
  <si>
    <t>Country Excluding China</t>
  </si>
  <si>
    <t>Country exlcuding Ecuador &amp; Venezuela</t>
  </si>
  <si>
    <t>Country exlcuding Ecuador &amp; Venezuela Z stat</t>
  </si>
  <si>
    <t>Y-intercept</t>
  </si>
  <si>
    <t>Country excluding Ecuador Z stat</t>
  </si>
  <si>
    <t xml:space="preserve">Country excluding Ecuador </t>
  </si>
  <si>
    <t>Country excluding Hungary</t>
  </si>
  <si>
    <t>Country excluding Hungary Z stat</t>
  </si>
  <si>
    <t>Country excluding Arg, Ec, Egypt, Ur, Ven</t>
  </si>
  <si>
    <t>Country excluding Arg, Ec, Egypt, Ur &amp; Ven Z stat</t>
  </si>
  <si>
    <t>Country excluding Panama &amp; Poland</t>
  </si>
  <si>
    <t>Country excluding Panama &amp; Poland Z stat</t>
  </si>
  <si>
    <t>Country excluding Malaysia &amp; Vietnam</t>
  </si>
  <si>
    <t>Country excluding Malaysia &amp; Vietnam Z stat</t>
  </si>
  <si>
    <t>Country excluding Panama, Venezuela &amp; Vietnam</t>
  </si>
  <si>
    <t>Country excluding Panama, Venezuela &amp; Vietnam Z stat</t>
  </si>
  <si>
    <t>Inflation Z stat</t>
  </si>
  <si>
    <t>GDP Z stat</t>
  </si>
  <si>
    <t>FB Z stat</t>
  </si>
  <si>
    <t>Savings Z stat</t>
  </si>
  <si>
    <t>FDI Z stat</t>
  </si>
  <si>
    <t>CA Z stat</t>
  </si>
  <si>
    <t>FX Res Z stat</t>
  </si>
  <si>
    <t>Ext Debt/Exports Z stat</t>
  </si>
  <si>
    <t>Difference</t>
  </si>
  <si>
    <t>The Global Competitiveness Index 2011–2012 rankings and 2010–2011 comparisons</t>
  </si>
  <si>
    <t>© 2011 World Economic Forum</t>
  </si>
  <si>
    <t>GCI 2011–2012</t>
  </si>
  <si>
    <t>GCI 2010–2011</t>
  </si>
  <si>
    <t>Country/Economy</t>
  </si>
  <si>
    <t>Rank</t>
  </si>
  <si>
    <t>Score</t>
  </si>
  <si>
    <t>Rank*</t>
  </si>
  <si>
    <t>Russian Federation</t>
  </si>
  <si>
    <t>Tunisia</t>
  </si>
  <si>
    <t>Average:</t>
  </si>
  <si>
    <t>Standard Deviation:</t>
  </si>
  <si>
    <t>Albania</t>
  </si>
  <si>
    <t>Algeria</t>
  </si>
  <si>
    <t>Armenia</t>
  </si>
  <si>
    <t>Austria</t>
  </si>
  <si>
    <t>Azerbaijan</t>
  </si>
  <si>
    <t>Bahrain</t>
  </si>
  <si>
    <t>Barbados</t>
  </si>
  <si>
    <t>Belgium</t>
  </si>
  <si>
    <t>Benin</t>
  </si>
  <si>
    <t>Bolivia</t>
  </si>
  <si>
    <t>Bosnia and Herzegovina</t>
  </si>
  <si>
    <t>Botswana</t>
  </si>
  <si>
    <t>Brunei Darussalam</t>
  </si>
  <si>
    <t>Burkina Faso</t>
  </si>
  <si>
    <t>Burundi</t>
  </si>
  <si>
    <t>Cambodia</t>
  </si>
  <si>
    <t>Cameroon</t>
  </si>
  <si>
    <t>Chad</t>
  </si>
  <si>
    <t>Costa Rica</t>
  </si>
  <si>
    <t>Côte d'Ivoire</t>
  </si>
  <si>
    <t>Cyprus</t>
  </si>
  <si>
    <t>Estonia</t>
  </si>
  <si>
    <t>Ethiopia</t>
  </si>
  <si>
    <t>Finland</t>
  </si>
  <si>
    <t>Gambia, The</t>
  </si>
  <si>
    <t>Greece</t>
  </si>
  <si>
    <t>Guatemala</t>
  </si>
  <si>
    <t>Guyana</t>
  </si>
  <si>
    <t>Honduras</t>
  </si>
  <si>
    <t>Hong Kong SAR</t>
  </si>
  <si>
    <t>Iceland</t>
  </si>
  <si>
    <t>Ireland</t>
  </si>
  <si>
    <t>Kenya</t>
  </si>
  <si>
    <t>Korea, Rep.</t>
  </si>
  <si>
    <t>Kuwait</t>
  </si>
  <si>
    <t>Kyrgyz Republic</t>
  </si>
  <si>
    <t>Latvia</t>
  </si>
  <si>
    <t>Lesotho</t>
  </si>
  <si>
    <t>Libya</t>
  </si>
  <si>
    <t>Luxembourg</t>
  </si>
  <si>
    <t>Macedonia, FYR</t>
  </si>
  <si>
    <t>Madagascar</t>
  </si>
  <si>
    <t>Malawi</t>
  </si>
  <si>
    <t>Mali</t>
  </si>
  <si>
    <t>Malta</t>
  </si>
  <si>
    <t>Mauritania</t>
  </si>
  <si>
    <t>Mauritius</t>
  </si>
  <si>
    <t>Mongolia</t>
  </si>
  <si>
    <t>Montenegro</t>
  </si>
  <si>
    <t>Morocco</t>
  </si>
  <si>
    <t>Mozambique</t>
  </si>
  <si>
    <t>Namibia</t>
  </si>
  <si>
    <t>Nepal</t>
  </si>
  <si>
    <t>Nicaragua</t>
  </si>
  <si>
    <t>Oman</t>
  </si>
  <si>
    <t>Paraguay</t>
  </si>
  <si>
    <t>Portugal</t>
  </si>
  <si>
    <t>Puerto Rico</t>
  </si>
  <si>
    <t>Qatar</t>
  </si>
  <si>
    <t>Slovak Republic</t>
  </si>
  <si>
    <t>Slovenia</t>
  </si>
  <si>
    <t>Suriname</t>
  </si>
  <si>
    <t>n/a</t>
  </si>
  <si>
    <t>Syria</t>
  </si>
  <si>
    <t>Taiwan, China</t>
  </si>
  <si>
    <t>Tajikistan</t>
  </si>
  <si>
    <t>Tanzania</t>
  </si>
  <si>
    <t>Timor-Leste</t>
  </si>
  <si>
    <t>Trinidad and Tobago</t>
  </si>
  <si>
    <t>Uganda</t>
  </si>
  <si>
    <t>United Arab Emirates</t>
  </si>
  <si>
    <t>Zambia</t>
  </si>
  <si>
    <t>Zimbabwe</t>
  </si>
  <si>
    <t>*The 2008-2009 rank is out of 134 countries. One country covered last year, Moldova, had to be excluded this year for lack of Survey data.</t>
  </si>
  <si>
    <t>http://www.weforum.org/pdf/GCR09/GCR20092010fullrankings.xls</t>
  </si>
  <si>
    <t xml:space="preserve">The Global Competitiveness Index 2011-2012 rankings </t>
  </si>
  <si>
    <t>© 2011 World Economic Forum | www.weforum.org/gcr</t>
  </si>
  <si>
    <t>GCI 2011-2012</t>
  </si>
  <si>
    <t>GCI 2010-2011</t>
  </si>
  <si>
    <t>Change</t>
  </si>
  <si>
    <t>Iran, Islamic Rep.</t>
  </si>
  <si>
    <t>Rwanda</t>
  </si>
  <si>
    <t>Moldova</t>
  </si>
  <si>
    <t>Cape Verde</t>
  </si>
  <si>
    <t>Swaziland</t>
  </si>
  <si>
    <t>Yemen</t>
  </si>
  <si>
    <t>Angola</t>
  </si>
  <si>
    <t>Haiti</t>
  </si>
  <si>
    <t>Competitiveness Index (World Economic Forum)</t>
  </si>
  <si>
    <t>Outlier:</t>
  </si>
  <si>
    <t>Competitiveness Z Stat</t>
  </si>
  <si>
    <t>Competitiveness Z stat</t>
  </si>
  <si>
    <t>Rating</t>
  </si>
  <si>
    <t>Economy</t>
  </si>
  <si>
    <t>Starting a Business</t>
  </si>
  <si>
    <t>Z-stat</t>
  </si>
  <si>
    <t>Registering Property</t>
  </si>
  <si>
    <t>Trading Across Borders</t>
  </si>
  <si>
    <t>Enforcing Contracts</t>
  </si>
  <si>
    <t>LT Pol Risk</t>
  </si>
  <si>
    <t>Expropiation</t>
  </si>
  <si>
    <t>Transfer Risk</t>
  </si>
  <si>
    <t>Business Climate</t>
  </si>
  <si>
    <t>Country Risk</t>
  </si>
  <si>
    <t>Coface Index 70% Country 30% Business Climate</t>
  </si>
  <si>
    <t>Willingness to Pay 2008</t>
  </si>
  <si>
    <t>Willingness to Pay 2009</t>
  </si>
  <si>
    <t>Willingness to Pay 2010</t>
  </si>
  <si>
    <t>Viet Nam</t>
  </si>
  <si>
    <t>Egypt, Arab Rep.</t>
  </si>
  <si>
    <t>C</t>
  </si>
  <si>
    <t xml:space="preserve">C </t>
  </si>
  <si>
    <t>Venezuela, R.B.</t>
  </si>
  <si>
    <t>Ease of Doing Business Rank ▲</t>
  </si>
  <si>
    <t>Dealing with Construction Permits</t>
  </si>
  <si>
    <t>Getting Credit</t>
  </si>
  <si>
    <t>Protecting Investors</t>
  </si>
  <si>
    <t>Paying Taxes</t>
  </si>
  <si>
    <t>Closing a Business</t>
  </si>
  <si>
    <t>Hong Kong SAR, China</t>
  </si>
  <si>
    <t>St. Lucia</t>
  </si>
  <si>
    <t>Vanuatu</t>
  </si>
  <si>
    <t>Samoa</t>
  </si>
  <si>
    <t>Fiji</t>
  </si>
  <si>
    <t>Antigua and Barbuda</t>
  </si>
  <si>
    <t>Tonga</t>
  </si>
  <si>
    <t>St. Vincent and the Grenadines</t>
  </si>
  <si>
    <t>Bahamas, the</t>
  </si>
  <si>
    <t>Maldives</t>
  </si>
  <si>
    <t>St. Kitts and Nevis</t>
  </si>
  <si>
    <t>Dominica</t>
  </si>
  <si>
    <t>Grenada</t>
  </si>
  <si>
    <t>Kiribati</t>
  </si>
  <si>
    <t>Seychelles</t>
  </si>
  <si>
    <t>Solomon Islands</t>
  </si>
  <si>
    <t>Guyana, CR</t>
  </si>
  <si>
    <t>Papua New Guinea</t>
  </si>
  <si>
    <t>Yemen, Rep.</t>
  </si>
  <si>
    <t>Marshall Islands</t>
  </si>
  <si>
    <t>Kosovo</t>
  </si>
  <si>
    <t>Palau</t>
  </si>
  <si>
    <t>West Bank and Gaza</t>
  </si>
  <si>
    <t>Micronesia, Fed. Sts.</t>
  </si>
  <si>
    <t>Bhutan</t>
  </si>
  <si>
    <t>Sierra Leone</t>
  </si>
  <si>
    <t>Syrian Arab Republic</t>
  </si>
  <si>
    <t>Gambia, the</t>
  </si>
  <si>
    <t>Uzbekistan</t>
  </si>
  <si>
    <t>Sudan</t>
  </si>
  <si>
    <t>Liberia</t>
  </si>
  <si>
    <t>Djibouti</t>
  </si>
  <si>
    <t>Comoros</t>
  </si>
  <si>
    <t>Togo</t>
  </si>
  <si>
    <t>Equatorial Guinea</t>
  </si>
  <si>
    <t>Afghanistan</t>
  </si>
  <si>
    <t>Lao PDR</t>
  </si>
  <si>
    <t>Niger</t>
  </si>
  <si>
    <t>Congo, Dem. Rep.</t>
  </si>
  <si>
    <t>Guinea-Bissau</t>
  </si>
  <si>
    <t>Congo, Rep.</t>
  </si>
  <si>
    <t>São Tomé and Principe</t>
  </si>
  <si>
    <t>Guinea</t>
  </si>
  <si>
    <t>Eritrea</t>
  </si>
  <si>
    <t>Central African Republic</t>
  </si>
  <si>
    <t>EXPORT TRANSACTIONS</t>
  </si>
  <si>
    <t>DIRECT INVESTMENTS</t>
  </si>
  <si>
    <t>Pays</t>
  </si>
  <si>
    <t>Political risk</t>
  </si>
  <si>
    <t>Commercial</t>
  </si>
  <si>
    <t>War</t>
  </si>
  <si>
    <t>Risk of</t>
  </si>
  <si>
    <t>Transfer</t>
  </si>
  <si>
    <t>Short term</t>
  </si>
  <si>
    <t>Medium/long terms</t>
  </si>
  <si>
    <t>Special</t>
  </si>
  <si>
    <t>risk</t>
  </si>
  <si>
    <t>expropriation and</t>
  </si>
  <si>
    <t>transactions</t>
  </si>
  <si>
    <t>government action</t>
  </si>
  <si>
    <t>Andorra</t>
  </si>
  <si>
    <t>Anguilla (Great-Britain)</t>
  </si>
  <si>
    <t>Aruba (Netherlands)</t>
  </si>
  <si>
    <t>Azores (Portugal)</t>
  </si>
  <si>
    <t>Bahamas</t>
  </si>
  <si>
    <t>Bermuda (Great-Britain)</t>
  </si>
  <si>
    <t>BIOT (Chagos) (Great-Britain)</t>
  </si>
  <si>
    <t>Brunei</t>
  </si>
  <si>
    <t>Canary Islands (Spain)</t>
  </si>
  <si>
    <t>Cayman Islands (Great-Britain)</t>
  </si>
  <si>
    <t>Ceuta and Melilla (Spain)</t>
  </si>
  <si>
    <t>Channel Islands (Great-Britain)</t>
  </si>
  <si>
    <t>Christmas Island (Australia)</t>
  </si>
  <si>
    <t>Congo (Democratic Republic)</t>
  </si>
  <si>
    <t>Congo (Republic)</t>
  </si>
  <si>
    <t>Cook Islands</t>
  </si>
  <si>
    <t>Coral Sea Islands (Australia)</t>
  </si>
  <si>
    <t>Cuba</t>
  </si>
  <si>
    <t>Cyprus (Greek) (South)</t>
  </si>
  <si>
    <t>Cyprus (Turkish) (North)</t>
  </si>
  <si>
    <t>Faeroe Islands (Denmark)</t>
  </si>
  <si>
    <t>Falkland Islands (Great-Britain)</t>
  </si>
  <si>
    <t>French Guiana (France)</t>
  </si>
  <si>
    <t>French Polynesia (France)</t>
  </si>
  <si>
    <t>Gambia</t>
  </si>
  <si>
    <t>Gibraltar (Great-Britain)</t>
  </si>
  <si>
    <t>Greenland (Denmark)</t>
  </si>
  <si>
    <t>Guadeloupe (France)</t>
  </si>
  <si>
    <t>Guam (United States)</t>
  </si>
  <si>
    <t>Hong Kong (China)</t>
  </si>
  <si>
    <t>Iran</t>
  </si>
  <si>
    <t>Korea (North)</t>
  </si>
  <si>
    <t>Korea (South)</t>
  </si>
  <si>
    <t>Kyrgyzstan</t>
  </si>
  <si>
    <t>Lao</t>
  </si>
  <si>
    <t>Liechtenstein</t>
  </si>
  <si>
    <t>Macau</t>
  </si>
  <si>
    <t>Macedonia</t>
  </si>
  <si>
    <t>Madeira (Portugal)</t>
  </si>
  <si>
    <t>Man (Isle of) (Great-Britain)</t>
  </si>
  <si>
    <t>Mariana Islands (Northern)</t>
  </si>
  <si>
    <t>Martinique (France)</t>
  </si>
  <si>
    <t>Mayotte (France)</t>
  </si>
  <si>
    <t>Micronesia</t>
  </si>
  <si>
    <t>Monaco</t>
  </si>
  <si>
    <t>Montserrat (Great-Britain)</t>
  </si>
  <si>
    <t>Myanmar</t>
  </si>
  <si>
    <t>Nauru</t>
  </si>
  <si>
    <t>Netherlands Antilles (Netherlands)</t>
  </si>
  <si>
    <t>New Caledonia (France)</t>
  </si>
  <si>
    <t>Niue (New Zealand)</t>
  </si>
  <si>
    <t>Norfolk (Australia)</t>
  </si>
  <si>
    <t>Palestine</t>
  </si>
  <si>
    <t>Pitcairn (Great-Britain)</t>
  </si>
  <si>
    <t>Puerto Rico (United States)</t>
  </si>
  <si>
    <t>Reunion (France)</t>
  </si>
  <si>
    <t>Samoa (American)</t>
  </si>
  <si>
    <t>Samoa (Western)</t>
  </si>
  <si>
    <t>San Marino</t>
  </si>
  <si>
    <t>Sao Tome and Principe</t>
  </si>
  <si>
    <t>Somalia</t>
  </si>
  <si>
    <t>St.Helena (Great-Britain)</t>
  </si>
  <si>
    <t>St.Kitts and Nevis</t>
  </si>
  <si>
    <t>St.Lucia</t>
  </si>
  <si>
    <t>St.Pierre and Miquelon (France)</t>
  </si>
  <si>
    <t>St.Vincent and the Grenadines</t>
  </si>
  <si>
    <t>Sudan (South)</t>
  </si>
  <si>
    <t>Tokelau (New Zealand)</t>
  </si>
  <si>
    <t>Turkmenistan</t>
  </si>
  <si>
    <t>Turks and Caicos Islands (Great-Britain)</t>
  </si>
  <si>
    <t>Tuvalu</t>
  </si>
  <si>
    <t>Vatican City</t>
  </si>
  <si>
    <t>Virgin Islands (American)</t>
  </si>
  <si>
    <t>Virgin Islands (British)</t>
  </si>
  <si>
    <t>Wallis and Futuna (France)</t>
  </si>
  <si>
    <t>Western Sahara</t>
  </si>
  <si>
    <t>Country @ Rating (Dirty)</t>
  </si>
  <si>
    <t>Country @ Rating (Clean)</t>
  </si>
  <si>
    <t>Country @ Rating #</t>
  </si>
  <si>
    <t>Business Climate Rating (Dirty)</t>
  </si>
  <si>
    <t>Business Climate Rating (Clean)</t>
  </si>
  <si>
    <t>Business Climate Rating #</t>
  </si>
  <si>
    <t>Table</t>
  </si>
  <si>
    <t>D</t>
  </si>
  <si>
    <t>A1</t>
  </si>
  <si>
    <t>A2</t>
  </si>
  <si>
    <t>A4</t>
  </si>
  <si>
    <t>A3</t>
  </si>
  <si>
    <t>C upgrade</t>
  </si>
  <si>
    <t>A2 upgrade</t>
  </si>
  <si>
    <t>Congo</t>
  </si>
  <si>
    <t>Congo, the Democratic Republic of the</t>
  </si>
  <si>
    <t>A4 downgrade</t>
  </si>
  <si>
    <t>B downgrade</t>
  </si>
  <si>
    <t>A1 downgrade</t>
  </si>
  <si>
    <t>D upgrade</t>
  </si>
  <si>
    <t>A3 downgrade</t>
  </si>
  <si>
    <t>C downgrade</t>
  </si>
  <si>
    <t>Stripped Spread Z Stat</t>
  </si>
  <si>
    <t>Political Risk Z Stat</t>
  </si>
  <si>
    <t>Ease of Business Z Stat</t>
  </si>
  <si>
    <t>Ease of Business Index</t>
  </si>
  <si>
    <t>ONDD Z Stat</t>
  </si>
  <si>
    <t>ONDD Index</t>
  </si>
  <si>
    <t>Business Climate Z Stat</t>
  </si>
  <si>
    <t>Willingness to Pay Z Stat</t>
  </si>
  <si>
    <t>Political Risk Index</t>
  </si>
  <si>
    <t>Average</t>
  </si>
  <si>
    <t>Standard Deviation</t>
  </si>
  <si>
    <t>Linear</t>
  </si>
  <si>
    <t>Index (linear)</t>
  </si>
  <si>
    <t>INDEX (quadratic)</t>
  </si>
  <si>
    <t>M2</t>
  </si>
  <si>
    <t>Avg:</t>
  </si>
  <si>
    <t>St Dev:</t>
  </si>
  <si>
    <t>Starting a Business Z stat</t>
  </si>
  <si>
    <t>Starting a Business Rank</t>
  </si>
  <si>
    <t>Registering Property Rank</t>
  </si>
  <si>
    <t>Registering Property Rank Z stat</t>
  </si>
  <si>
    <t>Trading Across Borders Rank</t>
  </si>
  <si>
    <t>Trading Across Borders Z stat</t>
  </si>
  <si>
    <t>Enforcing Contracts Rank</t>
  </si>
  <si>
    <t>Enforcing Contracts Z stat</t>
  </si>
  <si>
    <t>EMBI Global Diversified St. Deviation</t>
  </si>
  <si>
    <t>Relative Sovereign Ranking - 2011</t>
  </si>
  <si>
    <t>Sovereign Relative Ranking - 2011</t>
  </si>
  <si>
    <t>AA</t>
  </si>
  <si>
    <t>Solvency and Liquidity Ratios - Regression</t>
  </si>
  <si>
    <t>External Debt as % of Exports</t>
  </si>
  <si>
    <t>GDP Growth Rate</t>
  </si>
  <si>
    <t>Inflation %</t>
  </si>
  <si>
    <t>Budget Balance % of GDP</t>
  </si>
  <si>
    <t xml:space="preserve">National Savings as % of GDP </t>
  </si>
  <si>
    <t xml:space="preserve">Foreign Direct Investment as % of GDP </t>
  </si>
  <si>
    <t xml:space="preserve">Current Account as % of GDP </t>
  </si>
  <si>
    <t>FX Reserves/ Foreign Debt</t>
  </si>
  <si>
    <t>Competitiveness</t>
  </si>
  <si>
    <t>Political Risk</t>
  </si>
  <si>
    <t>% Weights Overall</t>
  </si>
  <si>
    <t>% Weights Within Criteria</t>
  </si>
  <si>
    <t>Trading Across Boarders</t>
  </si>
  <si>
    <t>Long Term Political Risk</t>
  </si>
  <si>
    <t>Risk of Expropriation</t>
  </si>
  <si>
    <t>Willingness to Pay</t>
  </si>
  <si>
    <t>Ease of Doing Business</t>
  </si>
  <si>
    <t xml:space="preserve">ONDD Risk </t>
  </si>
  <si>
    <t>Coface</t>
  </si>
  <si>
    <t>Overall Total</t>
  </si>
  <si>
    <t>Inflation % GDP</t>
  </si>
  <si>
    <t>GDP Growth Rate % YoY</t>
  </si>
  <si>
    <t>External Debt % Exports</t>
  </si>
  <si>
    <t>FX Reserves % External Debt</t>
  </si>
  <si>
    <t>Savings % GDP</t>
  </si>
  <si>
    <t xml:space="preserve">                     Sovereign Relative Model - 2010</t>
  </si>
  <si>
    <t xml:space="preserve">                     Sovereign Relative Model - 2011</t>
  </si>
  <si>
    <t xml:space="preserve">Registering Property </t>
  </si>
  <si>
    <t xml:space="preserve">GDP Growth Rate % YoY </t>
  </si>
  <si>
    <t>Source</t>
  </si>
  <si>
    <t>Business Monitor International (2010)</t>
  </si>
  <si>
    <t>In the Willingness To Pay section, we dissect the authorities' attitudes towards their financial obligations. To do this, we have considered the extent to which the government has proved itself committed to servicing its debt, both in its public pronouncements and in its policy responses. The fiscal outlook in particular is closely examined in order to gauge exactly how prudent the government plans to be with regard to making the necessary cut-backs to prioritise debt repayments. Emphasis is also placed upon the extent to which the government has a mandate to enact crucial fiscal reforms, and whether there is policy cohesiveness and agreement in the top levels of government. Our assessment of the credibility of the monetary authorities and monetary policy is also factored in to the rating in order to assess whether inflation and money supply growth are likely to be kept under control. Obviously, political risk influences the government's willingness to service its debt, and we analyse possibility of political turmoil, whether in the form of corruption, changes within or between administrations, weak governments, or potentially destabilising elections. The latter may well prompt a relaxation of fiscal discipline even if they are unlikely to lead to a hand-over of power. BMI's short-term political risk ratings, which quantify domestic political considerations including policy-making capability, succession, public participation in the democratic process, and unemployment, are also factored in to our calculations.</t>
  </si>
  <si>
    <t>ONDD "The Begian Export Credit Agency" (August, 2011)</t>
  </si>
  <si>
    <t>expropriation (investment policy)</t>
  </si>
  <si>
    <t>medium-/long-term</t>
  </si>
  <si>
    <t>transfer risk</t>
  </si>
  <si>
    <t>Includes all forms of nationalisation of the local enterprise, including creeping expropriation. This can arise from various measures taken by public authorities, taken simultaneously or otherwise, whose accumulation denotes a confiscatory nature.</t>
  </si>
  <si>
    <t>Notion used to describe the credit period usually associated with commercial transactions for example regarding capital and industrial projects, contracting works and services.</t>
  </si>
  <si>
    <t>Risk resulting from an event or decision by foreign authorities that prevents the transfer of the amount of the debt paid by the debtor.</t>
  </si>
  <si>
    <r>
      <t xml:space="preserve">The </t>
    </r>
    <r>
      <rPr>
        <b/>
        <u/>
        <sz val="8"/>
        <rFont val="Arial"/>
        <family val="2"/>
      </rPr>
      <t>premium category</t>
    </r>
    <r>
      <rPr>
        <b/>
        <sz val="8"/>
        <rFont val="Arial"/>
        <family val="2"/>
      </rPr>
      <t xml:space="preserve"> for </t>
    </r>
    <r>
      <rPr>
        <b/>
        <u/>
        <sz val="8"/>
        <rFont val="Arial"/>
        <family val="2"/>
      </rPr>
      <t>political risk</t>
    </r>
    <r>
      <rPr>
        <b/>
        <sz val="8"/>
        <rFont val="Arial"/>
        <family val="2"/>
      </rPr>
      <t xml:space="preserve"> related to </t>
    </r>
    <r>
      <rPr>
        <b/>
        <u/>
        <sz val="8"/>
        <rFont val="Arial"/>
        <family val="2"/>
      </rPr>
      <t>medium-/long-term</t>
    </r>
    <r>
      <rPr>
        <b/>
        <i/>
        <sz val="8"/>
        <rFont val="Arial"/>
        <family val="2"/>
      </rPr>
      <t xml:space="preserve"> </t>
    </r>
    <r>
      <rPr>
        <b/>
        <sz val="8"/>
        <rFont val="Arial"/>
        <family val="2"/>
      </rPr>
      <t>export credits</t>
    </r>
    <r>
      <rPr>
        <sz val="8"/>
        <rFont val="Arial"/>
        <family val="2"/>
      </rPr>
      <t xml:space="preserve"> is largely dependent on ONDD’s obligations within the framework of the </t>
    </r>
    <r>
      <rPr>
        <b/>
        <u/>
        <sz val="8"/>
        <rFont val="Arial"/>
        <family val="2"/>
      </rPr>
      <t>OECD Arrangement</t>
    </r>
    <r>
      <rPr>
        <sz val="8"/>
        <rFont val="Arial"/>
        <family val="2"/>
      </rPr>
      <t xml:space="preserve">. Within this </t>
    </r>
    <r>
      <rPr>
        <u/>
        <sz val="8"/>
        <rFont val="Arial"/>
        <family val="2"/>
      </rPr>
      <t>Arrangement</t>
    </r>
    <r>
      <rPr>
        <sz val="8"/>
        <rFont val="Arial"/>
        <family val="2"/>
      </rPr>
      <t xml:space="preserve">, </t>
    </r>
    <r>
      <rPr>
        <b/>
        <sz val="8"/>
        <rFont val="Arial"/>
        <family val="2"/>
      </rPr>
      <t>minimum premium rates</t>
    </r>
    <r>
      <rPr>
        <sz val="8"/>
        <rFont val="Arial"/>
        <family val="2"/>
      </rPr>
      <t xml:space="preserve"> for the insurance of </t>
    </r>
    <r>
      <rPr>
        <u/>
        <sz val="8"/>
        <rFont val="Arial"/>
        <family val="2"/>
      </rPr>
      <t>medium-/long-term</t>
    </r>
    <r>
      <rPr>
        <sz val="8"/>
        <rFont val="Arial"/>
        <family val="2"/>
      </rPr>
      <t xml:space="preserve"> </t>
    </r>
    <r>
      <rPr>
        <u/>
        <sz val="8"/>
        <rFont val="Arial"/>
        <family val="2"/>
      </rPr>
      <t>political</t>
    </r>
    <r>
      <rPr>
        <sz val="8"/>
        <rFont val="Arial"/>
        <family val="2"/>
      </rPr>
      <t xml:space="preserve"> and </t>
    </r>
    <r>
      <rPr>
        <u/>
        <sz val="8"/>
        <rFont val="Arial"/>
        <family val="2"/>
      </rPr>
      <t>sovereign risk</t>
    </r>
    <r>
      <rPr>
        <sz val="8"/>
        <rFont val="Arial"/>
        <family val="2"/>
      </rPr>
      <t xml:space="preserve"> for about 70% of the countries in the world are decided upon by a group of country risk experts representing the different export credit agencies. ONDD presides over this working group and runs the quantitative model on which the common country classification is based.</t>
    </r>
  </si>
  <si>
    <t>In general, ONDD's premium classification is aligned with the OECD classification but its Board of Directors can always decide on a higher premium rate if it considers the risk to be higher.</t>
  </si>
  <si>
    <t>The World Bank "Doing Business" Report (June, 2010)</t>
  </si>
  <si>
    <t>Coface (July, 2011)</t>
  </si>
  <si>
    <t>The Country @rating assigned by Coface reflects the average level of short-term non-payment risk associated with companies in a particular country. It reflects the extent to which a country’s economic, financial, and political outlook influences financial commitments of local companies</t>
  </si>
  <si>
    <t>The "Business Climate" assessment is intended to assess overall business environment quality in a country. More specifically, it reflects whether corporate financial information is available and reliable, whether the legal system provides fair and efficient creditor protection, and whether a country’s institutional framework is favourable to intercompany transactions.</t>
  </si>
  <si>
    <t xml:space="preserve">an infrastructure quality index (energy, transport, telecommunications) published by the World Economic Forum in its "Global competitiveness report </t>
  </si>
  <si>
    <t>Transition</t>
  </si>
  <si>
    <t xml:space="preserve">Solvency = (Inflation Z stat x Inflation weight) + (GDP growth Z stat x GDP growth weight) + (External Debt % Exports Z stat x External Debt % Exports weight) + (Fiscal Balance % GDP Z stat x Fiscal Balance weight) </t>
  </si>
  <si>
    <t>Liquidity = (Savings % GDP Z stat x Savings % GDP weight) + (FDI % GDP Z stat x FDI % GDP weight) + (Current Account % GDP Z stat x Current Account weight) + (FX reserves % Exterenal Debt Z stat x FX Reserves % External Debt weight)</t>
  </si>
  <si>
    <t>Country = (Politcal Risk Index Z stat x Political Risk weight) + (Competitiveness Z stat x Competitiveness weight)</t>
  </si>
  <si>
    <t>Calculations</t>
  </si>
  <si>
    <t xml:space="preserve">*Each country's indicator above is a z stat which is calculated on each indicator's separate spreadsheet.  M1 represents each indicator's weight  </t>
  </si>
  <si>
    <t>Using linear regression, each weight represents the slope of the line (y = mx + b)</t>
  </si>
  <si>
    <t>Weight</t>
  </si>
  <si>
    <t>which is calculated by regressing each country's indicator z stat against its respective stripped spread in the EMBI Global Diversified.</t>
  </si>
  <si>
    <t>Normalized</t>
  </si>
  <si>
    <t>Stripped Spread Z stat as of 10/12/2011</t>
  </si>
  <si>
    <t xml:space="preserve">Region </t>
  </si>
  <si>
    <t>October 2011</t>
  </si>
  <si>
    <t>Political &amp; Competitiveness</t>
  </si>
  <si>
    <t xml:space="preserve">Index = Solvency + Liquidity + Political &amp; Competitiveness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</si>
</sst>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0.0"/>
    <numFmt numFmtId="165" formatCode="0.0000"/>
    <numFmt numFmtId="166" formatCode="0.000"/>
    <numFmt numFmtId="167" formatCode="_-* #,##0.00_-;\-* #,##0.00_-;_-* &quot;-&quot;??_-;_-@_-"/>
    <numFmt numFmtId="168" formatCode="_(* #,##0.000_);_(* \(#,##0.000\);_(* &quot;-&quot;??_);_(@_)"/>
    <numFmt numFmtId="169" formatCode="0.000000"/>
    <numFmt numFmtId="170" formatCode="0.0%"/>
  </numFmts>
  <fonts count="56" x14ac:knownFonts="1">
    <font>
      <sz val="10"/>
      <name val="Arial"/>
    </font>
    <font>
      <sz val="11"/>
      <color theme="1"/>
      <name val="Calibri"/>
      <family val="2"/>
      <scheme val="minor"/>
    </font>
    <font>
      <sz val="10"/>
      <name val="Arial"/>
      <family val="2"/>
    </font>
    <font>
      <sz val="8"/>
      <name val="Arial"/>
      <family val="2"/>
    </font>
    <font>
      <b/>
      <sz val="10"/>
      <name val="Arial"/>
      <family val="2"/>
    </font>
    <font>
      <sz val="10"/>
      <name val="Arial"/>
      <family val="2"/>
    </font>
    <font>
      <b/>
      <sz val="12"/>
      <name val="Arial"/>
      <family val="2"/>
    </font>
    <font>
      <b/>
      <sz val="20"/>
      <name val="Arial"/>
      <family val="2"/>
    </font>
    <font>
      <b/>
      <sz val="11"/>
      <name val="Arial"/>
      <family val="2"/>
    </font>
    <font>
      <sz val="11"/>
      <name val="Arial"/>
      <family val="2"/>
    </font>
    <font>
      <b/>
      <sz val="14"/>
      <name val="Arial"/>
      <family val="2"/>
    </font>
    <font>
      <i/>
      <sz val="10"/>
      <name val="Helv"/>
    </font>
    <font>
      <sz val="10"/>
      <color indexed="8"/>
      <name val="Arial Narrow"/>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indexed="9"/>
      <name val="Arial"/>
      <family val="2"/>
    </font>
    <font>
      <sz val="9"/>
      <name val="Arial"/>
      <family val="2"/>
    </font>
    <font>
      <b/>
      <sz val="8"/>
      <color theme="0"/>
      <name val="Arial"/>
      <family val="2"/>
    </font>
    <font>
      <sz val="10"/>
      <color theme="0" tint="-0.14999847407452621"/>
      <name val="Arial"/>
      <family val="2"/>
    </font>
    <font>
      <u/>
      <sz val="11"/>
      <color theme="10"/>
      <name val="Calibri"/>
      <family val="2"/>
      <scheme val="minor"/>
    </font>
    <font>
      <sz val="10"/>
      <color theme="1"/>
      <name val="Calibri"/>
      <family val="2"/>
      <scheme val="minor"/>
    </font>
    <font>
      <b/>
      <sz val="8"/>
      <name val="Arial"/>
      <family val="2"/>
    </font>
    <font>
      <sz val="11"/>
      <color theme="0"/>
      <name val="Arial"/>
      <family val="2"/>
    </font>
    <font>
      <sz val="14"/>
      <name val="Arial"/>
      <family val="2"/>
    </font>
    <font>
      <b/>
      <sz val="16"/>
      <name val="Arial"/>
      <family val="2"/>
    </font>
    <font>
      <sz val="12"/>
      <name val="Arial"/>
      <family val="2"/>
    </font>
    <font>
      <sz val="14"/>
      <color theme="0"/>
      <name val="Arial"/>
      <family val="2"/>
    </font>
    <font>
      <b/>
      <i/>
      <sz val="10"/>
      <name val="Arial"/>
      <family val="2"/>
    </font>
    <font>
      <sz val="8"/>
      <name val="Verdana"/>
      <family val="2"/>
    </font>
    <font>
      <b/>
      <u/>
      <sz val="8"/>
      <name val="Arial"/>
      <family val="2"/>
    </font>
    <font>
      <b/>
      <i/>
      <sz val="8"/>
      <name val="Arial"/>
      <family val="2"/>
    </font>
    <font>
      <u/>
      <sz val="8"/>
      <name val="Arial"/>
      <family val="2"/>
    </font>
    <font>
      <sz val="10"/>
      <color theme="0"/>
      <name val="Arial"/>
      <family val="2"/>
    </font>
    <font>
      <sz val="20"/>
      <name val="Arial"/>
      <family val="2"/>
    </font>
    <font>
      <b/>
      <sz val="13"/>
      <name val="Arial"/>
      <family val="2"/>
    </font>
    <font>
      <sz val="13"/>
      <name val="Arial"/>
      <family val="2"/>
    </font>
    <font>
      <sz val="13"/>
      <color theme="0"/>
      <name val="Arial"/>
      <family val="2"/>
    </font>
    <font>
      <b/>
      <sz val="11"/>
      <color theme="0"/>
      <name val="Arial"/>
      <family val="2"/>
    </font>
  </fonts>
  <fills count="44">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0000"/>
        <bgColor indexed="64"/>
      </patternFill>
    </fill>
    <fill>
      <patternFill patternType="solid">
        <fgColor theme="0" tint="-0.249977111117893"/>
        <bgColor indexed="64"/>
      </patternFill>
    </fill>
    <fill>
      <patternFill patternType="solid">
        <fgColor indexed="48"/>
        <bgColor indexed="64"/>
      </patternFill>
    </fill>
    <fill>
      <patternFill patternType="solid">
        <fgColor theme="3"/>
        <bgColor indexed="64"/>
      </patternFill>
    </fill>
    <fill>
      <patternFill patternType="solid">
        <fgColor theme="4" tint="0.79998168889431442"/>
        <bgColor theme="4" tint="0.79998168889431442"/>
      </patternFill>
    </fill>
    <fill>
      <patternFill patternType="solid">
        <fgColor indexed="43"/>
        <bgColor indexed="64"/>
      </patternFill>
    </fill>
    <fill>
      <patternFill patternType="solid">
        <fgColor theme="0" tint="-0.34998626667073579"/>
        <bgColor indexed="64"/>
      </patternFill>
    </fill>
    <fill>
      <patternFill patternType="solid">
        <fgColor rgb="FFFFFF99"/>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thin">
        <color indexed="64"/>
      </bottom>
      <diagonal/>
    </border>
    <border>
      <left/>
      <right/>
      <top/>
      <bottom style="thick">
        <color indexed="64"/>
      </bottom>
      <diagonal/>
    </border>
    <border>
      <left style="thin">
        <color theme="4"/>
      </left>
      <right/>
      <top/>
      <bottom style="thin">
        <color theme="0" tint="-0.24994659260841701"/>
      </bottom>
      <diagonal/>
    </border>
    <border>
      <left/>
      <right/>
      <top/>
      <bottom style="thin">
        <color theme="0" tint="-0.24994659260841701"/>
      </bottom>
      <diagonal/>
    </border>
    <border>
      <left/>
      <right style="thin">
        <color theme="4"/>
      </right>
      <top/>
      <bottom style="thin">
        <color theme="0" tint="-0.24994659260841701"/>
      </bottom>
      <diagonal/>
    </border>
    <border>
      <left style="thin">
        <color theme="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medium">
        <color indexed="64"/>
      </bottom>
      <diagonal/>
    </border>
  </borders>
  <cellStyleXfs count="77">
    <xf numFmtId="0" fontId="0" fillId="0" borderId="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7" fillId="28" borderId="0" applyNumberFormat="0" applyBorder="0" applyAlignment="0" applyProtection="0"/>
    <xf numFmtId="0" fontId="18" fillId="29" borderId="7" applyNumberFormat="0" applyAlignment="0" applyProtection="0"/>
    <xf numFmtId="0" fontId="19" fillId="30" borderId="8" applyNumberFormat="0" applyAlignment="0" applyProtection="0"/>
    <xf numFmtId="43" fontId="2" fillId="0" borderId="0" applyFont="0" applyFill="0" applyBorder="0" applyAlignment="0" applyProtection="0"/>
    <xf numFmtId="0" fontId="20" fillId="0" borderId="0" applyNumberFormat="0" applyFill="0" applyBorder="0" applyAlignment="0" applyProtection="0"/>
    <xf numFmtId="0" fontId="21" fillId="31" borderId="0" applyNumberFormat="0" applyBorder="0" applyAlignment="0" applyProtection="0"/>
    <xf numFmtId="0" fontId="22" fillId="0" borderId="9" applyNumberFormat="0" applyFill="0" applyAlignment="0" applyProtection="0"/>
    <xf numFmtId="0" fontId="23" fillId="0" borderId="10" applyNumberFormat="0" applyFill="0" applyAlignment="0" applyProtection="0"/>
    <xf numFmtId="0" fontId="24" fillId="0" borderId="11" applyNumberFormat="0" applyFill="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6" fillId="32" borderId="7" applyNumberFormat="0" applyAlignment="0" applyProtection="0"/>
    <xf numFmtId="0" fontId="27" fillId="0" borderId="12" applyNumberFormat="0" applyFill="0" applyAlignment="0" applyProtection="0"/>
    <xf numFmtId="0" fontId="28" fillId="33" borderId="0" applyNumberFormat="0" applyBorder="0" applyAlignment="0" applyProtection="0"/>
    <xf numFmtId="0" fontId="5" fillId="0" borderId="0"/>
    <xf numFmtId="0" fontId="15" fillId="0" borderId="0"/>
    <xf numFmtId="0" fontId="15" fillId="34" borderId="13" applyNumberFormat="0" applyFont="0" applyAlignment="0" applyProtection="0"/>
    <xf numFmtId="0" fontId="11" fillId="0" borderId="1"/>
    <xf numFmtId="0" fontId="29" fillId="29" borderId="14" applyNumberFormat="0" applyAlignment="0" applyProtection="0"/>
    <xf numFmtId="9" fontId="2" fillId="0" borderId="0" applyFon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1" fillId="0" borderId="15" applyNumberFormat="0" applyFill="0" applyAlignment="0" applyProtection="0"/>
    <xf numFmtId="0" fontId="32" fillId="0" borderId="0" applyNumberFormat="0" applyFill="0" applyBorder="0" applyAlignment="0" applyProtection="0"/>
    <xf numFmtId="0" fontId="2" fillId="0" borderId="0"/>
    <xf numFmtId="167" fontId="2" fillId="0" borderId="0" applyFont="0" applyFill="0" applyBorder="0" applyAlignment="0" applyProtection="0"/>
    <xf numFmtId="0" fontId="2" fillId="0" borderId="0"/>
    <xf numFmtId="0" fontId="37" fillId="0" borderId="0" applyNumberFormat="0" applyFill="0" applyBorder="0" applyAlignment="0" applyProtection="0"/>
    <xf numFmtId="0" fontId="1" fillId="0" borderId="0"/>
    <xf numFmtId="0" fontId="1" fillId="4"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1" fillId="8" borderId="0" applyNumberFormat="0" applyBorder="0" applyAlignment="0" applyProtection="0"/>
    <xf numFmtId="0" fontId="1" fillId="14" borderId="0" applyNumberFormat="0" applyBorder="0" applyAlignment="0" applyProtection="0"/>
    <xf numFmtId="43" fontId="2" fillId="0" borderId="0" applyFont="0" applyFill="0" applyBorder="0" applyAlignment="0" applyProtection="0"/>
    <xf numFmtId="0" fontId="1" fillId="9" borderId="0" applyNumberFormat="0" applyBorder="0" applyAlignment="0" applyProtection="0"/>
    <xf numFmtId="0" fontId="1" fillId="1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1" fillId="0" borderId="0"/>
    <xf numFmtId="0" fontId="1" fillId="34" borderId="13"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5" fillId="0" borderId="0" applyNumberFormat="0" applyFill="0" applyBorder="0" applyAlignment="0" applyProtection="0"/>
    <xf numFmtId="0" fontId="2" fillId="0" borderId="0"/>
  </cellStyleXfs>
  <cellXfs count="327">
    <xf numFmtId="0" fontId="0" fillId="0" borderId="0" xfId="0"/>
    <xf numFmtId="0" fontId="4" fillId="0" borderId="0" xfId="0" applyFont="1"/>
    <xf numFmtId="10" fontId="0" fillId="0" borderId="0" xfId="0" applyNumberFormat="1"/>
    <xf numFmtId="0" fontId="0" fillId="2" borderId="0" xfId="0" applyFill="1"/>
    <xf numFmtId="164" fontId="0" fillId="0" borderId="0" xfId="0" applyNumberFormat="1"/>
    <xf numFmtId="0" fontId="4" fillId="2" borderId="0" xfId="0" applyFont="1" applyFill="1"/>
    <xf numFmtId="0" fontId="5" fillId="0" borderId="0" xfId="0" applyFont="1"/>
    <xf numFmtId="2" fontId="0" fillId="0" borderId="0" xfId="0" applyNumberFormat="1"/>
    <xf numFmtId="0" fontId="0" fillId="0" borderId="0" xfId="0" applyAlignment="1">
      <alignment horizontal="center"/>
    </xf>
    <xf numFmtId="0" fontId="4" fillId="2" borderId="0" xfId="0" applyFont="1" applyFill="1" applyAlignment="1">
      <alignment horizontal="center"/>
    </xf>
    <xf numFmtId="0" fontId="4" fillId="3" borderId="0" xfId="0" applyFont="1" applyFill="1"/>
    <xf numFmtId="0" fontId="0" fillId="3" borderId="0" xfId="0" applyFill="1"/>
    <xf numFmtId="0" fontId="0" fillId="0" borderId="0" xfId="0" applyFill="1"/>
    <xf numFmtId="0" fontId="4" fillId="0" borderId="0" xfId="0" applyFont="1" applyFill="1"/>
    <xf numFmtId="166" fontId="0" fillId="0" borderId="0" xfId="0" applyNumberFormat="1"/>
    <xf numFmtId="0" fontId="4" fillId="0" borderId="0" xfId="0" applyFont="1" applyAlignment="1">
      <alignment horizontal="center" vertical="center" wrapText="1"/>
    </xf>
    <xf numFmtId="0" fontId="4" fillId="2" borderId="0" xfId="0" applyFont="1" applyFill="1" applyAlignment="1">
      <alignment horizontal="center" vertical="center" wrapText="1"/>
    </xf>
    <xf numFmtId="0" fontId="6" fillId="0" borderId="0" xfId="0" applyFont="1" applyAlignment="1">
      <alignment horizontal="center" vertical="center" wrapText="1"/>
    </xf>
    <xf numFmtId="0" fontId="8" fillId="0" borderId="0" xfId="0" applyFont="1"/>
    <xf numFmtId="0" fontId="9" fillId="0" borderId="0" xfId="0" applyFont="1"/>
    <xf numFmtId="164" fontId="9" fillId="0" borderId="0" xfId="0" applyNumberFormat="1" applyFont="1"/>
    <xf numFmtId="9" fontId="9" fillId="0" borderId="0" xfId="44" applyFont="1"/>
    <xf numFmtId="0" fontId="6" fillId="0" borderId="0" xfId="0" applyFont="1" applyAlignment="1">
      <alignment horizontal="center"/>
    </xf>
    <xf numFmtId="0" fontId="4" fillId="0" borderId="0" xfId="0" applyFont="1" applyAlignment="1">
      <alignment horizontal="center"/>
    </xf>
    <xf numFmtId="0" fontId="0" fillId="0" borderId="2" xfId="0" applyBorder="1"/>
    <xf numFmtId="0" fontId="0" fillId="0" borderId="2" xfId="0" applyFill="1" applyBorder="1"/>
    <xf numFmtId="0" fontId="10" fillId="0" borderId="0" xfId="0" applyFont="1" applyAlignment="1">
      <alignment horizontal="center"/>
    </xf>
    <xf numFmtId="49" fontId="4" fillId="0" borderId="0" xfId="0" applyNumberFormat="1" applyFont="1" applyAlignment="1">
      <alignment horizontal="center"/>
    </xf>
    <xf numFmtId="164" fontId="0" fillId="0" borderId="2" xfId="0" applyNumberFormat="1" applyBorder="1" applyAlignment="1">
      <alignment horizontal="center"/>
    </xf>
    <xf numFmtId="49" fontId="8" fillId="0" borderId="0" xfId="0" applyNumberFormat="1" applyFont="1" applyAlignment="1">
      <alignment horizontal="center"/>
    </xf>
    <xf numFmtId="0" fontId="8" fillId="0" borderId="2" xfId="0" applyFont="1" applyFill="1" applyBorder="1" applyAlignment="1">
      <alignment horizontal="center" vertical="center" wrapText="1"/>
    </xf>
    <xf numFmtId="164" fontId="9" fillId="0" borderId="2" xfId="0" applyNumberFormat="1" applyFont="1" applyBorder="1" applyAlignment="1">
      <alignment horizontal="center"/>
    </xf>
    <xf numFmtId="0" fontId="8" fillId="0" borderId="2" xfId="0" applyFont="1" applyFill="1" applyBorder="1" applyAlignment="1">
      <alignment horizontal="left" vertical="center" wrapText="1"/>
    </xf>
    <xf numFmtId="0" fontId="9" fillId="0" borderId="2" xfId="0" applyFont="1" applyBorder="1"/>
    <xf numFmtId="164" fontId="0" fillId="0" borderId="0" xfId="0" applyNumberFormat="1" applyFill="1"/>
    <xf numFmtId="164" fontId="12" fillId="0" borderId="0" xfId="39" applyNumberFormat="1" applyFont="1" applyFill="1" applyAlignment="1">
      <alignment horizontal="right"/>
    </xf>
    <xf numFmtId="2" fontId="0" fillId="35" borderId="0" xfId="0" applyNumberFormat="1" applyFill="1"/>
    <xf numFmtId="2" fontId="0" fillId="0" borderId="0" xfId="0" applyNumberFormat="1" applyFill="1"/>
    <xf numFmtId="164" fontId="5" fillId="0" borderId="0" xfId="0" applyNumberFormat="1" applyFont="1"/>
    <xf numFmtId="43" fontId="0" fillId="0" borderId="0" xfId="28" applyFont="1"/>
    <xf numFmtId="0" fontId="25" fillId="0" borderId="0" xfId="35"/>
    <xf numFmtId="164" fontId="25" fillId="0" borderId="0" xfId="35" applyNumberFormat="1"/>
    <xf numFmtId="164" fontId="0" fillId="36" borderId="0" xfId="0" applyNumberFormat="1" applyFill="1"/>
    <xf numFmtId="0" fontId="5" fillId="0" borderId="0" xfId="39"/>
    <xf numFmtId="15" fontId="5" fillId="0" borderId="0" xfId="39" applyNumberFormat="1"/>
    <xf numFmtId="2" fontId="5" fillId="0" borderId="0" xfId="39" applyNumberFormat="1"/>
    <xf numFmtId="0" fontId="4" fillId="0" borderId="0" xfId="39" applyFont="1"/>
    <xf numFmtId="43" fontId="15" fillId="0" borderId="0" xfId="28" applyFont="1"/>
    <xf numFmtId="43" fontId="5" fillId="0" borderId="0" xfId="28" applyFont="1"/>
    <xf numFmtId="0" fontId="15" fillId="0" borderId="0" xfId="40"/>
    <xf numFmtId="0" fontId="15" fillId="0" borderId="0" xfId="40"/>
    <xf numFmtId="15" fontId="15" fillId="0" borderId="0" xfId="40" applyNumberFormat="1"/>
    <xf numFmtId="0" fontId="15" fillId="0" borderId="0" xfId="40"/>
    <xf numFmtId="0" fontId="4" fillId="0" borderId="3" xfId="0" applyFont="1" applyBorder="1"/>
    <xf numFmtId="165" fontId="0" fillId="0" borderId="4" xfId="0" applyNumberFormat="1" applyBorder="1"/>
    <xf numFmtId="0" fontId="4" fillId="0" borderId="5" xfId="0" applyFont="1" applyBorder="1"/>
    <xf numFmtId="165" fontId="0" fillId="0" borderId="6" xfId="0" applyNumberFormat="1" applyBorder="1"/>
    <xf numFmtId="0" fontId="0" fillId="0" borderId="0" xfId="0" applyAlignment="1">
      <alignment vertical="center"/>
    </xf>
    <xf numFmtId="164" fontId="0" fillId="0" borderId="0" xfId="0" applyNumberFormat="1" applyAlignment="1">
      <alignment vertical="center"/>
    </xf>
    <xf numFmtId="0" fontId="0" fillId="0" borderId="0" xfId="0" applyAlignment="1">
      <alignment horizontal="center" vertical="center"/>
    </xf>
    <xf numFmtId="164" fontId="0" fillId="0" borderId="0" xfId="0" applyNumberFormat="1" applyAlignment="1">
      <alignment horizontal="center" vertical="center"/>
    </xf>
    <xf numFmtId="0" fontId="5" fillId="0" borderId="0" xfId="0" applyFont="1" applyAlignment="1">
      <alignment vertical="center"/>
    </xf>
    <xf numFmtId="0" fontId="5" fillId="0" borderId="0" xfId="0" applyFont="1" applyAlignment="1">
      <alignment horizontal="center" vertical="center"/>
    </xf>
    <xf numFmtId="0" fontId="2" fillId="0" borderId="0" xfId="49"/>
    <xf numFmtId="0" fontId="2" fillId="0" borderId="0" xfId="49" applyFont="1" applyAlignment="1">
      <alignment horizontal="center"/>
    </xf>
    <xf numFmtId="2" fontId="2" fillId="0" borderId="0" xfId="49" applyNumberFormat="1" applyFont="1"/>
    <xf numFmtId="0" fontId="2" fillId="0" borderId="0" xfId="49" applyFont="1"/>
    <xf numFmtId="0" fontId="4" fillId="0" borderId="0" xfId="49" applyFont="1" applyAlignment="1">
      <alignment horizontal="center"/>
    </xf>
    <xf numFmtId="0" fontId="2" fillId="0" borderId="16" xfId="49" applyFont="1" applyBorder="1"/>
    <xf numFmtId="0" fontId="2" fillId="0" borderId="16" xfId="49" applyFont="1" applyBorder="1" applyAlignment="1">
      <alignment horizontal="center"/>
    </xf>
    <xf numFmtId="2" fontId="2" fillId="0" borderId="16" xfId="49" applyNumberFormat="1" applyFont="1" applyBorder="1"/>
    <xf numFmtId="0" fontId="2" fillId="0" borderId="0" xfId="49" applyFont="1" applyFill="1"/>
    <xf numFmtId="2" fontId="2" fillId="0" borderId="0" xfId="49" applyNumberFormat="1" applyFont="1" applyFill="1"/>
    <xf numFmtId="0" fontId="2" fillId="0" borderId="0" xfId="51"/>
    <xf numFmtId="0" fontId="4" fillId="0" borderId="0" xfId="49" applyFont="1"/>
    <xf numFmtId="166" fontId="2" fillId="0" borderId="0" xfId="49" applyNumberFormat="1" applyFont="1" applyAlignment="1">
      <alignment horizontal="center"/>
    </xf>
    <xf numFmtId="2" fontId="4" fillId="2" borderId="16" xfId="49" applyNumberFormat="1" applyFont="1" applyFill="1" applyBorder="1" applyAlignment="1">
      <alignment horizontal="center"/>
    </xf>
    <xf numFmtId="2" fontId="36" fillId="0" borderId="0" xfId="49" applyNumberFormat="1" applyFont="1"/>
    <xf numFmtId="0" fontId="36" fillId="0" borderId="0" xfId="49" applyFont="1"/>
    <xf numFmtId="2" fontId="2" fillId="0" borderId="0" xfId="49" applyNumberFormat="1" applyAlignment="1">
      <alignment horizontal="center" vertical="center"/>
    </xf>
    <xf numFmtId="0" fontId="2" fillId="0" borderId="0" xfId="49"/>
    <xf numFmtId="0" fontId="2" fillId="0" borderId="0" xfId="49" applyFont="1" applyAlignment="1">
      <alignment horizontal="center"/>
    </xf>
    <xf numFmtId="2" fontId="2" fillId="0" borderId="0" xfId="49" applyNumberFormat="1" applyFont="1" applyAlignment="1">
      <alignment horizontal="center"/>
    </xf>
    <xf numFmtId="0" fontId="2" fillId="0" borderId="0" xfId="49" applyFont="1"/>
    <xf numFmtId="0" fontId="6" fillId="38" borderId="0" xfId="49" applyFont="1" applyFill="1" applyBorder="1" applyAlignment="1">
      <alignment vertical="center" wrapText="1"/>
    </xf>
    <xf numFmtId="0" fontId="35" fillId="38" borderId="0" xfId="49" applyFont="1" applyFill="1" applyBorder="1" applyAlignment="1">
      <alignment horizontal="center" wrapText="1"/>
    </xf>
    <xf numFmtId="0" fontId="35" fillId="38" borderId="17" xfId="49" applyFont="1" applyFill="1" applyBorder="1" applyAlignment="1">
      <alignment horizontal="center" wrapText="1"/>
    </xf>
    <xf numFmtId="0" fontId="34" fillId="39" borderId="18" xfId="49" applyFont="1" applyFill="1" applyBorder="1"/>
    <xf numFmtId="0" fontId="34" fillId="39" borderId="19" xfId="49" applyNumberFormat="1" applyFont="1" applyFill="1" applyBorder="1" applyAlignment="1">
      <alignment horizontal="center"/>
    </xf>
    <xf numFmtId="2" fontId="34" fillId="39" borderId="19" xfId="49" applyNumberFormat="1" applyFont="1" applyFill="1" applyBorder="1" applyAlignment="1">
      <alignment horizontal="center"/>
    </xf>
    <xf numFmtId="0" fontId="34" fillId="39" borderId="19" xfId="50" applyNumberFormat="1" applyFont="1" applyFill="1" applyBorder="1" applyAlignment="1">
      <alignment horizontal="center" vertical="center"/>
    </xf>
    <xf numFmtId="0" fontId="34" fillId="39" borderId="20" xfId="49" applyNumberFormat="1" applyFont="1" applyFill="1" applyBorder="1" applyAlignment="1">
      <alignment horizontal="center" vertical="center"/>
    </xf>
    <xf numFmtId="0" fontId="34" fillId="0" borderId="21" xfId="49" applyFont="1" applyFill="1" applyBorder="1"/>
    <xf numFmtId="0" fontId="34" fillId="0" borderId="22" xfId="49" applyNumberFormat="1" applyFont="1" applyFill="1" applyBorder="1" applyAlignment="1">
      <alignment horizontal="center"/>
    </xf>
    <xf numFmtId="2" fontId="34" fillId="0" borderId="22" xfId="49" applyNumberFormat="1" applyFont="1" applyFill="1" applyBorder="1" applyAlignment="1">
      <alignment horizontal="center"/>
    </xf>
    <xf numFmtId="0" fontId="34" fillId="0" borderId="22" xfId="50" applyNumberFormat="1" applyFont="1" applyFill="1" applyBorder="1" applyAlignment="1">
      <alignment horizontal="center" vertical="center"/>
    </xf>
    <xf numFmtId="0" fontId="34" fillId="39" borderId="21" xfId="49" applyFont="1" applyFill="1" applyBorder="1"/>
    <xf numFmtId="0" fontId="34" fillId="39" borderId="22" xfId="49" applyNumberFormat="1" applyFont="1" applyFill="1" applyBorder="1" applyAlignment="1">
      <alignment horizontal="center"/>
    </xf>
    <xf numFmtId="2" fontId="34" fillId="39" borderId="22" xfId="49" applyNumberFormat="1" applyFont="1" applyFill="1" applyBorder="1" applyAlignment="1">
      <alignment horizontal="center"/>
    </xf>
    <xf numFmtId="0" fontId="34" fillId="39" borderId="22" xfId="50" applyNumberFormat="1" applyFont="1" applyFill="1" applyBorder="1" applyAlignment="1">
      <alignment horizontal="center" vertical="center"/>
    </xf>
    <xf numFmtId="0" fontId="34" fillId="0" borderId="18" xfId="49" applyFont="1" applyFill="1" applyBorder="1"/>
    <xf numFmtId="0" fontId="34" fillId="0" borderId="19" xfId="49" applyNumberFormat="1" applyFont="1" applyFill="1" applyBorder="1" applyAlignment="1">
      <alignment horizontal="center"/>
    </xf>
    <xf numFmtId="2" fontId="34" fillId="0" borderId="19" xfId="49" applyNumberFormat="1" applyFont="1" applyFill="1" applyBorder="1" applyAlignment="1">
      <alignment horizontal="center"/>
    </xf>
    <xf numFmtId="0" fontId="34" fillId="0" borderId="19" xfId="50" applyNumberFormat="1" applyFont="1" applyFill="1" applyBorder="1" applyAlignment="1">
      <alignment horizontal="center" vertical="center"/>
    </xf>
    <xf numFmtId="166" fontId="2" fillId="0" borderId="0" xfId="49" applyNumberFormat="1"/>
    <xf numFmtId="0" fontId="2" fillId="0" borderId="0" xfId="49"/>
    <xf numFmtId="2" fontId="2" fillId="0" borderId="0" xfId="49" applyNumberFormat="1"/>
    <xf numFmtId="0" fontId="4" fillId="0" borderId="0" xfId="49" applyFont="1"/>
    <xf numFmtId="0" fontId="34" fillId="39" borderId="20" xfId="49" applyNumberFormat="1" applyFont="1" applyFill="1" applyBorder="1" applyAlignment="1">
      <alignment horizontal="center" vertical="center"/>
    </xf>
    <xf numFmtId="0" fontId="2" fillId="0" borderId="4" xfId="49" applyBorder="1"/>
    <xf numFmtId="0" fontId="2" fillId="0" borderId="6" xfId="49" applyBorder="1"/>
    <xf numFmtId="0" fontId="4" fillId="0" borderId="3" xfId="49" applyFont="1" applyBorder="1"/>
    <xf numFmtId="0" fontId="4" fillId="0" borderId="5" xfId="49" applyFont="1" applyBorder="1"/>
    <xf numFmtId="0" fontId="4" fillId="0" borderId="23" xfId="49" applyFont="1" applyBorder="1"/>
    <xf numFmtId="0" fontId="2" fillId="0" borderId="24" xfId="49" applyBorder="1"/>
    <xf numFmtId="2" fontId="2" fillId="0" borderId="24" xfId="49" applyNumberFormat="1" applyBorder="1"/>
    <xf numFmtId="2" fontId="2" fillId="0" borderId="25" xfId="49" applyNumberFormat="1" applyBorder="1"/>
    <xf numFmtId="2" fontId="2" fillId="0" borderId="0" xfId="49" applyNumberFormat="1" applyFont="1" applyAlignment="1">
      <alignment horizontal="center" vertical="center"/>
    </xf>
    <xf numFmtId="0" fontId="2" fillId="0" borderId="0" xfId="49"/>
    <xf numFmtId="0" fontId="2" fillId="0" borderId="0" xfId="49" applyFont="1" applyBorder="1" applyAlignment="1">
      <alignment horizontal="center" vertical="center" wrapText="1"/>
    </xf>
    <xf numFmtId="0" fontId="4" fillId="0" borderId="0" xfId="49" applyFont="1" applyAlignment="1">
      <alignment horizontal="center" vertical="center" wrapText="1"/>
    </xf>
    <xf numFmtId="0" fontId="4" fillId="0" borderId="0" xfId="49" applyFont="1" applyFill="1" applyAlignment="1">
      <alignment horizontal="center" vertical="center" wrapText="1"/>
    </xf>
    <xf numFmtId="0" fontId="4" fillId="2" borderId="0" xfId="49" applyFont="1" applyFill="1" applyAlignment="1">
      <alignment horizontal="center" vertical="center" wrapText="1"/>
    </xf>
    <xf numFmtId="0" fontId="2" fillId="0" borderId="0" xfId="49" applyFill="1"/>
    <xf numFmtId="0" fontId="2" fillId="0" borderId="0" xfId="49" applyFont="1" applyFill="1" applyBorder="1" applyAlignment="1">
      <alignment vertical="top" wrapText="1"/>
    </xf>
    <xf numFmtId="0" fontId="2" fillId="0" borderId="0" xfId="49" applyAlignment="1">
      <alignment horizontal="center" wrapText="1"/>
    </xf>
    <xf numFmtId="0" fontId="4" fillId="2" borderId="0" xfId="49" applyFont="1" applyFill="1" applyAlignment="1">
      <alignment horizontal="center" wrapText="1"/>
    </xf>
    <xf numFmtId="0" fontId="2" fillId="0" borderId="0" xfId="49" applyBorder="1" applyAlignment="1">
      <alignment wrapText="1"/>
    </xf>
    <xf numFmtId="0" fontId="2" fillId="0" borderId="0" xfId="49" applyAlignment="1">
      <alignment wrapText="1"/>
    </xf>
    <xf numFmtId="2" fontId="2" fillId="0" borderId="0" xfId="49" applyNumberFormat="1" applyAlignment="1">
      <alignment wrapText="1"/>
    </xf>
    <xf numFmtId="2" fontId="2" fillId="0" borderId="0" xfId="49" applyNumberFormat="1"/>
    <xf numFmtId="0" fontId="2" fillId="0" borderId="0" xfId="49" applyFont="1" applyBorder="1" applyAlignment="1">
      <alignment vertical="top" wrapText="1"/>
    </xf>
    <xf numFmtId="164" fontId="2" fillId="0" borderId="0" xfId="49" applyNumberFormat="1"/>
    <xf numFmtId="164" fontId="2" fillId="0" borderId="0" xfId="49" applyNumberFormat="1" applyAlignment="1">
      <alignment wrapText="1"/>
    </xf>
    <xf numFmtId="0" fontId="4" fillId="0" borderId="0" xfId="49" applyFont="1" applyBorder="1" applyAlignment="1">
      <alignment wrapText="1"/>
    </xf>
    <xf numFmtId="0" fontId="4" fillId="0" borderId="0" xfId="49" applyFont="1"/>
    <xf numFmtId="0" fontId="4" fillId="0" borderId="0" xfId="49" applyFont="1" applyAlignment="1">
      <alignment horizontal="center"/>
    </xf>
    <xf numFmtId="0" fontId="4" fillId="40" borderId="0" xfId="49" applyFont="1" applyFill="1" applyAlignment="1">
      <alignment horizontal="center" vertical="center" wrapText="1"/>
    </xf>
    <xf numFmtId="0" fontId="2" fillId="35" borderId="0" xfId="49" applyFill="1" applyAlignment="1">
      <alignment wrapText="1"/>
    </xf>
    <xf numFmtId="0" fontId="2" fillId="0" borderId="0" xfId="49" applyFont="1"/>
    <xf numFmtId="0" fontId="4" fillId="35" borderId="0" xfId="49" applyFont="1" applyFill="1"/>
    <xf numFmtId="2" fontId="2" fillId="35" borderId="0" xfId="49" applyNumberFormat="1" applyFill="1"/>
    <xf numFmtId="0" fontId="2" fillId="35" borderId="0" xfId="49" applyFill="1"/>
    <xf numFmtId="0" fontId="37" fillId="0" borderId="0" xfId="52" applyBorder="1" applyAlignment="1">
      <alignment horizontal="center" vertical="center" wrapText="1"/>
    </xf>
    <xf numFmtId="0" fontId="1" fillId="0" borderId="0" xfId="53" applyAlignment="1">
      <alignment horizontal="center" vertical="center"/>
    </xf>
    <xf numFmtId="0" fontId="1" fillId="0" borderId="0" xfId="53"/>
    <xf numFmtId="0" fontId="2" fillId="0" borderId="0" xfId="49"/>
    <xf numFmtId="0" fontId="2" fillId="0" borderId="0" xfId="49" applyAlignment="1">
      <alignment wrapText="1"/>
    </xf>
    <xf numFmtId="2" fontId="2" fillId="0" borderId="0" xfId="49" applyNumberFormat="1" applyAlignment="1">
      <alignment wrapText="1"/>
    </xf>
    <xf numFmtId="2" fontId="2" fillId="0" borderId="0" xfId="49" applyNumberFormat="1"/>
    <xf numFmtId="164" fontId="2" fillId="0" borderId="0" xfId="49" applyNumberFormat="1" applyAlignment="1">
      <alignment wrapText="1"/>
    </xf>
    <xf numFmtId="0" fontId="2" fillId="0" borderId="0" xfId="49" applyFont="1"/>
    <xf numFmtId="0" fontId="1" fillId="0" borderId="0" xfId="53"/>
    <xf numFmtId="0" fontId="4" fillId="0" borderId="2" xfId="49" applyFont="1" applyBorder="1"/>
    <xf numFmtId="0" fontId="2" fillId="0" borderId="2" xfId="49" applyBorder="1"/>
    <xf numFmtId="0" fontId="2" fillId="0" borderId="2" xfId="49" applyFont="1" applyBorder="1"/>
    <xf numFmtId="0" fontId="31" fillId="0" borderId="0" xfId="53" applyFont="1"/>
    <xf numFmtId="0" fontId="31" fillId="0" borderId="0" xfId="53" applyFont="1" applyFill="1"/>
    <xf numFmtId="0" fontId="2" fillId="0" borderId="0" xfId="49" applyAlignment="1">
      <alignment horizontal="left"/>
    </xf>
    <xf numFmtId="0" fontId="37" fillId="0" borderId="0" xfId="52" applyBorder="1" applyAlignment="1">
      <alignment wrapText="1"/>
    </xf>
    <xf numFmtId="0" fontId="38" fillId="0" borderId="0" xfId="49" applyFont="1" applyBorder="1" applyAlignment="1">
      <alignment wrapText="1"/>
    </xf>
    <xf numFmtId="0" fontId="1" fillId="0" borderId="0" xfId="53"/>
    <xf numFmtId="0" fontId="1" fillId="0" borderId="0" xfId="53"/>
    <xf numFmtId="0" fontId="2" fillId="0" borderId="0" xfId="49"/>
    <xf numFmtId="2" fontId="2" fillId="0" borderId="0" xfId="49" applyNumberFormat="1"/>
    <xf numFmtId="164" fontId="2" fillId="0" borderId="0" xfId="49" applyNumberFormat="1"/>
    <xf numFmtId="0" fontId="1" fillId="0" borderId="0" xfId="53"/>
    <xf numFmtId="0" fontId="2" fillId="0" borderId="0" xfId="49"/>
    <xf numFmtId="0" fontId="4" fillId="0" borderId="0" xfId="49" applyFont="1" applyFill="1" applyAlignment="1">
      <alignment horizontal="center" vertical="center" wrapText="1"/>
    </xf>
    <xf numFmtId="0" fontId="4" fillId="2" borderId="0" xfId="49" applyFont="1" applyFill="1" applyAlignment="1">
      <alignment horizontal="center" vertical="center" wrapText="1"/>
    </xf>
    <xf numFmtId="0" fontId="4" fillId="2" borderId="0" xfId="49" applyFont="1" applyFill="1" applyAlignment="1">
      <alignment horizontal="center" wrapText="1"/>
    </xf>
    <xf numFmtId="164" fontId="2" fillId="0" borderId="0" xfId="49" applyNumberFormat="1"/>
    <xf numFmtId="0" fontId="4" fillId="0" borderId="0" xfId="49" applyFont="1" applyBorder="1" applyAlignment="1">
      <alignment wrapText="1"/>
    </xf>
    <xf numFmtId="0" fontId="4" fillId="0" borderId="0" xfId="49" applyFont="1"/>
    <xf numFmtId="0" fontId="1" fillId="0" borderId="0" xfId="53"/>
    <xf numFmtId="0" fontId="4" fillId="41" borderId="0" xfId="49" applyFont="1" applyFill="1" applyAlignment="1">
      <alignment horizontal="center" wrapText="1"/>
    </xf>
    <xf numFmtId="0" fontId="4" fillId="42" borderId="0" xfId="49" applyFont="1" applyFill="1" applyAlignment="1">
      <alignment horizontal="center" vertical="center" wrapText="1"/>
    </xf>
    <xf numFmtId="0" fontId="4" fillId="0" borderId="0" xfId="49" applyFont="1" applyBorder="1" applyAlignment="1"/>
    <xf numFmtId="0" fontId="2" fillId="0" borderId="0" xfId="0" applyFont="1"/>
    <xf numFmtId="0" fontId="4" fillId="0" borderId="0" xfId="49" applyFont="1" applyFill="1" applyAlignment="1">
      <alignment horizontal="center" wrapText="1"/>
    </xf>
    <xf numFmtId="166" fontId="4" fillId="35" borderId="0" xfId="49" applyNumberFormat="1" applyFont="1" applyFill="1"/>
    <xf numFmtId="168" fontId="5" fillId="0" borderId="0" xfId="28" applyNumberFormat="1" applyFont="1"/>
    <xf numFmtId="164" fontId="2" fillId="0" borderId="0" xfId="49" applyNumberFormat="1"/>
    <xf numFmtId="0" fontId="2" fillId="0" borderId="0" xfId="49" applyAlignment="1">
      <alignment wrapText="1"/>
    </xf>
    <xf numFmtId="0" fontId="4" fillId="0" borderId="0" xfId="49" applyFont="1" applyFill="1" applyAlignment="1">
      <alignment horizontal="center" vertical="center" wrapText="1"/>
    </xf>
    <xf numFmtId="164" fontId="4" fillId="0" borderId="0" xfId="49" applyNumberFormat="1" applyFont="1"/>
    <xf numFmtId="0" fontId="2" fillId="0" borderId="0" xfId="69" applyAlignment="1">
      <alignment wrapText="1"/>
    </xf>
    <xf numFmtId="0" fontId="2" fillId="0" borderId="0" xfId="69" applyAlignment="1">
      <alignment wrapText="1"/>
    </xf>
    <xf numFmtId="0" fontId="2" fillId="0" borderId="0" xfId="69" applyAlignment="1">
      <alignment wrapText="1"/>
    </xf>
    <xf numFmtId="0" fontId="2" fillId="0" borderId="0" xfId="69"/>
    <xf numFmtId="166" fontId="9" fillId="0" borderId="0" xfId="0" applyNumberFormat="1" applyFont="1"/>
    <xf numFmtId="0" fontId="2" fillId="0" borderId="2" xfId="0" applyFont="1" applyFill="1" applyBorder="1"/>
    <xf numFmtId="0" fontId="0" fillId="0" borderId="26" xfId="0" applyBorder="1"/>
    <xf numFmtId="0" fontId="2" fillId="0" borderId="0" xfId="0" applyFont="1" applyBorder="1"/>
    <xf numFmtId="164" fontId="0" fillId="0" borderId="0" xfId="0" applyNumberFormat="1" applyBorder="1" applyAlignment="1">
      <alignment horizontal="center"/>
    </xf>
    <xf numFmtId="0" fontId="0" fillId="0" borderId="27" xfId="0" applyBorder="1"/>
    <xf numFmtId="164" fontId="0" fillId="0" borderId="27" xfId="0" applyNumberFormat="1" applyBorder="1" applyAlignment="1">
      <alignment horizontal="center"/>
    </xf>
    <xf numFmtId="0" fontId="2" fillId="0" borderId="26" xfId="0" applyFont="1" applyBorder="1"/>
    <xf numFmtId="0" fontId="2" fillId="0" borderId="27" xfId="0" applyFont="1" applyBorder="1"/>
    <xf numFmtId="0" fontId="0" fillId="0" borderId="26" xfId="0" applyFill="1" applyBorder="1"/>
    <xf numFmtId="0" fontId="4" fillId="0" borderId="0" xfId="0" applyFont="1" applyBorder="1"/>
    <xf numFmtId="0" fontId="4" fillId="0" borderId="0" xfId="0" applyFont="1" applyBorder="1" applyAlignment="1">
      <alignment horizontal="center"/>
    </xf>
    <xf numFmtId="0" fontId="6" fillId="0" borderId="0" xfId="0" applyFont="1"/>
    <xf numFmtId="0" fontId="6" fillId="0" borderId="0" xfId="0" applyFont="1" applyBorder="1"/>
    <xf numFmtId="0" fontId="0" fillId="0" borderId="0" xfId="0" applyBorder="1"/>
    <xf numFmtId="0" fontId="0" fillId="0" borderId="0" xfId="0" applyFill="1" applyBorder="1"/>
    <xf numFmtId="0" fontId="4" fillId="0" borderId="0" xfId="0" applyFont="1" applyFill="1" applyBorder="1"/>
    <xf numFmtId="0" fontId="10" fillId="0" borderId="0" xfId="0" applyFont="1"/>
    <xf numFmtId="9" fontId="0" fillId="0" borderId="0" xfId="44" applyFont="1"/>
    <xf numFmtId="170" fontId="0" fillId="0" borderId="0" xfId="44" applyNumberFormat="1" applyFont="1"/>
    <xf numFmtId="0" fontId="2" fillId="0" borderId="0" xfId="0" applyFont="1" applyAlignment="1">
      <alignment wrapText="1"/>
    </xf>
    <xf numFmtId="9" fontId="9" fillId="0" borderId="0" xfId="44" applyFont="1" applyFill="1"/>
    <xf numFmtId="170" fontId="9" fillId="0" borderId="0" xfId="44" applyNumberFormat="1" applyFont="1" applyAlignment="1">
      <alignment horizontal="center" vertical="center"/>
    </xf>
    <xf numFmtId="0" fontId="9" fillId="0" borderId="0" xfId="0" applyFont="1" applyAlignment="1">
      <alignment horizontal="center" vertical="center"/>
    </xf>
    <xf numFmtId="170" fontId="9" fillId="0" borderId="0" xfId="0" applyNumberFormat="1" applyFont="1" applyAlignment="1">
      <alignment horizontal="center" vertical="center"/>
    </xf>
    <xf numFmtId="170" fontId="9" fillId="0" borderId="0" xfId="44" applyNumberFormat="1" applyFont="1" applyFill="1" applyAlignment="1">
      <alignment horizontal="center" vertical="center"/>
    </xf>
    <xf numFmtId="9" fontId="9" fillId="0" borderId="0" xfId="44" applyFont="1" applyAlignment="1">
      <alignment horizontal="center" vertical="center"/>
    </xf>
    <xf numFmtId="9" fontId="9" fillId="0" borderId="0" xfId="44" applyFont="1" applyFill="1" applyAlignment="1">
      <alignment horizontal="center" vertical="center"/>
    </xf>
    <xf numFmtId="9" fontId="40" fillId="0" borderId="0" xfId="44" applyFont="1" applyAlignment="1">
      <alignment horizontal="center" vertical="center"/>
    </xf>
    <xf numFmtId="0" fontId="42" fillId="0" borderId="0" xfId="0" applyFont="1" applyAlignment="1"/>
    <xf numFmtId="0" fontId="10" fillId="0" borderId="0" xfId="0" applyFont="1" applyAlignment="1"/>
    <xf numFmtId="170" fontId="9" fillId="0" borderId="0" xfId="0" applyNumberFormat="1" applyFont="1" applyFill="1" applyAlignment="1">
      <alignment horizontal="center" vertical="center"/>
    </xf>
    <xf numFmtId="0" fontId="43" fillId="0" borderId="0" xfId="0" applyFont="1"/>
    <xf numFmtId="0" fontId="41" fillId="0" borderId="0" xfId="0" applyFont="1"/>
    <xf numFmtId="0" fontId="10" fillId="0" borderId="0" xfId="0" applyFont="1" applyAlignment="1">
      <alignment horizontal="center" vertical="center" wrapText="1"/>
    </xf>
    <xf numFmtId="166" fontId="43" fillId="0" borderId="0" xfId="0" applyNumberFormat="1" applyFont="1"/>
    <xf numFmtId="164" fontId="43" fillId="0" borderId="0" xfId="0" applyNumberFormat="1" applyFont="1"/>
    <xf numFmtId="170" fontId="43" fillId="0" borderId="0" xfId="44" applyNumberFormat="1" applyFont="1" applyAlignment="1">
      <alignment horizontal="center" vertical="center"/>
    </xf>
    <xf numFmtId="170" fontId="43" fillId="0" borderId="0" xfId="44" applyNumberFormat="1" applyFont="1" applyFill="1" applyAlignment="1">
      <alignment horizontal="center" vertical="center"/>
    </xf>
    <xf numFmtId="0" fontId="43" fillId="0" borderId="0" xfId="0" applyFont="1" applyAlignment="1">
      <alignment horizontal="center" vertical="center"/>
    </xf>
    <xf numFmtId="9" fontId="43" fillId="0" borderId="0" xfId="44" applyFont="1" applyAlignment="1">
      <alignment horizontal="center" vertical="center"/>
    </xf>
    <xf numFmtId="164" fontId="43" fillId="0" borderId="0" xfId="0" applyNumberFormat="1" applyFont="1" applyAlignment="1">
      <alignment horizontal="center" vertical="center"/>
    </xf>
    <xf numFmtId="170" fontId="43" fillId="0" borderId="0" xfId="0" applyNumberFormat="1" applyFont="1" applyAlignment="1">
      <alignment horizontal="center" vertical="center"/>
    </xf>
    <xf numFmtId="170" fontId="43" fillId="43" borderId="0" xfId="0" applyNumberFormat="1" applyFont="1" applyFill="1" applyAlignment="1">
      <alignment horizontal="center" vertical="center"/>
    </xf>
    <xf numFmtId="170" fontId="43" fillId="0" borderId="0" xfId="0" applyNumberFormat="1" applyFont="1" applyFill="1" applyAlignment="1">
      <alignment horizontal="center" vertical="center"/>
    </xf>
    <xf numFmtId="9" fontId="43" fillId="0" borderId="0" xfId="44" applyFont="1" applyFill="1" applyAlignment="1">
      <alignment horizontal="center" vertical="center"/>
    </xf>
    <xf numFmtId="166" fontId="41" fillId="0" borderId="0" xfId="0" applyNumberFormat="1" applyFont="1"/>
    <xf numFmtId="164" fontId="41" fillId="0" borderId="0" xfId="0" applyNumberFormat="1" applyFont="1"/>
    <xf numFmtId="0" fontId="10" fillId="0" borderId="0" xfId="0" applyFont="1" applyFill="1" applyAlignment="1">
      <alignment horizontal="center" vertical="center" wrapText="1"/>
    </xf>
    <xf numFmtId="166" fontId="44" fillId="0" borderId="0" xfId="0" applyNumberFormat="1" applyFont="1"/>
    <xf numFmtId="0" fontId="44" fillId="0" borderId="0" xfId="0" applyFont="1"/>
    <xf numFmtId="164" fontId="44" fillId="0" borderId="0" xfId="0" applyNumberFormat="1" applyFont="1"/>
    <xf numFmtId="170" fontId="44" fillId="0" borderId="0" xfId="44" applyNumberFormat="1" applyFont="1" applyAlignment="1">
      <alignment horizontal="center" vertical="center"/>
    </xf>
    <xf numFmtId="170" fontId="41" fillId="0" borderId="0" xfId="44" applyNumberFormat="1" applyFont="1" applyFill="1" applyAlignment="1">
      <alignment horizontal="center" vertical="center"/>
    </xf>
    <xf numFmtId="10" fontId="43" fillId="0" borderId="0" xfId="44" applyNumberFormat="1" applyFont="1" applyAlignment="1">
      <alignment horizontal="center" vertical="center"/>
    </xf>
    <xf numFmtId="10" fontId="43" fillId="0" borderId="0" xfId="44" applyNumberFormat="1" applyFont="1" applyFill="1" applyAlignment="1">
      <alignment horizontal="center" vertical="center"/>
    </xf>
    <xf numFmtId="164" fontId="6" fillId="0" borderId="0" xfId="0" applyNumberFormat="1" applyFont="1"/>
    <xf numFmtId="170" fontId="43" fillId="0" borderId="0" xfId="44" applyNumberFormat="1" applyFont="1"/>
    <xf numFmtId="9" fontId="6" fillId="0" borderId="0" xfId="44" applyFont="1" applyFill="1" applyAlignment="1">
      <alignment horizontal="center" vertical="center"/>
    </xf>
    <xf numFmtId="166" fontId="6" fillId="0" borderId="0" xfId="0" applyNumberFormat="1" applyFont="1"/>
    <xf numFmtId="9" fontId="43" fillId="0" borderId="0" xfId="44" applyFont="1"/>
    <xf numFmtId="9" fontId="43" fillId="0" borderId="0" xfId="44" applyFont="1" applyFill="1"/>
    <xf numFmtId="170" fontId="43" fillId="43" borderId="0" xfId="44" applyNumberFormat="1" applyFont="1" applyFill="1" applyAlignment="1">
      <alignment horizontal="center" vertical="center"/>
    </xf>
    <xf numFmtId="170" fontId="6" fillId="43" borderId="0" xfId="44" applyNumberFormat="1" applyFont="1" applyFill="1" applyAlignment="1">
      <alignment horizontal="center" vertical="center"/>
    </xf>
    <xf numFmtId="170" fontId="6" fillId="0" borderId="0" xfId="44" applyNumberFormat="1" applyFont="1" applyFill="1" applyAlignment="1">
      <alignment horizontal="center" vertical="center"/>
    </xf>
    <xf numFmtId="2" fontId="9" fillId="0" borderId="0" xfId="0" applyNumberFormat="1" applyFont="1" applyAlignment="1">
      <alignment horizontal="center" vertical="center"/>
    </xf>
    <xf numFmtId="170" fontId="0" fillId="0" borderId="0" xfId="44" applyNumberFormat="1" applyFont="1" applyAlignment="1">
      <alignment horizontal="center" vertical="center"/>
    </xf>
    <xf numFmtId="170" fontId="0" fillId="0" borderId="0" xfId="0" applyNumberFormat="1"/>
    <xf numFmtId="170" fontId="4" fillId="0" borderId="0" xfId="0" applyNumberFormat="1" applyFont="1"/>
    <xf numFmtId="0" fontId="46" fillId="0" borderId="0" xfId="0" applyFont="1" applyAlignment="1">
      <alignment vertical="center" wrapText="1"/>
    </xf>
    <xf numFmtId="0" fontId="0" fillId="0" borderId="0" xfId="0" applyAlignment="1">
      <alignment wrapText="1"/>
    </xf>
    <xf numFmtId="0" fontId="3" fillId="0" borderId="0" xfId="0" applyFont="1" applyAlignment="1">
      <alignment vertical="top" wrapText="1"/>
    </xf>
    <xf numFmtId="0" fontId="39" fillId="0" borderId="0" xfId="0" applyFont="1" applyAlignment="1">
      <alignment vertical="top"/>
    </xf>
    <xf numFmtId="0" fontId="3" fillId="0" borderId="0" xfId="0" applyFont="1" applyAlignment="1">
      <alignment wrapText="1"/>
    </xf>
    <xf numFmtId="0" fontId="45" fillId="0" borderId="0" xfId="0" applyFont="1" applyAlignment="1">
      <alignment horizontal="left" vertical="center" wrapText="1"/>
    </xf>
    <xf numFmtId="0" fontId="51" fillId="0" borderId="0" xfId="0" applyFont="1"/>
    <xf numFmtId="0" fontId="52" fillId="0" borderId="0" xfId="0" applyFont="1" applyAlignment="1">
      <alignment horizontal="center" vertical="center" wrapText="1"/>
    </xf>
    <xf numFmtId="0" fontId="53" fillId="0" borderId="0" xfId="0" applyFont="1"/>
    <xf numFmtId="0" fontId="52" fillId="0" borderId="0" xfId="0" applyFont="1"/>
    <xf numFmtId="166" fontId="53" fillId="0" borderId="0" xfId="0" applyNumberFormat="1" applyFont="1"/>
    <xf numFmtId="2" fontId="53" fillId="0" borderId="0" xfId="0" applyNumberFormat="1" applyFont="1" applyAlignment="1">
      <alignment horizontal="center" vertical="center"/>
    </xf>
    <xf numFmtId="170" fontId="53" fillId="0" borderId="0" xfId="44" applyNumberFormat="1" applyFont="1" applyAlignment="1">
      <alignment horizontal="center" vertical="center"/>
    </xf>
    <xf numFmtId="0" fontId="53" fillId="0" borderId="0" xfId="0" applyFont="1" applyAlignment="1">
      <alignment horizontal="center" vertical="center"/>
    </xf>
    <xf numFmtId="9" fontId="52" fillId="0" borderId="0" xfId="44" applyFont="1" applyFill="1" applyAlignment="1">
      <alignment horizontal="center" vertical="center"/>
    </xf>
    <xf numFmtId="170" fontId="53" fillId="0" borderId="0" xfId="44" applyNumberFormat="1" applyFont="1" applyFill="1" applyAlignment="1">
      <alignment horizontal="center" vertical="center"/>
    </xf>
    <xf numFmtId="0" fontId="53" fillId="0" borderId="0" xfId="0" applyFont="1" applyAlignment="1">
      <alignment horizontal="left"/>
    </xf>
    <xf numFmtId="166" fontId="53" fillId="0" borderId="0" xfId="0" applyNumberFormat="1" applyFont="1" applyAlignment="1">
      <alignment wrapText="1"/>
    </xf>
    <xf numFmtId="9" fontId="53" fillId="0" borderId="0" xfId="44" applyFont="1" applyAlignment="1">
      <alignment horizontal="center" vertical="center"/>
    </xf>
    <xf numFmtId="170" fontId="52" fillId="0" borderId="0" xfId="44" applyNumberFormat="1" applyFont="1" applyFill="1" applyAlignment="1">
      <alignment horizontal="center" vertical="center"/>
    </xf>
    <xf numFmtId="2" fontId="54" fillId="0" borderId="0" xfId="0" applyNumberFormat="1" applyFont="1" applyAlignment="1">
      <alignment horizontal="center" vertical="center"/>
    </xf>
    <xf numFmtId="0" fontId="53" fillId="0" borderId="0" xfId="0" applyFont="1" applyAlignment="1">
      <alignment horizontal="center"/>
    </xf>
    <xf numFmtId="0" fontId="52" fillId="0" borderId="0" xfId="0" applyFont="1" applyAlignment="1">
      <alignment vertical="center" wrapText="1"/>
    </xf>
    <xf numFmtId="166" fontId="53" fillId="0" borderId="0" xfId="0" applyNumberFormat="1" applyFont="1" applyAlignment="1">
      <alignment vertical="center"/>
    </xf>
    <xf numFmtId="166" fontId="53" fillId="0" borderId="0" xfId="0" applyNumberFormat="1" applyFont="1" applyAlignment="1">
      <alignment horizontal="center" vertical="center"/>
    </xf>
    <xf numFmtId="166" fontId="53" fillId="0" borderId="0" xfId="0" applyNumberFormat="1" applyFont="1" applyAlignment="1">
      <alignment horizontal="center" wrapText="1"/>
    </xf>
    <xf numFmtId="166" fontId="53" fillId="0" borderId="0" xfId="0" applyNumberFormat="1" applyFont="1" applyAlignment="1">
      <alignment horizontal="center" vertical="center" wrapText="1"/>
    </xf>
    <xf numFmtId="166" fontId="53" fillId="0" borderId="0" xfId="0" applyNumberFormat="1" applyFont="1" applyAlignment="1">
      <alignment vertical="center" wrapText="1"/>
    </xf>
    <xf numFmtId="9" fontId="53" fillId="0" borderId="0" xfId="44" applyFont="1" applyFill="1" applyAlignment="1">
      <alignment horizontal="center" vertical="center"/>
    </xf>
    <xf numFmtId="0" fontId="53" fillId="0" borderId="0" xfId="0" applyFont="1" applyAlignment="1">
      <alignment horizontal="left" vertical="center"/>
    </xf>
    <xf numFmtId="0" fontId="53" fillId="0" borderId="0" xfId="0" applyFont="1" applyAlignment="1">
      <alignment vertical="center"/>
    </xf>
    <xf numFmtId="0" fontId="50" fillId="0" borderId="0" xfId="0" applyFont="1" applyFill="1"/>
    <xf numFmtId="0" fontId="50" fillId="0" borderId="0" xfId="0" applyFont="1"/>
    <xf numFmtId="0" fontId="4" fillId="0" borderId="0" xfId="0" applyFont="1" applyAlignment="1">
      <alignment horizontal="center" vertical="center"/>
    </xf>
    <xf numFmtId="0" fontId="0" fillId="0" borderId="28" xfId="0" applyBorder="1"/>
    <xf numFmtId="0" fontId="9" fillId="0" borderId="0" xfId="0" applyFont="1" applyBorder="1"/>
    <xf numFmtId="0" fontId="8" fillId="0" borderId="0" xfId="0" applyFont="1" applyBorder="1"/>
    <xf numFmtId="0" fontId="41" fillId="0" borderId="28" xfId="0" applyFont="1" applyBorder="1"/>
    <xf numFmtId="0" fontId="8" fillId="0" borderId="0" xfId="0" applyFont="1" applyAlignment="1">
      <alignment horizontal="center" vertical="center" wrapText="1"/>
    </xf>
    <xf numFmtId="0" fontId="8" fillId="2" borderId="0" xfId="0" applyFont="1" applyFill="1" applyAlignment="1">
      <alignment horizontal="center" vertical="center" wrapText="1"/>
    </xf>
    <xf numFmtId="0" fontId="8" fillId="0" borderId="0" xfId="0" applyFont="1" applyFill="1" applyAlignment="1">
      <alignment horizontal="center" vertical="center" wrapText="1"/>
    </xf>
    <xf numFmtId="2" fontId="55" fillId="0" borderId="0" xfId="0" applyNumberFormat="1" applyFont="1" applyAlignment="1">
      <alignment horizontal="center" vertical="center"/>
    </xf>
    <xf numFmtId="2" fontId="8" fillId="0" borderId="0" xfId="0" applyNumberFormat="1" applyFont="1" applyAlignment="1">
      <alignment horizontal="center" vertical="center"/>
    </xf>
    <xf numFmtId="164" fontId="9" fillId="0" borderId="0" xfId="0" applyNumberFormat="1" applyFont="1" applyAlignment="1">
      <alignment horizontal="center" vertical="center"/>
    </xf>
    <xf numFmtId="166" fontId="40" fillId="0" borderId="0" xfId="0" applyNumberFormat="1" applyFont="1" applyAlignment="1">
      <alignment horizontal="center" vertical="center"/>
    </xf>
    <xf numFmtId="166" fontId="9" fillId="0" borderId="0" xfId="0" applyNumberFormat="1" applyFont="1" applyAlignment="1">
      <alignment horizontal="center" vertical="center"/>
    </xf>
    <xf numFmtId="2" fontId="40" fillId="0" borderId="0" xfId="0" applyNumberFormat="1" applyFont="1" applyAlignment="1">
      <alignment horizontal="center" vertical="center"/>
    </xf>
    <xf numFmtId="15" fontId="0" fillId="0" borderId="0" xfId="0" applyNumberFormat="1"/>
    <xf numFmtId="170" fontId="53" fillId="0" borderId="0" xfId="0" applyNumberFormat="1" applyFont="1"/>
    <xf numFmtId="0" fontId="7" fillId="0" borderId="0" xfId="0" applyFont="1" applyAlignment="1">
      <alignment vertical="top"/>
    </xf>
    <xf numFmtId="0" fontId="7" fillId="0" borderId="0" xfId="0" applyFont="1" applyAlignment="1">
      <alignment horizontal="center" vertical="top"/>
    </xf>
    <xf numFmtId="0" fontId="8" fillId="0" borderId="0" xfId="0" applyFont="1" applyAlignment="1">
      <alignment horizontal="center" vertical="center"/>
    </xf>
    <xf numFmtId="0" fontId="7" fillId="0" borderId="0" xfId="0" applyFont="1" applyAlignment="1">
      <alignment horizontal="center"/>
    </xf>
    <xf numFmtId="0" fontId="7" fillId="0" borderId="0" xfId="0" applyFont="1" applyAlignment="1">
      <alignment horizontal="left" vertical="top"/>
    </xf>
    <xf numFmtId="0" fontId="10" fillId="0" borderId="0" xfId="0" applyFont="1" applyAlignment="1">
      <alignment horizontal="center"/>
    </xf>
    <xf numFmtId="0" fontId="6" fillId="2" borderId="0" xfId="0" applyFont="1" applyFill="1" applyAlignment="1">
      <alignment horizontal="center"/>
    </xf>
    <xf numFmtId="0" fontId="38" fillId="0" borderId="0" xfId="49" applyFont="1" applyBorder="1" applyAlignment="1">
      <alignment wrapText="1"/>
    </xf>
    <xf numFmtId="0" fontId="37" fillId="0" borderId="0" xfId="52" applyBorder="1" applyAlignment="1">
      <alignment wrapText="1"/>
    </xf>
    <xf numFmtId="0" fontId="4" fillId="0" borderId="0" xfId="49" applyFont="1" applyAlignment="1">
      <alignment horizontal="left"/>
    </xf>
    <xf numFmtId="0" fontId="33" fillId="37" borderId="0" xfId="49" applyFont="1" applyFill="1" applyAlignment="1">
      <alignment horizontal="center"/>
    </xf>
    <xf numFmtId="0" fontId="6" fillId="0" borderId="0" xfId="49" applyFont="1" applyAlignment="1">
      <alignment horizontal="left" wrapText="1"/>
    </xf>
    <xf numFmtId="0" fontId="35" fillId="38" borderId="0" xfId="49" applyFont="1" applyFill="1" applyBorder="1" applyAlignment="1">
      <alignment horizontal="center" wrapText="1"/>
    </xf>
    <xf numFmtId="164" fontId="0" fillId="0" borderId="0" xfId="0" applyNumberFormat="1" applyAlignment="1">
      <alignment horizontal="center"/>
    </xf>
    <xf numFmtId="169" fontId="0" fillId="0" borderId="0" xfId="0" applyNumberFormat="1" applyAlignment="1">
      <alignment horizontal="center"/>
    </xf>
    <xf numFmtId="166" fontId="0" fillId="0" borderId="0" xfId="0" applyNumberFormat="1" applyAlignment="1">
      <alignment horizontal="center"/>
    </xf>
    <xf numFmtId="166" fontId="2" fillId="0" borderId="0" xfId="0" applyNumberFormat="1" applyFont="1" applyAlignment="1">
      <alignment horizontal="center"/>
    </xf>
    <xf numFmtId="0" fontId="7" fillId="0" borderId="0" xfId="0" applyFont="1" applyAlignment="1"/>
    <xf numFmtId="0" fontId="8" fillId="0" borderId="0" xfId="0" applyFont="1" applyAlignment="1">
      <alignment horizontal="left" vertical="center"/>
    </xf>
  </cellXfs>
  <cellStyles count="77">
    <cellStyle name="20% - Accent1" xfId="1" builtinId="30" customBuiltin="1"/>
    <cellStyle name="20% - Accent1 2" xfId="54"/>
    <cellStyle name="20% - Accent2" xfId="2" builtinId="34" customBuiltin="1"/>
    <cellStyle name="20% - Accent2 2" xfId="56"/>
    <cellStyle name="20% - Accent3" xfId="3" builtinId="38" customBuiltin="1"/>
    <cellStyle name="20% - Accent3 2" xfId="58"/>
    <cellStyle name="20% - Accent4" xfId="4" builtinId="42" customBuiltin="1"/>
    <cellStyle name="20% - Accent4 2" xfId="60"/>
    <cellStyle name="20% - Accent5" xfId="5" builtinId="46" customBuiltin="1"/>
    <cellStyle name="20% - Accent5 2" xfId="62"/>
    <cellStyle name="20% - Accent6" xfId="6" builtinId="50" customBuiltin="1"/>
    <cellStyle name="20% - Accent6 2" xfId="65"/>
    <cellStyle name="40% - Accent1" xfId="7" builtinId="31" customBuiltin="1"/>
    <cellStyle name="40% - Accent1 2" xfId="55"/>
    <cellStyle name="40% - Accent2" xfId="8" builtinId="35" customBuiltin="1"/>
    <cellStyle name="40% - Accent2 2" xfId="57"/>
    <cellStyle name="40% - Accent3" xfId="9" builtinId="39" customBuiltin="1"/>
    <cellStyle name="40% - Accent3 2" xfId="59"/>
    <cellStyle name="40% - Accent4" xfId="10" builtinId="43" customBuiltin="1"/>
    <cellStyle name="40% - Accent4 2" xfId="61"/>
    <cellStyle name="40% - Accent5" xfId="11" builtinId="47" customBuiltin="1"/>
    <cellStyle name="40% - Accent5 2" xfId="63"/>
    <cellStyle name="40% - Accent6" xfId="12" builtinId="51" customBuiltin="1"/>
    <cellStyle name="40% - Accent6 2" xfId="66"/>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50"/>
    <cellStyle name="Comma 3" xfId="68"/>
    <cellStyle name="Comma 4" xfId="6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Hyperlink 2" xfId="52"/>
    <cellStyle name="Hyperlink 3" xfId="75"/>
    <cellStyle name="Input" xfId="36" builtinId="20" customBuiltin="1"/>
    <cellStyle name="Linked Cell" xfId="37" builtinId="24" customBuiltin="1"/>
    <cellStyle name="Neutral" xfId="38" builtinId="28" customBuiltin="1"/>
    <cellStyle name="Normal" xfId="0" builtinId="0"/>
    <cellStyle name="Normal 2" xfId="39"/>
    <cellStyle name="Normal 2 2" xfId="53"/>
    <cellStyle name="Normal 2 3" xfId="69"/>
    <cellStyle name="Normal 3" xfId="40"/>
    <cellStyle name="Normal 3 2" xfId="70"/>
    <cellStyle name="Normal 4" xfId="49"/>
    <cellStyle name="Normal 5" xfId="67"/>
    <cellStyle name="Normal 6" xfId="76"/>
    <cellStyle name="Normal_Sheet3" xfId="51"/>
    <cellStyle name="Note 2" xfId="41"/>
    <cellStyle name="Note 2 2" xfId="71"/>
    <cellStyle name="Notes" xfId="42"/>
    <cellStyle name="Output" xfId="43" builtinId="21" customBuiltin="1"/>
    <cellStyle name="Percent" xfId="44" builtinId="5"/>
    <cellStyle name="Percent 2" xfId="45"/>
    <cellStyle name="Percent 2 2" xfId="73"/>
    <cellStyle name="Percent 3" xfId="72"/>
    <cellStyle name="Percent 4" xfId="74"/>
    <cellStyle name="Title" xfId="46" builtinId="15" customBuiltin="1"/>
    <cellStyle name="Total" xfId="47" builtinId="25" customBuiltin="1"/>
    <cellStyle name="Warning Text" xfId="48"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Foreign Debt % GDP w/o Outliers</a:t>
            </a:r>
          </a:p>
        </c:rich>
      </c:tx>
      <c:layout>
        <c:manualLayout>
          <c:xMode val="edge"/>
          <c:yMode val="edge"/>
          <c:x val="0.23569794050343248"/>
          <c:y val="3.7313432835820892E-2"/>
        </c:manualLayout>
      </c:layout>
      <c:overlay val="0"/>
      <c:spPr>
        <a:noFill/>
        <a:ln w="25400">
          <a:noFill/>
        </a:ln>
      </c:spPr>
    </c:title>
    <c:autoTitleDeleted val="0"/>
    <c:plotArea>
      <c:layout>
        <c:manualLayout>
          <c:layoutTarget val="inner"/>
          <c:xMode val="edge"/>
          <c:yMode val="edge"/>
          <c:x val="8.2379862700228831E-2"/>
          <c:y val="0.23134370507758767"/>
          <c:w val="0.8375286041189931"/>
          <c:h val="0.6679116646594869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2.0739833150146818E-2"/>
                  <c:y val="-0.23718173695463535"/>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('Ext Debt GDP'!$AZ$3:$AZ$7,'Ext Debt GDP'!$AZ$9,'Ext Debt GDP'!$AZ$11:$AZ$25,'Ext Debt GDP'!$AZ$27)</c:f>
              <c:numCache>
                <c:formatCode>0.00</c:formatCode>
                <c:ptCount val="22"/>
                <c:pt idx="0">
                  <c:v>0.5950830998444776</c:v>
                </c:pt>
                <c:pt idx="1">
                  <c:v>-0.45693880880915244</c:v>
                </c:pt>
                <c:pt idx="2">
                  <c:v>0.67623079527781549</c:v>
                </c:pt>
                <c:pt idx="3">
                  <c:v>-0.61150584772979599</c:v>
                </c:pt>
                <c:pt idx="4">
                  <c:v>-0.14200846700834113</c:v>
                </c:pt>
                <c:pt idx="5">
                  <c:v>-0.25761173153440581</c:v>
                </c:pt>
                <c:pt idx="6">
                  <c:v>5.4098463622225319E-2</c:v>
                </c:pt>
                <c:pt idx="7">
                  <c:v>2.4627681534689208</c:v>
                </c:pt>
                <c:pt idx="8">
                  <c:v>0.24440913029326769</c:v>
                </c:pt>
                <c:pt idx="9">
                  <c:v>-0.21542781049564677</c:v>
                </c:pt>
                <c:pt idx="10">
                  <c:v>0.41733100508573745</c:v>
                </c:pt>
                <c:pt idx="11">
                  <c:v>0.7728351946032177</c:v>
                </c:pt>
                <c:pt idx="12">
                  <c:v>9.8536487311910281E-2</c:v>
                </c:pt>
                <c:pt idx="13">
                  <c:v>0.4182970490789914</c:v>
                </c:pt>
                <c:pt idx="14">
                  <c:v>1.2558571912302285</c:v>
                </c:pt>
                <c:pt idx="15">
                  <c:v>0.42892353300478586</c:v>
                </c:pt>
                <c:pt idx="16">
                  <c:v>8.6943959392862535E-3</c:v>
                </c:pt>
                <c:pt idx="17">
                  <c:v>0.81340904231988675</c:v>
                </c:pt>
                <c:pt idx="18">
                  <c:v>0.6810610152440858</c:v>
                </c:pt>
                <c:pt idx="19">
                  <c:v>2.3697059154521165</c:v>
                </c:pt>
                <c:pt idx="20">
                  <c:v>0.49847870051907534</c:v>
                </c:pt>
                <c:pt idx="21">
                  <c:v>0.16873568415503587</c:v>
                </c:pt>
              </c:numCache>
            </c:numRef>
          </c:xVal>
          <c:yVal>
            <c:numRef>
              <c:f>('Ext Debt GDP'!$BC$3:$BC$7,'Ext Debt GDP'!$BC$9,'Ext Debt GDP'!$BC$11:$BC$25,'Ext Debt GDP'!$BC$27)</c:f>
              <c:numCache>
                <c:formatCode>0.0</c:formatCode>
                <c:ptCount val="22"/>
                <c:pt idx="0">
                  <c:v>2.0020947728582716</c:v>
                </c:pt>
                <c:pt idx="1">
                  <c:v>-0.39635974693114312</c:v>
                </c:pt>
                <c:pt idx="2">
                  <c:v>-0.6294262154227982</c:v>
                </c:pt>
                <c:pt idx="3">
                  <c:v>-0.83168842084935712</c:v>
                </c:pt>
                <c:pt idx="4">
                  <c:v>-0.38120442304983121</c:v>
                </c:pt>
                <c:pt idx="5">
                  <c:v>-0.79112747333719569</c:v>
                </c:pt>
                <c:pt idx="6">
                  <c:v>-0.25805852254475747</c:v>
                </c:pt>
                <c:pt idx="7">
                  <c:v>0.13131945839646217</c:v>
                </c:pt>
                <c:pt idx="8">
                  <c:v>-0.59725228106795902</c:v>
                </c:pt>
                <c:pt idx="9">
                  <c:v>-0.4830003499768008</c:v>
                </c:pt>
                <c:pt idx="10">
                  <c:v>1.3677813212425267</c:v>
                </c:pt>
                <c:pt idx="11">
                  <c:v>-0.44259059994467587</c:v>
                </c:pt>
                <c:pt idx="12">
                  <c:v>-0.50917974894666096</c:v>
                </c:pt>
                <c:pt idx="13">
                  <c:v>-0.22688515974898377</c:v>
                </c:pt>
                <c:pt idx="14">
                  <c:v>-0.56641688910991406</c:v>
                </c:pt>
                <c:pt idx="15">
                  <c:v>-0.39635974693114312</c:v>
                </c:pt>
                <c:pt idx="16">
                  <c:v>-0.49784438492862571</c:v>
                </c:pt>
                <c:pt idx="17">
                  <c:v>0.4803721820149891</c:v>
                </c:pt>
                <c:pt idx="18">
                  <c:v>-0.30428492857358325</c:v>
                </c:pt>
                <c:pt idx="19">
                  <c:v>1.6147624048822526</c:v>
                </c:pt>
                <c:pt idx="20">
                  <c:v>-0.21316176494331213</c:v>
                </c:pt>
                <c:pt idx="21">
                  <c:v>5.7294950964443578E-2</c:v>
                </c:pt>
              </c:numCache>
            </c:numRef>
          </c:yVal>
          <c:smooth val="0"/>
        </c:ser>
        <c:dLbls>
          <c:showLegendKey val="0"/>
          <c:showVal val="0"/>
          <c:showCatName val="0"/>
          <c:showSerName val="0"/>
          <c:showPercent val="0"/>
          <c:showBubbleSize val="0"/>
        </c:dLbls>
        <c:axId val="146999552"/>
        <c:axId val="147005440"/>
      </c:scatterChart>
      <c:valAx>
        <c:axId val="146999552"/>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47005440"/>
        <c:crosses val="autoZero"/>
        <c:crossBetween val="midCat"/>
      </c:valAx>
      <c:valAx>
        <c:axId val="147005440"/>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469995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Inflation Regression</a:t>
            </a:r>
            <a:r>
              <a:rPr lang="en-US" sz="1400" baseline="0"/>
              <a:t> (Linear and Polynomial)</a:t>
            </a:r>
            <a:endParaRPr lang="en-US" sz="1400"/>
          </a:p>
        </c:rich>
      </c:tx>
      <c:layout>
        <c:manualLayout>
          <c:xMode val="edge"/>
          <c:yMode val="edge"/>
          <c:x val="0.15441914769410392"/>
          <c:y val="3.5369730830429824E-2"/>
        </c:manualLayout>
      </c:layout>
      <c:overlay val="0"/>
      <c:spPr>
        <a:noFill/>
        <a:ln w="25400">
          <a:noFill/>
        </a:ln>
      </c:spPr>
    </c:title>
    <c:autoTitleDeleted val="0"/>
    <c:plotArea>
      <c:layout>
        <c:manualLayout>
          <c:layoutTarget val="inner"/>
          <c:xMode val="edge"/>
          <c:yMode val="edge"/>
          <c:x val="7.2544276974134805E-2"/>
          <c:y val="0.15455603137327131"/>
          <c:w val="0.87103594080338265"/>
          <c:h val="0.71704180064308687"/>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7.2082480176235919E-2"/>
                  <c:y val="0.3118971061093247"/>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5.134777592380637E-2"/>
                  <c:y val="-3.3319519270617486E-3"/>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(Inflation!$AV$4:$AV$8,Inflation!$AV$10:$AV$28)</c:f>
              <c:numCache>
                <c:formatCode>0.0</c:formatCode>
                <c:ptCount val="24"/>
                <c:pt idx="0">
                  <c:v>0.45939921047819565</c:v>
                </c:pt>
                <c:pt idx="1">
                  <c:v>-0.23280940167344286</c:v>
                </c:pt>
                <c:pt idx="2">
                  <c:v>-0.69701275955805952</c:v>
                </c:pt>
                <c:pt idx="3">
                  <c:v>-0.45645675734973384</c:v>
                </c:pt>
                <c:pt idx="4">
                  <c:v>-0.7053799248522622</c:v>
                </c:pt>
                <c:pt idx="5">
                  <c:v>0.6797345632255315</c:v>
                </c:pt>
                <c:pt idx="6">
                  <c:v>-0.61299247472877483</c:v>
                </c:pt>
                <c:pt idx="7">
                  <c:v>-7.9585687223357127E-2</c:v>
                </c:pt>
                <c:pt idx="8">
                  <c:v>0.26433966955709659</c:v>
                </c:pt>
                <c:pt idx="9">
                  <c:v>-0.8373370941795828</c:v>
                </c:pt>
                <c:pt idx="10">
                  <c:v>-0.69248054502369982</c:v>
                </c:pt>
                <c:pt idx="11">
                  <c:v>1.3764753899115296</c:v>
                </c:pt>
                <c:pt idx="12">
                  <c:v>-0.45053001526634034</c:v>
                </c:pt>
                <c:pt idx="13">
                  <c:v>-0.85546595231702172</c:v>
                </c:pt>
                <c:pt idx="14">
                  <c:v>-0.46953045312192548</c:v>
                </c:pt>
                <c:pt idx="15">
                  <c:v>-0.61891921681216833</c:v>
                </c:pt>
                <c:pt idx="16">
                  <c:v>0.29850559450842429</c:v>
                </c:pt>
                <c:pt idx="17">
                  <c:v>-0.46586981830571189</c:v>
                </c:pt>
                <c:pt idx="18">
                  <c:v>5.1325586442188084E-2</c:v>
                </c:pt>
                <c:pt idx="19">
                  <c:v>-0.33356401709113276</c:v>
                </c:pt>
                <c:pt idx="20">
                  <c:v>0.27427567834396227</c:v>
                </c:pt>
                <c:pt idx="21">
                  <c:v>-7.0172626267379273E-2</c:v>
                </c:pt>
                <c:pt idx="22">
                  <c:v>3.8677988562603627</c:v>
                </c:pt>
                <c:pt idx="23">
                  <c:v>1.0215681286824347</c:v>
                </c:pt>
              </c:numCache>
            </c:numRef>
          </c:xVal>
          <c:yVal>
            <c:numRef>
              <c:f>(Inflation!$AY$4:$AY$8,Inflation!$AY$10:$AY$28)</c:f>
              <c:numCache>
                <c:formatCode>0.0</c:formatCode>
                <c:ptCount val="24"/>
                <c:pt idx="0">
                  <c:v>1.4255405250063531</c:v>
                </c:pt>
                <c:pt idx="1">
                  <c:v>-0.49043451301485325</c:v>
                </c:pt>
                <c:pt idx="2">
                  <c:v>-0.6767951584626779</c:v>
                </c:pt>
                <c:pt idx="3">
                  <c:v>-0.36041566053529961</c:v>
                </c:pt>
                <c:pt idx="4">
                  <c:v>-0.58302567466255073</c:v>
                </c:pt>
                <c:pt idx="5">
                  <c:v>5.2153815465916083E-2</c:v>
                </c:pt>
                <c:pt idx="6">
                  <c:v>0.23579793496626733</c:v>
                </c:pt>
                <c:pt idx="7">
                  <c:v>-0.35838987515994025</c:v>
                </c:pt>
                <c:pt idx="8">
                  <c:v>0.12883472578450098</c:v>
                </c:pt>
                <c:pt idx="9">
                  <c:v>-0.61809672118954739</c:v>
                </c:pt>
                <c:pt idx="10">
                  <c:v>-0.48422075013713889</c:v>
                </c:pt>
                <c:pt idx="11">
                  <c:v>2.1692475485534328</c:v>
                </c:pt>
                <c:pt idx="12">
                  <c:v>-0.55505648603455771</c:v>
                </c:pt>
                <c:pt idx="13">
                  <c:v>-0.50718932529558414</c:v>
                </c:pt>
                <c:pt idx="14">
                  <c:v>-0.46284842419996541</c:v>
                </c:pt>
                <c:pt idx="15">
                  <c:v>-0.36315540465326435</c:v>
                </c:pt>
                <c:pt idx="16">
                  <c:v>-0.16466036285246269</c:v>
                </c:pt>
                <c:pt idx="17">
                  <c:v>-0.49266345738201095</c:v>
                </c:pt>
                <c:pt idx="18">
                  <c:v>0.16739140015649304</c:v>
                </c:pt>
                <c:pt idx="19">
                  <c:v>-0.24455989205539388</c:v>
                </c:pt>
                <c:pt idx="20">
                  <c:v>1.5328752249159792</c:v>
                </c:pt>
                <c:pt idx="21">
                  <c:v>-0.34765727585037098</c:v>
                </c:pt>
                <c:pt idx="22">
                  <c:v>2.7898082980863612</c:v>
                </c:pt>
                <c:pt idx="23">
                  <c:v>0.45654469091159733</c:v>
                </c:pt>
              </c:numCache>
            </c:numRef>
          </c:yVal>
          <c:smooth val="0"/>
        </c:ser>
        <c:dLbls>
          <c:showLegendKey val="0"/>
          <c:showVal val="0"/>
          <c:showCatName val="0"/>
          <c:showSerName val="0"/>
          <c:showPercent val="0"/>
          <c:showBubbleSize val="0"/>
        </c:dLbls>
        <c:axId val="150845312"/>
        <c:axId val="150846848"/>
      </c:scatterChart>
      <c:valAx>
        <c:axId val="15084531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0846848"/>
        <c:crosses val="autoZero"/>
        <c:crossBetween val="midCat"/>
      </c:valAx>
      <c:valAx>
        <c:axId val="150846848"/>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084531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026476578411409E-2"/>
          <c:y val="0.1"/>
          <c:w val="0.88798370672097759"/>
          <c:h val="0.80384615384615388"/>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poly"/>
            <c:order val="2"/>
            <c:dispRSqr val="1"/>
            <c:dispEq val="1"/>
            <c:trendlineLbl>
              <c:layout>
                <c:manualLayout>
                  <c:x val="9.2895638554345641E-2"/>
                  <c:y val="-0.47114718352513629"/>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'GDP g'!$AZ$4:$AZ$28</c:f>
              <c:numCache>
                <c:formatCode>0.0</c:formatCode>
                <c:ptCount val="25"/>
                <c:pt idx="0">
                  <c:v>0.55403526879276965</c:v>
                </c:pt>
                <c:pt idx="1">
                  <c:v>-0.25522382998415805</c:v>
                </c:pt>
                <c:pt idx="2">
                  <c:v>0.49311764682124248</c:v>
                </c:pt>
                <c:pt idx="3">
                  <c:v>2.4398557903423792</c:v>
                </c:pt>
                <c:pt idx="4">
                  <c:v>-0.17907680251974906</c:v>
                </c:pt>
                <c:pt idx="5">
                  <c:v>-0.91744039296774416</c:v>
                </c:pt>
                <c:pt idx="6">
                  <c:v>-2.0727746027725731</c:v>
                </c:pt>
                <c:pt idx="7">
                  <c:v>-1.1327526775222805</c:v>
                </c:pt>
                <c:pt idx="8">
                  <c:v>0.65801534767520453</c:v>
                </c:pt>
                <c:pt idx="9">
                  <c:v>0.52095069823926787</c:v>
                </c:pt>
                <c:pt idx="10">
                  <c:v>0.29040900819184973</c:v>
                </c:pt>
                <c:pt idx="11">
                  <c:v>-0.16017133363203342</c:v>
                </c:pt>
                <c:pt idx="12">
                  <c:v>-1.1537587540641865</c:v>
                </c:pt>
                <c:pt idx="13">
                  <c:v>1.2881976439323841</c:v>
                </c:pt>
                <c:pt idx="14">
                  <c:v>1.3412379872006965</c:v>
                </c:pt>
                <c:pt idx="15">
                  <c:v>3.1509114812855502E-3</c:v>
                </c:pt>
                <c:pt idx="16">
                  <c:v>-0.58501923169208203</c:v>
                </c:pt>
                <c:pt idx="17">
                  <c:v>-6.2493077712170643E-2</c:v>
                </c:pt>
                <c:pt idx="18">
                  <c:v>-0.74991693254604397</c:v>
                </c:pt>
                <c:pt idx="19">
                  <c:v>1.0518792828359416</c:v>
                </c:pt>
                <c:pt idx="20">
                  <c:v>-0.18222771400103507</c:v>
                </c:pt>
                <c:pt idx="21">
                  <c:v>-0.23474290535579986</c:v>
                </c:pt>
                <c:pt idx="22">
                  <c:v>2.7833051418024925E-2</c:v>
                </c:pt>
                <c:pt idx="23">
                  <c:v>-1.6720836927357168</c:v>
                </c:pt>
                <c:pt idx="24">
                  <c:v>0.68899931057451591</c:v>
                </c:pt>
              </c:numCache>
            </c:numRef>
          </c:xVal>
          <c:yVal>
            <c:numRef>
              <c:f>'GDP g'!$BC$4:$BC$28</c:f>
              <c:numCache>
                <c:formatCode>0.0</c:formatCode>
                <c:ptCount val="25"/>
                <c:pt idx="0">
                  <c:v>1.4255405250063531</c:v>
                </c:pt>
                <c:pt idx="1">
                  <c:v>-0.49043451301485325</c:v>
                </c:pt>
                <c:pt idx="2">
                  <c:v>-0.6767951584626779</c:v>
                </c:pt>
                <c:pt idx="3">
                  <c:v>-0.36041566053529961</c:v>
                </c:pt>
                <c:pt idx="4">
                  <c:v>-0.58302567466255073</c:v>
                </c:pt>
                <c:pt idx="5">
                  <c:v>1.4223422220211868</c:v>
                </c:pt>
                <c:pt idx="6">
                  <c:v>5.2153815465916083E-2</c:v>
                </c:pt>
                <c:pt idx="7">
                  <c:v>0.23579793496626733</c:v>
                </c:pt>
                <c:pt idx="8">
                  <c:v>-0.35838987515994025</c:v>
                </c:pt>
                <c:pt idx="9">
                  <c:v>0.12883472578450098</c:v>
                </c:pt>
                <c:pt idx="10">
                  <c:v>-0.61809672118954739</c:v>
                </c:pt>
                <c:pt idx="11">
                  <c:v>-0.48422075013713889</c:v>
                </c:pt>
                <c:pt idx="12">
                  <c:v>2.1692475485534328</c:v>
                </c:pt>
                <c:pt idx="13">
                  <c:v>-0.55505648603455771</c:v>
                </c:pt>
                <c:pt idx="14">
                  <c:v>-0.50718932529558414</c:v>
                </c:pt>
                <c:pt idx="15">
                  <c:v>-0.46284842419996541</c:v>
                </c:pt>
                <c:pt idx="16">
                  <c:v>-0.36315540465326435</c:v>
                </c:pt>
                <c:pt idx="17">
                  <c:v>-0.16466036285246269</c:v>
                </c:pt>
                <c:pt idx="18">
                  <c:v>-0.49266345738201095</c:v>
                </c:pt>
                <c:pt idx="19">
                  <c:v>0.16739140015649304</c:v>
                </c:pt>
                <c:pt idx="20">
                  <c:v>-0.24455989205539388</c:v>
                </c:pt>
                <c:pt idx="21">
                  <c:v>1.5328752249159792</c:v>
                </c:pt>
                <c:pt idx="22">
                  <c:v>-0.34765727585037098</c:v>
                </c:pt>
                <c:pt idx="23">
                  <c:v>2.7898082980863612</c:v>
                </c:pt>
                <c:pt idx="24">
                  <c:v>0.45654469091159733</c:v>
                </c:pt>
              </c:numCache>
            </c:numRef>
          </c:yVal>
          <c:smooth val="0"/>
        </c:ser>
        <c:dLbls>
          <c:showLegendKey val="0"/>
          <c:showVal val="0"/>
          <c:showCatName val="0"/>
          <c:showSerName val="0"/>
          <c:showPercent val="0"/>
          <c:showBubbleSize val="0"/>
        </c:dLbls>
        <c:axId val="148366848"/>
        <c:axId val="148368384"/>
      </c:scatterChart>
      <c:valAx>
        <c:axId val="14836684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48368384"/>
        <c:crosses val="autoZero"/>
        <c:crossBetween val="midCat"/>
      </c:valAx>
      <c:valAx>
        <c:axId val="14836838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4836684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GDP g% w/out Outlier</a:t>
            </a:r>
          </a:p>
        </c:rich>
      </c:tx>
      <c:layout>
        <c:manualLayout>
          <c:xMode val="edge"/>
          <c:yMode val="edge"/>
          <c:x val="0.38085539714867617"/>
          <c:y val="3.8461538461538464E-2"/>
        </c:manualLayout>
      </c:layout>
      <c:overlay val="0"/>
      <c:spPr>
        <a:noFill/>
        <a:ln w="25400">
          <a:noFill/>
        </a:ln>
      </c:spPr>
    </c:title>
    <c:autoTitleDeleted val="0"/>
    <c:plotArea>
      <c:layout>
        <c:manualLayout>
          <c:layoutTarget val="inner"/>
          <c:xMode val="edge"/>
          <c:yMode val="edge"/>
          <c:x val="5.7026476578411409E-2"/>
          <c:y val="0.21923076923076923"/>
          <c:w val="0.88798370672097759"/>
          <c:h val="0.6846153846153846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poly"/>
            <c:order val="2"/>
            <c:dispRSqr val="1"/>
            <c:dispEq val="1"/>
            <c:trendlineLbl>
              <c:layout>
                <c:manualLayout>
                  <c:x val="0.10518359339502116"/>
                  <c:y val="-0.34290490611750457"/>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linear"/>
            <c:dispRSqr val="1"/>
            <c:dispEq val="1"/>
            <c:trendlineLbl>
              <c:layout>
                <c:manualLayout>
                  <c:x val="-0.55048767580223557"/>
                  <c:y val="-0.48994589137896227"/>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('GDP g'!$AZ$4:$AZ$10,'GDP g'!$AZ$12:$AZ$28)</c:f>
              <c:numCache>
                <c:formatCode>0.0</c:formatCode>
                <c:ptCount val="24"/>
                <c:pt idx="0">
                  <c:v>0.55403526879276965</c:v>
                </c:pt>
                <c:pt idx="1">
                  <c:v>-0.25522382998415805</c:v>
                </c:pt>
                <c:pt idx="2">
                  <c:v>0.49311764682124248</c:v>
                </c:pt>
                <c:pt idx="3">
                  <c:v>2.4398557903423792</c:v>
                </c:pt>
                <c:pt idx="4">
                  <c:v>-0.17907680251974906</c:v>
                </c:pt>
                <c:pt idx="5">
                  <c:v>-0.91744039296774416</c:v>
                </c:pt>
                <c:pt idx="6">
                  <c:v>-2.0727746027725731</c:v>
                </c:pt>
                <c:pt idx="7">
                  <c:v>0.65801534767520453</c:v>
                </c:pt>
                <c:pt idx="8">
                  <c:v>0.52095069823926787</c:v>
                </c:pt>
                <c:pt idx="9">
                  <c:v>0.29040900819184973</c:v>
                </c:pt>
                <c:pt idx="10">
                  <c:v>-0.16017133363203342</c:v>
                </c:pt>
                <c:pt idx="11">
                  <c:v>-1.1537587540641865</c:v>
                </c:pt>
                <c:pt idx="12">
                  <c:v>1.2881976439323841</c:v>
                </c:pt>
                <c:pt idx="13">
                  <c:v>1.3412379872006965</c:v>
                </c:pt>
                <c:pt idx="14">
                  <c:v>3.1509114812855502E-3</c:v>
                </c:pt>
                <c:pt idx="15">
                  <c:v>-0.58501923169208203</c:v>
                </c:pt>
                <c:pt idx="16">
                  <c:v>-6.2493077712170643E-2</c:v>
                </c:pt>
                <c:pt idx="17">
                  <c:v>-0.74991693254604397</c:v>
                </c:pt>
                <c:pt idx="18">
                  <c:v>1.0518792828359416</c:v>
                </c:pt>
                <c:pt idx="19">
                  <c:v>-0.18222771400103507</c:v>
                </c:pt>
                <c:pt idx="20">
                  <c:v>-0.23474290535579986</c:v>
                </c:pt>
                <c:pt idx="21">
                  <c:v>2.7833051418024925E-2</c:v>
                </c:pt>
                <c:pt idx="22">
                  <c:v>-1.6720836927357168</c:v>
                </c:pt>
                <c:pt idx="23">
                  <c:v>0.68899931057451591</c:v>
                </c:pt>
              </c:numCache>
            </c:numRef>
          </c:xVal>
          <c:yVal>
            <c:numRef>
              <c:f>('GDP g'!$BC$4:$BC$10,'GDP g'!$BC$12:$BC$28)</c:f>
              <c:numCache>
                <c:formatCode>0.0</c:formatCode>
                <c:ptCount val="24"/>
                <c:pt idx="0">
                  <c:v>1.4255405250063531</c:v>
                </c:pt>
                <c:pt idx="1">
                  <c:v>-0.49043451301485325</c:v>
                </c:pt>
                <c:pt idx="2">
                  <c:v>-0.6767951584626779</c:v>
                </c:pt>
                <c:pt idx="3">
                  <c:v>-0.36041566053529961</c:v>
                </c:pt>
                <c:pt idx="4">
                  <c:v>-0.58302567466255073</c:v>
                </c:pt>
                <c:pt idx="5">
                  <c:v>1.4223422220211868</c:v>
                </c:pt>
                <c:pt idx="6">
                  <c:v>5.2153815465916083E-2</c:v>
                </c:pt>
                <c:pt idx="7">
                  <c:v>-0.35838987515994025</c:v>
                </c:pt>
                <c:pt idx="8">
                  <c:v>0.12883472578450098</c:v>
                </c:pt>
                <c:pt idx="9">
                  <c:v>-0.61809672118954739</c:v>
                </c:pt>
                <c:pt idx="10">
                  <c:v>-0.48422075013713889</c:v>
                </c:pt>
                <c:pt idx="11">
                  <c:v>2.1692475485534328</c:v>
                </c:pt>
                <c:pt idx="12">
                  <c:v>-0.55505648603455771</c:v>
                </c:pt>
                <c:pt idx="13">
                  <c:v>-0.50718932529558414</c:v>
                </c:pt>
                <c:pt idx="14">
                  <c:v>-0.46284842419996541</c:v>
                </c:pt>
                <c:pt idx="15">
                  <c:v>-0.36315540465326435</c:v>
                </c:pt>
                <c:pt idx="16">
                  <c:v>-0.16466036285246269</c:v>
                </c:pt>
                <c:pt idx="17">
                  <c:v>-0.49266345738201095</c:v>
                </c:pt>
                <c:pt idx="18">
                  <c:v>0.16739140015649304</c:v>
                </c:pt>
                <c:pt idx="19">
                  <c:v>-0.24455989205539388</c:v>
                </c:pt>
                <c:pt idx="20">
                  <c:v>1.5328752249159792</c:v>
                </c:pt>
                <c:pt idx="21">
                  <c:v>-0.34765727585037098</c:v>
                </c:pt>
                <c:pt idx="22">
                  <c:v>2.7898082980863612</c:v>
                </c:pt>
                <c:pt idx="23">
                  <c:v>0.45654469091159733</c:v>
                </c:pt>
              </c:numCache>
            </c:numRef>
          </c:yVal>
          <c:smooth val="0"/>
        </c:ser>
        <c:dLbls>
          <c:showLegendKey val="0"/>
          <c:showVal val="0"/>
          <c:showCatName val="0"/>
          <c:showSerName val="0"/>
          <c:showPercent val="0"/>
          <c:showBubbleSize val="0"/>
        </c:dLbls>
        <c:axId val="150150144"/>
        <c:axId val="150164224"/>
      </c:scatterChart>
      <c:valAx>
        <c:axId val="150150144"/>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0164224"/>
        <c:crosses val="autoZero"/>
        <c:crossBetween val="midCat"/>
      </c:valAx>
      <c:valAx>
        <c:axId val="15016422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01501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Ext Debt % Exports w/out Outliers</a:t>
            </a:r>
          </a:p>
        </c:rich>
      </c:tx>
      <c:layout>
        <c:manualLayout>
          <c:xMode val="edge"/>
          <c:yMode val="edge"/>
          <c:x val="0.31160896130346233"/>
          <c:y val="3.9215686274509803E-2"/>
        </c:manualLayout>
      </c:layout>
      <c:overlay val="0"/>
      <c:spPr>
        <a:noFill/>
        <a:ln w="25400">
          <a:noFill/>
        </a:ln>
      </c:spPr>
    </c:title>
    <c:autoTitleDeleted val="0"/>
    <c:plotArea>
      <c:layout>
        <c:manualLayout>
          <c:layoutTarget val="inner"/>
          <c:xMode val="edge"/>
          <c:yMode val="edge"/>
          <c:x val="5.7026476578411409E-2"/>
          <c:y val="0.22353026780893004"/>
          <c:w val="0.88798370672097759"/>
          <c:h val="0.67843397071833145"/>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9.922649689155431E-3"/>
                  <c:y val="-9.1640005462576821E-2"/>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0.19868050098625659"/>
                  <c:y val="0.16486981825834046"/>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('Ext Debt Expo'!$V$3:$V$7,'Ext Debt Expo'!$V$9:$V$25,'Ext Debt Expo'!$V$27)</c:f>
              <c:numCache>
                <c:formatCode>0.0</c:formatCode>
                <c:ptCount val="23"/>
                <c:pt idx="0">
                  <c:v>0.2963415539117295</c:v>
                </c:pt>
                <c:pt idx="1">
                  <c:v>0.3700750326049897</c:v>
                </c:pt>
                <c:pt idx="2">
                  <c:v>-0.61192084271888303</c:v>
                </c:pt>
                <c:pt idx="3">
                  <c:v>-1.5352650872640263</c:v>
                </c:pt>
                <c:pt idx="4">
                  <c:v>0.34661438029349773</c:v>
                </c:pt>
                <c:pt idx="5">
                  <c:v>-0.64543606030672851</c:v>
                </c:pt>
                <c:pt idx="6">
                  <c:v>0.17233524883670134</c:v>
                </c:pt>
                <c:pt idx="7">
                  <c:v>-4.3837904604901889E-2</c:v>
                </c:pt>
                <c:pt idx="8">
                  <c:v>1.1576826459193585</c:v>
                </c:pt>
                <c:pt idx="9">
                  <c:v>-1.3760678037217602</c:v>
                </c:pt>
                <c:pt idx="10">
                  <c:v>-0.75771203922601094</c:v>
                </c:pt>
                <c:pt idx="11">
                  <c:v>2.2201150434540602</c:v>
                </c:pt>
                <c:pt idx="12">
                  <c:v>-0.85658193111015501</c:v>
                </c:pt>
                <c:pt idx="13">
                  <c:v>-0.36893551520700318</c:v>
                </c:pt>
                <c:pt idx="14">
                  <c:v>-0.31028388442827359</c:v>
                </c:pt>
                <c:pt idx="15">
                  <c:v>-7.0650078675178418E-2</c:v>
                </c:pt>
                <c:pt idx="16">
                  <c:v>-0.12930170945390804</c:v>
                </c:pt>
                <c:pt idx="17">
                  <c:v>-0.47618421148810886</c:v>
                </c:pt>
                <c:pt idx="18">
                  <c:v>2.7144645028747814</c:v>
                </c:pt>
                <c:pt idx="19">
                  <c:v>0.59127546868477021</c:v>
                </c:pt>
                <c:pt idx="20">
                  <c:v>1.0286490582061536</c:v>
                </c:pt>
                <c:pt idx="21">
                  <c:v>0.31980220622322147</c:v>
                </c:pt>
                <c:pt idx="22">
                  <c:v>-1.0794581280693274</c:v>
                </c:pt>
              </c:numCache>
            </c:numRef>
          </c:xVal>
          <c:yVal>
            <c:numRef>
              <c:f>('Ext Debt Expo'!$Y$3:$Y$7,'Ext Debt Expo'!$Y$9:$Y$25,'Ext Debt Expo'!$Y$27)</c:f>
              <c:numCache>
                <c:formatCode>0.0</c:formatCode>
                <c:ptCount val="23"/>
                <c:pt idx="0">
                  <c:v>1.4255405250063531</c:v>
                </c:pt>
                <c:pt idx="1">
                  <c:v>-0.49043451301485325</c:v>
                </c:pt>
                <c:pt idx="2">
                  <c:v>-0.6767951584626779</c:v>
                </c:pt>
                <c:pt idx="3">
                  <c:v>-0.36041566053529961</c:v>
                </c:pt>
                <c:pt idx="4">
                  <c:v>-0.58302567466255073</c:v>
                </c:pt>
                <c:pt idx="5">
                  <c:v>5.2153815465916083E-2</c:v>
                </c:pt>
                <c:pt idx="6">
                  <c:v>0.23579793496626733</c:v>
                </c:pt>
                <c:pt idx="7">
                  <c:v>-0.35838987515994025</c:v>
                </c:pt>
                <c:pt idx="8">
                  <c:v>0.12883472578450098</c:v>
                </c:pt>
                <c:pt idx="9">
                  <c:v>-0.61809672118954739</c:v>
                </c:pt>
                <c:pt idx="10">
                  <c:v>-0.48422075013713889</c:v>
                </c:pt>
                <c:pt idx="11">
                  <c:v>2.1692475485534328</c:v>
                </c:pt>
                <c:pt idx="12">
                  <c:v>-0.55505648603455771</c:v>
                </c:pt>
                <c:pt idx="13">
                  <c:v>-0.50718932529558414</c:v>
                </c:pt>
                <c:pt idx="14">
                  <c:v>-0.46284842419996541</c:v>
                </c:pt>
                <c:pt idx="15">
                  <c:v>-0.36315540465326435</c:v>
                </c:pt>
                <c:pt idx="16">
                  <c:v>-0.16466036285246269</c:v>
                </c:pt>
                <c:pt idx="17">
                  <c:v>-0.49266345738201095</c:v>
                </c:pt>
                <c:pt idx="18">
                  <c:v>0.16739140015649304</c:v>
                </c:pt>
                <c:pt idx="19">
                  <c:v>-0.24455989205539388</c:v>
                </c:pt>
                <c:pt idx="20">
                  <c:v>1.5328752249159792</c:v>
                </c:pt>
                <c:pt idx="21">
                  <c:v>-0.34765727585037098</c:v>
                </c:pt>
                <c:pt idx="22">
                  <c:v>0.45654469091159733</c:v>
                </c:pt>
              </c:numCache>
            </c:numRef>
          </c:yVal>
          <c:smooth val="0"/>
        </c:ser>
        <c:dLbls>
          <c:showLegendKey val="0"/>
          <c:showVal val="0"/>
          <c:showCatName val="0"/>
          <c:showSerName val="0"/>
          <c:showPercent val="0"/>
          <c:showBubbleSize val="0"/>
        </c:dLbls>
        <c:axId val="151005824"/>
        <c:axId val="151007616"/>
      </c:scatterChart>
      <c:valAx>
        <c:axId val="151005824"/>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51007616"/>
        <c:crosses val="autoZero"/>
        <c:crossBetween val="midCat"/>
      </c:valAx>
      <c:valAx>
        <c:axId val="151007616"/>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5100582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Fiscal Balance w/out Outliers</a:t>
            </a:r>
          </a:p>
        </c:rich>
      </c:tx>
      <c:layout>
        <c:manualLayout>
          <c:xMode val="edge"/>
          <c:yMode val="edge"/>
          <c:x val="0.3380855397148676"/>
          <c:y val="3.8461538461538464E-2"/>
        </c:manualLayout>
      </c:layout>
      <c:overlay val="0"/>
      <c:spPr>
        <a:noFill/>
        <a:ln w="25400">
          <a:noFill/>
        </a:ln>
      </c:spPr>
    </c:title>
    <c:autoTitleDeleted val="0"/>
    <c:plotArea>
      <c:layout>
        <c:manualLayout>
          <c:layoutTarget val="inner"/>
          <c:xMode val="edge"/>
          <c:yMode val="edge"/>
          <c:x val="5.7026476578411409E-2"/>
          <c:y val="0.21923076923076923"/>
          <c:w val="0.88798370672097759"/>
          <c:h val="0.6846153846153846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8.6502985497484988E-2"/>
                  <c:y val="-0.40219382192610542"/>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0.43880601482859449"/>
                  <c:y val="-0.35695861094286291"/>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('Fiscal Bal'!$AO$4:$AO$7,'Fiscal Bal'!$AO$10:$AO$24,'Fiscal Bal'!$AO$27)</c:f>
              <c:numCache>
                <c:formatCode>0.0</c:formatCode>
                <c:ptCount val="20"/>
                <c:pt idx="0">
                  <c:v>0.29560494366364881</c:v>
                </c:pt>
                <c:pt idx="1">
                  <c:v>1.1119558055254706</c:v>
                </c:pt>
                <c:pt idx="2">
                  <c:v>0.68229745717714341</c:v>
                </c:pt>
                <c:pt idx="3">
                  <c:v>0.16670743915915073</c:v>
                </c:pt>
                <c:pt idx="4">
                  <c:v>0.16670743915915073</c:v>
                </c:pt>
                <c:pt idx="5">
                  <c:v>0.76822912684680889</c:v>
                </c:pt>
                <c:pt idx="6">
                  <c:v>0.16670743915915073</c:v>
                </c:pt>
                <c:pt idx="7">
                  <c:v>-0.6926092575375038</c:v>
                </c:pt>
                <c:pt idx="8">
                  <c:v>0.38153661333331435</c:v>
                </c:pt>
                <c:pt idx="9">
                  <c:v>-0.6926092575375038</c:v>
                </c:pt>
                <c:pt idx="10">
                  <c:v>1.6705116583782962</c:v>
                </c:pt>
                <c:pt idx="11">
                  <c:v>1.2408533100299688</c:v>
                </c:pt>
                <c:pt idx="12">
                  <c:v>3.7809934654652641E-2</c:v>
                </c:pt>
                <c:pt idx="13">
                  <c:v>-1.3370967800599947</c:v>
                </c:pt>
                <c:pt idx="14">
                  <c:v>0.16670743915915073</c:v>
                </c:pt>
                <c:pt idx="15">
                  <c:v>-0.43481424852850759</c:v>
                </c:pt>
                <c:pt idx="16">
                  <c:v>-1.4659942845644927</c:v>
                </c:pt>
                <c:pt idx="17">
                  <c:v>0.33857077849848161</c:v>
                </c:pt>
                <c:pt idx="18">
                  <c:v>-9.1087569849845645E-2</c:v>
                </c:pt>
                <c:pt idx="19">
                  <c:v>-1.6808234587386564</c:v>
                </c:pt>
              </c:numCache>
            </c:numRef>
          </c:xVal>
          <c:yVal>
            <c:numRef>
              <c:f>('Fiscal Bal'!$AR$4:$AR$7,'Fiscal Bal'!$AR$10:$AR$24,'Fiscal Bal'!$AR$27)</c:f>
              <c:numCache>
                <c:formatCode>0.0</c:formatCode>
                <c:ptCount val="20"/>
                <c:pt idx="0">
                  <c:v>-0.49043451301485325</c:v>
                </c:pt>
                <c:pt idx="1">
                  <c:v>-0.6767951584626779</c:v>
                </c:pt>
                <c:pt idx="2">
                  <c:v>-0.36041566053529961</c:v>
                </c:pt>
                <c:pt idx="3">
                  <c:v>-0.58302567466255073</c:v>
                </c:pt>
                <c:pt idx="4">
                  <c:v>0.23579793496626733</c:v>
                </c:pt>
                <c:pt idx="5">
                  <c:v>-0.35838987515994025</c:v>
                </c:pt>
                <c:pt idx="6">
                  <c:v>0.12883472578450098</c:v>
                </c:pt>
                <c:pt idx="7">
                  <c:v>-0.61809672118954739</c:v>
                </c:pt>
                <c:pt idx="8">
                  <c:v>-0.48422075013713889</c:v>
                </c:pt>
                <c:pt idx="9">
                  <c:v>2.1692475485534328</c:v>
                </c:pt>
                <c:pt idx="10">
                  <c:v>-0.55505648603455771</c:v>
                </c:pt>
                <c:pt idx="11">
                  <c:v>-0.50718932529558414</c:v>
                </c:pt>
                <c:pt idx="12">
                  <c:v>-0.46284842419996541</c:v>
                </c:pt>
                <c:pt idx="13">
                  <c:v>-0.36315540465326435</c:v>
                </c:pt>
                <c:pt idx="14">
                  <c:v>-0.16466036285246269</c:v>
                </c:pt>
                <c:pt idx="15">
                  <c:v>-0.49266345738201095</c:v>
                </c:pt>
                <c:pt idx="16">
                  <c:v>0.16739140015649304</c:v>
                </c:pt>
                <c:pt idx="17">
                  <c:v>-0.24455989205539388</c:v>
                </c:pt>
                <c:pt idx="18">
                  <c:v>1.5328752249159792</c:v>
                </c:pt>
                <c:pt idx="19">
                  <c:v>0.45654469091159733</c:v>
                </c:pt>
              </c:numCache>
            </c:numRef>
          </c:yVal>
          <c:smooth val="0"/>
        </c:ser>
        <c:dLbls>
          <c:showLegendKey val="0"/>
          <c:showVal val="0"/>
          <c:showCatName val="0"/>
          <c:showSerName val="0"/>
          <c:showPercent val="0"/>
          <c:showBubbleSize val="0"/>
        </c:dLbls>
        <c:axId val="151086208"/>
        <c:axId val="151087744"/>
      </c:scatterChart>
      <c:valAx>
        <c:axId val="15108620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1087744"/>
        <c:crosses val="autoZero"/>
        <c:crossBetween val="midCat"/>
      </c:valAx>
      <c:valAx>
        <c:axId val="15108774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108620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a:latin typeface="Arial" pitchFamily="34" charset="0"/>
                <a:cs typeface="Arial" pitchFamily="34" charset="0"/>
              </a:defRPr>
            </a:pPr>
            <a:r>
              <a:rPr lang="en-US" sz="800">
                <a:latin typeface="Arial" pitchFamily="34" charset="0"/>
                <a:cs typeface="Arial" pitchFamily="34" charset="0"/>
              </a:rPr>
              <a:t>Fiscal</a:t>
            </a:r>
            <a:r>
              <a:rPr lang="en-US" sz="800" baseline="0">
                <a:latin typeface="Arial" pitchFamily="34" charset="0"/>
                <a:cs typeface="Arial" pitchFamily="34" charset="0"/>
              </a:rPr>
              <a:t> Balance w/o Outliers</a:t>
            </a:r>
          </a:p>
        </c:rich>
      </c:tx>
      <c:layout/>
      <c:overlay val="0"/>
    </c:title>
    <c:autoTitleDeleted val="0"/>
    <c:plotArea>
      <c:layout>
        <c:manualLayout>
          <c:layoutTarget val="inner"/>
          <c:xMode val="edge"/>
          <c:yMode val="edge"/>
          <c:x val="7.4618110236220489E-2"/>
          <c:y val="0.18565981335666376"/>
          <c:w val="0.87723600174978122"/>
          <c:h val="0.7166433362496355"/>
        </c:manualLayout>
      </c:layout>
      <c:scatterChart>
        <c:scatterStyle val="lineMarker"/>
        <c:varyColors val="0"/>
        <c:ser>
          <c:idx val="0"/>
          <c:order val="0"/>
          <c:spPr>
            <a:ln w="28575">
              <a:noFill/>
            </a:ln>
          </c:spPr>
          <c:marker>
            <c:symbol val="diamond"/>
            <c:size val="6"/>
            <c:spPr>
              <a:solidFill>
                <a:schemeClr val="tx2"/>
              </a:solidFill>
            </c:spPr>
          </c:marker>
          <c:trendline>
            <c:spPr>
              <a:ln w="25400">
                <a:solidFill>
                  <a:schemeClr val="tx1"/>
                </a:solidFill>
              </a:ln>
            </c:spPr>
            <c:trendlineType val="linear"/>
            <c:dispRSqr val="1"/>
            <c:dispEq val="1"/>
            <c:trendlineLbl>
              <c:layout>
                <c:manualLayout>
                  <c:x val="0.104667104111986"/>
                  <c:y val="-0.50722440944881886"/>
                </c:manualLayout>
              </c:layout>
              <c:numFmt formatCode="General" sourceLinked="0"/>
              <c:txPr>
                <a:bodyPr/>
                <a:lstStyle/>
                <a:p>
                  <a:pPr>
                    <a:defRPr b="1"/>
                  </a:pPr>
                  <a:endParaRPr lang="en-US"/>
                </a:p>
              </c:txPr>
            </c:trendlineLbl>
          </c:trendline>
          <c:xVal>
            <c:numRef>
              <c:f>('Fiscal Bal'!$AO$4:$AO$7,'Fiscal Bal'!$AO$10:$AO$24,'Fiscal Bal'!$AO$27)</c:f>
              <c:numCache>
                <c:formatCode>0.0</c:formatCode>
                <c:ptCount val="20"/>
                <c:pt idx="0">
                  <c:v>0.29560494366364881</c:v>
                </c:pt>
                <c:pt idx="1">
                  <c:v>1.1119558055254706</c:v>
                </c:pt>
                <c:pt idx="2">
                  <c:v>0.68229745717714341</c:v>
                </c:pt>
                <c:pt idx="3">
                  <c:v>0.16670743915915073</c:v>
                </c:pt>
                <c:pt idx="4">
                  <c:v>0.16670743915915073</c:v>
                </c:pt>
                <c:pt idx="5">
                  <c:v>0.76822912684680889</c:v>
                </c:pt>
                <c:pt idx="6">
                  <c:v>0.16670743915915073</c:v>
                </c:pt>
                <c:pt idx="7">
                  <c:v>-0.6926092575375038</c:v>
                </c:pt>
                <c:pt idx="8">
                  <c:v>0.38153661333331435</c:v>
                </c:pt>
                <c:pt idx="9">
                  <c:v>-0.6926092575375038</c:v>
                </c:pt>
                <c:pt idx="10">
                  <c:v>1.6705116583782962</c:v>
                </c:pt>
                <c:pt idx="11">
                  <c:v>1.2408533100299688</c:v>
                </c:pt>
                <c:pt idx="12">
                  <c:v>3.7809934654652641E-2</c:v>
                </c:pt>
                <c:pt idx="13">
                  <c:v>-1.3370967800599947</c:v>
                </c:pt>
                <c:pt idx="14">
                  <c:v>0.16670743915915073</c:v>
                </c:pt>
                <c:pt idx="15">
                  <c:v>-0.43481424852850759</c:v>
                </c:pt>
                <c:pt idx="16">
                  <c:v>-1.4659942845644927</c:v>
                </c:pt>
                <c:pt idx="17">
                  <c:v>0.33857077849848161</c:v>
                </c:pt>
                <c:pt idx="18">
                  <c:v>-9.1087569849845645E-2</c:v>
                </c:pt>
                <c:pt idx="19">
                  <c:v>-1.6808234587386564</c:v>
                </c:pt>
              </c:numCache>
            </c:numRef>
          </c:xVal>
          <c:yVal>
            <c:numRef>
              <c:f>('Fiscal Bal'!$AR$4:$AR$7,'Fiscal Bal'!$AR$10:$AR$24,'Fiscal Bal'!$AR$27)</c:f>
              <c:numCache>
                <c:formatCode>0.0</c:formatCode>
                <c:ptCount val="20"/>
                <c:pt idx="0">
                  <c:v>-0.49043451301485325</c:v>
                </c:pt>
                <c:pt idx="1">
                  <c:v>-0.6767951584626779</c:v>
                </c:pt>
                <c:pt idx="2">
                  <c:v>-0.36041566053529961</c:v>
                </c:pt>
                <c:pt idx="3">
                  <c:v>-0.58302567466255073</c:v>
                </c:pt>
                <c:pt idx="4">
                  <c:v>0.23579793496626733</c:v>
                </c:pt>
                <c:pt idx="5">
                  <c:v>-0.35838987515994025</c:v>
                </c:pt>
                <c:pt idx="6">
                  <c:v>0.12883472578450098</c:v>
                </c:pt>
                <c:pt idx="7">
                  <c:v>-0.61809672118954739</c:v>
                </c:pt>
                <c:pt idx="8">
                  <c:v>-0.48422075013713889</c:v>
                </c:pt>
                <c:pt idx="9">
                  <c:v>2.1692475485534328</c:v>
                </c:pt>
                <c:pt idx="10">
                  <c:v>-0.55505648603455771</c:v>
                </c:pt>
                <c:pt idx="11">
                  <c:v>-0.50718932529558414</c:v>
                </c:pt>
                <c:pt idx="12">
                  <c:v>-0.46284842419996541</c:v>
                </c:pt>
                <c:pt idx="13">
                  <c:v>-0.36315540465326435</c:v>
                </c:pt>
                <c:pt idx="14">
                  <c:v>-0.16466036285246269</c:v>
                </c:pt>
                <c:pt idx="15">
                  <c:v>-0.49266345738201095</c:v>
                </c:pt>
                <c:pt idx="16">
                  <c:v>0.16739140015649304</c:v>
                </c:pt>
                <c:pt idx="17">
                  <c:v>-0.24455989205539388</c:v>
                </c:pt>
                <c:pt idx="18">
                  <c:v>1.5328752249159792</c:v>
                </c:pt>
                <c:pt idx="19">
                  <c:v>0.45654469091159733</c:v>
                </c:pt>
              </c:numCache>
            </c:numRef>
          </c:yVal>
          <c:smooth val="0"/>
        </c:ser>
        <c:dLbls>
          <c:showLegendKey val="0"/>
          <c:showVal val="0"/>
          <c:showCatName val="0"/>
          <c:showSerName val="0"/>
          <c:showPercent val="0"/>
          <c:showBubbleSize val="0"/>
        </c:dLbls>
        <c:axId val="151112704"/>
        <c:axId val="151122688"/>
      </c:scatterChart>
      <c:valAx>
        <c:axId val="151112704"/>
        <c:scaling>
          <c:orientation val="minMax"/>
        </c:scaling>
        <c:delete val="0"/>
        <c:axPos val="b"/>
        <c:numFmt formatCode="0.0"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151122688"/>
        <c:crosses val="autoZero"/>
        <c:crossBetween val="midCat"/>
      </c:valAx>
      <c:valAx>
        <c:axId val="151122688"/>
        <c:scaling>
          <c:orientation val="minMax"/>
          <c:max val="2"/>
          <c:min val="-1"/>
        </c:scaling>
        <c:delete val="0"/>
        <c:axPos val="l"/>
        <c:numFmt formatCode="0.0" sourceLinked="1"/>
        <c:majorTickMark val="out"/>
        <c:minorTickMark val="none"/>
        <c:tickLblPos val="nextTo"/>
        <c:txPr>
          <a:bodyPr/>
          <a:lstStyle/>
          <a:p>
            <a:pPr>
              <a:defRPr b="1"/>
            </a:pPr>
            <a:endParaRPr lang="en-US"/>
          </a:p>
        </c:txPr>
        <c:crossAx val="151112704"/>
        <c:crosses val="autoZero"/>
        <c:crossBetween val="midCat"/>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Savings w/o Outliers</a:t>
            </a:r>
          </a:p>
        </c:rich>
      </c:tx>
      <c:layout>
        <c:manualLayout>
          <c:xMode val="edge"/>
          <c:yMode val="edge"/>
          <c:x val="0.38289205702647655"/>
          <c:y val="3.8461538461538464E-2"/>
        </c:manualLayout>
      </c:layout>
      <c:overlay val="0"/>
      <c:spPr>
        <a:noFill/>
        <a:ln w="25400">
          <a:noFill/>
        </a:ln>
      </c:spPr>
    </c:title>
    <c:autoTitleDeleted val="0"/>
    <c:plotArea>
      <c:layout>
        <c:manualLayout>
          <c:layoutTarget val="inner"/>
          <c:xMode val="edge"/>
          <c:yMode val="edge"/>
          <c:x val="5.7026476578411409E-2"/>
          <c:y val="0.21923076923076923"/>
          <c:w val="0.88798370672097759"/>
          <c:h val="0.6846153846153846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17549507940835299"/>
                  <c:y val="-0.31048616999798107"/>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0.13816401259414879"/>
                  <c:y val="-0.51004562891177074"/>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(Savings!$N$3:$N$15,Savings!$N$17:$N$18,Savings!$N$20:$N$27)</c:f>
              <c:numCache>
                <c:formatCode>0.0</c:formatCode>
                <c:ptCount val="23"/>
                <c:pt idx="0">
                  <c:v>-0.17588516575445234</c:v>
                </c:pt>
                <c:pt idx="1">
                  <c:v>-0.80669185604126203</c:v>
                </c:pt>
                <c:pt idx="2">
                  <c:v>0.44078672115438283</c:v>
                </c:pt>
                <c:pt idx="3">
                  <c:v>3.2665421034379558</c:v>
                </c:pt>
                <c:pt idx="4">
                  <c:v>-0.4078493421201248</c:v>
                </c:pt>
                <c:pt idx="5">
                  <c:v>-0.25105163953189741</c:v>
                </c:pt>
                <c:pt idx="6">
                  <c:v>-1.0073184063131306</c:v>
                </c:pt>
                <c:pt idx="7">
                  <c:v>-0.5556621309332056</c:v>
                </c:pt>
                <c:pt idx="8">
                  <c:v>1.0817836185276388</c:v>
                </c:pt>
                <c:pt idx="9">
                  <c:v>1.63052079152683</c:v>
                </c:pt>
                <c:pt idx="10">
                  <c:v>0.95993942196711535</c:v>
                </c:pt>
                <c:pt idx="11">
                  <c:v>0.12346586392481866</c:v>
                </c:pt>
                <c:pt idx="12">
                  <c:v>-0.78006583107344962</c:v>
                </c:pt>
                <c:pt idx="13">
                  <c:v>7.514455935360409E-2</c:v>
                </c:pt>
                <c:pt idx="14">
                  <c:v>-0.63608806643268745</c:v>
                </c:pt>
                <c:pt idx="15">
                  <c:v>0.60240559698781049</c:v>
                </c:pt>
                <c:pt idx="16">
                  <c:v>-0.6679735531225367</c:v>
                </c:pt>
                <c:pt idx="17">
                  <c:v>-0.12734471694481969</c:v>
                </c:pt>
                <c:pt idx="18">
                  <c:v>-1.0736095384346385</c:v>
                </c:pt>
                <c:pt idx="19">
                  <c:v>-0.71114496809092365</c:v>
                </c:pt>
                <c:pt idx="20">
                  <c:v>-0.4195735588754988</c:v>
                </c:pt>
                <c:pt idx="21">
                  <c:v>0.35104715552212706</c:v>
                </c:pt>
                <c:pt idx="22">
                  <c:v>0.86548825520886863</c:v>
                </c:pt>
              </c:numCache>
            </c:numRef>
          </c:xVal>
          <c:yVal>
            <c:numRef>
              <c:f>(Savings!$Q$3:$Q$15,Savings!$Q$17:$Q$18,Savings!$Q$20:$Q$27)</c:f>
              <c:numCache>
                <c:formatCode>0.0</c:formatCode>
                <c:ptCount val="23"/>
                <c:pt idx="0">
                  <c:v>1.4255405250063531</c:v>
                </c:pt>
                <c:pt idx="1">
                  <c:v>-0.49043451301485325</c:v>
                </c:pt>
                <c:pt idx="2">
                  <c:v>-0.6767951584626779</c:v>
                </c:pt>
                <c:pt idx="3">
                  <c:v>-0.36041566053529961</c:v>
                </c:pt>
                <c:pt idx="4">
                  <c:v>-0.58302567466255073</c:v>
                </c:pt>
                <c:pt idx="5">
                  <c:v>1.4223422220211868</c:v>
                </c:pt>
                <c:pt idx="6">
                  <c:v>5.2153815465916083E-2</c:v>
                </c:pt>
                <c:pt idx="7">
                  <c:v>0.23579793496626733</c:v>
                </c:pt>
                <c:pt idx="8">
                  <c:v>-0.35838987515994025</c:v>
                </c:pt>
                <c:pt idx="9">
                  <c:v>0.12883472578450098</c:v>
                </c:pt>
                <c:pt idx="10">
                  <c:v>-0.61809672118954739</c:v>
                </c:pt>
                <c:pt idx="11">
                  <c:v>-0.48422075013713889</c:v>
                </c:pt>
                <c:pt idx="12">
                  <c:v>2.1692475485534328</c:v>
                </c:pt>
                <c:pt idx="13">
                  <c:v>-0.50718932529558414</c:v>
                </c:pt>
                <c:pt idx="14">
                  <c:v>-0.46284842419996541</c:v>
                </c:pt>
                <c:pt idx="15">
                  <c:v>-0.16466036285246269</c:v>
                </c:pt>
                <c:pt idx="16">
                  <c:v>-0.49266345738201095</c:v>
                </c:pt>
                <c:pt idx="17">
                  <c:v>0.16739140015649304</c:v>
                </c:pt>
                <c:pt idx="18">
                  <c:v>-0.24455989205539388</c:v>
                </c:pt>
                <c:pt idx="19">
                  <c:v>1.5328752249159792</c:v>
                </c:pt>
                <c:pt idx="20">
                  <c:v>-0.34765727585037098</c:v>
                </c:pt>
                <c:pt idx="21">
                  <c:v>2.7898082980863612</c:v>
                </c:pt>
                <c:pt idx="22">
                  <c:v>0.45654469091159733</c:v>
                </c:pt>
              </c:numCache>
            </c:numRef>
          </c:yVal>
          <c:smooth val="0"/>
        </c:ser>
        <c:dLbls>
          <c:showLegendKey val="0"/>
          <c:showVal val="0"/>
          <c:showCatName val="0"/>
          <c:showSerName val="0"/>
          <c:showPercent val="0"/>
          <c:showBubbleSize val="0"/>
        </c:dLbls>
        <c:axId val="152223104"/>
        <c:axId val="152228992"/>
      </c:scatterChart>
      <c:valAx>
        <c:axId val="152223104"/>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228992"/>
        <c:crosses val="autoZero"/>
        <c:crossBetween val="midCat"/>
      </c:valAx>
      <c:valAx>
        <c:axId val="152228992"/>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22310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FDI w/o Outliers</a:t>
            </a:r>
          </a:p>
        </c:rich>
      </c:tx>
      <c:layout>
        <c:manualLayout>
          <c:xMode val="edge"/>
          <c:yMode val="edge"/>
          <c:x val="0.40936863543788188"/>
          <c:y val="3.8461538461538464E-2"/>
        </c:manualLayout>
      </c:layout>
      <c:overlay val="0"/>
      <c:spPr>
        <a:noFill/>
        <a:ln w="25400">
          <a:noFill/>
        </a:ln>
      </c:spPr>
    </c:title>
    <c:autoTitleDeleted val="0"/>
    <c:plotArea>
      <c:layout>
        <c:manualLayout>
          <c:layoutTarget val="inner"/>
          <c:xMode val="edge"/>
          <c:yMode val="edge"/>
          <c:x val="5.7026476578411409E-2"/>
          <c:y val="0.21923076923076923"/>
          <c:w val="0.88798370672097759"/>
          <c:h val="0.6846153846153846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8.636207643087386E-2"/>
                  <c:y val="-0.28698162729658788"/>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9.8166792287420285E-2"/>
                  <c:y val="-0.41811346658590753"/>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(FDI!$AE$3:$AE$12,FDI!$AE$14:$AE$26)</c:f>
              <c:numCache>
                <c:formatCode>0.0</c:formatCode>
                <c:ptCount val="23"/>
                <c:pt idx="0">
                  <c:v>-0.24891911442958042</c:v>
                </c:pt>
                <c:pt idx="1">
                  <c:v>0.38837379901964642</c:v>
                </c:pt>
                <c:pt idx="2">
                  <c:v>0.500837254334216</c:v>
                </c:pt>
                <c:pt idx="3">
                  <c:v>5.0983433075938112E-2</c:v>
                </c:pt>
                <c:pt idx="4">
                  <c:v>-0.99867548319337673</c:v>
                </c:pt>
                <c:pt idx="5">
                  <c:v>-0.36138256974414984</c:v>
                </c:pt>
                <c:pt idx="6">
                  <c:v>-9.8967840676821114E-2</c:v>
                </c:pt>
                <c:pt idx="7">
                  <c:v>1.138130167783443</c:v>
                </c:pt>
                <c:pt idx="8">
                  <c:v>-0.1739434775532008</c:v>
                </c:pt>
                <c:pt idx="9">
                  <c:v>-1.5235049413280342</c:v>
                </c:pt>
                <c:pt idx="10">
                  <c:v>-0.47384602505871937</c:v>
                </c:pt>
                <c:pt idx="11">
                  <c:v>-0.32389475130596007</c:v>
                </c:pt>
                <c:pt idx="12">
                  <c:v>2.4876916315582762</c:v>
                </c:pt>
                <c:pt idx="13">
                  <c:v>0.83822762027792419</c:v>
                </c:pt>
                <c:pt idx="14">
                  <c:v>-0.43635820662052949</c:v>
                </c:pt>
                <c:pt idx="15">
                  <c:v>-0.58630948037328878</c:v>
                </c:pt>
                <c:pt idx="16">
                  <c:v>-0.96118766475518691</c:v>
                </c:pt>
                <c:pt idx="17">
                  <c:v>-0.54882166193509885</c:v>
                </c:pt>
                <c:pt idx="18">
                  <c:v>-0.39887038818233966</c:v>
                </c:pt>
                <c:pt idx="19">
                  <c:v>-0.21143129599139057</c:v>
                </c:pt>
                <c:pt idx="20">
                  <c:v>1.0631545309070634</c:v>
                </c:pt>
                <c:pt idx="21">
                  <c:v>1.4005448968507714</c:v>
                </c:pt>
                <c:pt idx="22">
                  <c:v>-1.2610902122607053</c:v>
                </c:pt>
              </c:numCache>
            </c:numRef>
          </c:xVal>
          <c:yVal>
            <c:numRef>
              <c:f>(FDI!$AH$3:$AH$12,FDI!$AH$14:$AH$26)</c:f>
              <c:numCache>
                <c:formatCode>0.0</c:formatCode>
                <c:ptCount val="23"/>
                <c:pt idx="0">
                  <c:v>1.4255405250063531</c:v>
                </c:pt>
                <c:pt idx="1">
                  <c:v>-0.49043451301485325</c:v>
                </c:pt>
                <c:pt idx="2">
                  <c:v>-0.6767951584626779</c:v>
                </c:pt>
                <c:pt idx="3">
                  <c:v>-0.36041566053529961</c:v>
                </c:pt>
                <c:pt idx="4">
                  <c:v>-0.58302567466255073</c:v>
                </c:pt>
                <c:pt idx="5">
                  <c:v>1.4223422220211868</c:v>
                </c:pt>
                <c:pt idx="6">
                  <c:v>5.2153815465916083E-2</c:v>
                </c:pt>
                <c:pt idx="7">
                  <c:v>0.23579793496626733</c:v>
                </c:pt>
                <c:pt idx="8">
                  <c:v>-0.35838987515994025</c:v>
                </c:pt>
                <c:pt idx="9">
                  <c:v>0.12883472578450098</c:v>
                </c:pt>
                <c:pt idx="10">
                  <c:v>-0.48422075013713889</c:v>
                </c:pt>
                <c:pt idx="11">
                  <c:v>2.1692475485534328</c:v>
                </c:pt>
                <c:pt idx="12">
                  <c:v>-0.55505648603455771</c:v>
                </c:pt>
                <c:pt idx="13">
                  <c:v>-0.50718932529558414</c:v>
                </c:pt>
                <c:pt idx="14">
                  <c:v>-0.46284842419996541</c:v>
                </c:pt>
                <c:pt idx="15">
                  <c:v>-0.36315540465326435</c:v>
                </c:pt>
                <c:pt idx="16">
                  <c:v>-0.16466036285246269</c:v>
                </c:pt>
                <c:pt idx="17">
                  <c:v>-0.49266345738201095</c:v>
                </c:pt>
                <c:pt idx="18">
                  <c:v>0.16739140015649304</c:v>
                </c:pt>
                <c:pt idx="19">
                  <c:v>-0.24455989205539388</c:v>
                </c:pt>
                <c:pt idx="20">
                  <c:v>1.5328752249159792</c:v>
                </c:pt>
                <c:pt idx="21">
                  <c:v>-0.34765727585037098</c:v>
                </c:pt>
                <c:pt idx="22">
                  <c:v>2.7898082980863612</c:v>
                </c:pt>
              </c:numCache>
            </c:numRef>
          </c:yVal>
          <c:smooth val="0"/>
        </c:ser>
        <c:dLbls>
          <c:showLegendKey val="0"/>
          <c:showVal val="0"/>
          <c:showCatName val="0"/>
          <c:showSerName val="0"/>
          <c:showPercent val="0"/>
          <c:showBubbleSize val="0"/>
        </c:dLbls>
        <c:axId val="152505728"/>
        <c:axId val="152523904"/>
      </c:scatterChart>
      <c:valAx>
        <c:axId val="15250572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523904"/>
        <c:crosses val="autoZero"/>
        <c:crossBetween val="midCat"/>
      </c:valAx>
      <c:valAx>
        <c:axId val="15252390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250572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Current Account w/o Outliers</a:t>
            </a:r>
          </a:p>
        </c:rich>
      </c:tx>
      <c:layout>
        <c:manualLayout>
          <c:xMode val="edge"/>
          <c:yMode val="edge"/>
          <c:x val="0.29876620977933316"/>
          <c:y val="3.8461538461538464E-2"/>
        </c:manualLayout>
      </c:layout>
      <c:overlay val="0"/>
      <c:spPr>
        <a:noFill/>
        <a:ln w="25400">
          <a:noFill/>
        </a:ln>
      </c:spPr>
    </c:title>
    <c:autoTitleDeleted val="0"/>
    <c:plotArea>
      <c:layout>
        <c:manualLayout>
          <c:layoutTarget val="inner"/>
          <c:xMode val="edge"/>
          <c:yMode val="edge"/>
          <c:x val="7.6543394442984289E-2"/>
          <c:y val="0.21923076923076923"/>
          <c:w val="0.84938476414150299"/>
          <c:h val="0.6846153846153846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1.579534355103699E-2"/>
                  <c:y val="-0.28740884312537851"/>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6.4552372538198802E-2"/>
                  <c:y val="-0.53690167575206948"/>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('CA GDP'!$AX$4:$AX$16,'CA GDP'!$AX$18:$AX$26)</c:f>
              <c:numCache>
                <c:formatCode>0.00</c:formatCode>
                <c:ptCount val="22"/>
                <c:pt idx="0">
                  <c:v>0.14426886920628698</c:v>
                </c:pt>
                <c:pt idx="1">
                  <c:v>-0.38619497198461339</c:v>
                </c:pt>
                <c:pt idx="2">
                  <c:v>0.22563679445750329</c:v>
                </c:pt>
                <c:pt idx="3">
                  <c:v>1.2447012689202002</c:v>
                </c:pt>
                <c:pt idx="4">
                  <c:v>-0.28930031703570125</c:v>
                </c:pt>
                <c:pt idx="5">
                  <c:v>-0.67255503742186484</c:v>
                </c:pt>
                <c:pt idx="6">
                  <c:v>-0.28576258115521352</c:v>
                </c:pt>
                <c:pt idx="7">
                  <c:v>0.40684748789137143</c:v>
                </c:pt>
                <c:pt idx="8">
                  <c:v>0.29658805294950591</c:v>
                </c:pt>
                <c:pt idx="9">
                  <c:v>1.2688757974368658</c:v>
                </c:pt>
                <c:pt idx="10">
                  <c:v>2.3612500209785567</c:v>
                </c:pt>
                <c:pt idx="11">
                  <c:v>-5.4433962747770175E-2</c:v>
                </c:pt>
                <c:pt idx="12">
                  <c:v>-0.17412736003760282</c:v>
                </c:pt>
                <c:pt idx="13">
                  <c:v>-0.28202830439247661</c:v>
                </c:pt>
                <c:pt idx="14">
                  <c:v>0.69477988038661753</c:v>
                </c:pt>
                <c:pt idx="15">
                  <c:v>-0.64661164096495538</c:v>
                </c:pt>
                <c:pt idx="16">
                  <c:v>1.2126651051135617</c:v>
                </c:pt>
                <c:pt idx="17">
                  <c:v>-0.73584120150614418</c:v>
                </c:pt>
                <c:pt idx="18">
                  <c:v>-0.688867930648558</c:v>
                </c:pt>
                <c:pt idx="19">
                  <c:v>-1.4573427802433785</c:v>
                </c:pt>
                <c:pt idx="20">
                  <c:v>-0.5894182442304049</c:v>
                </c:pt>
                <c:pt idx="21">
                  <c:v>-8.3915095085167368E-2</c:v>
                </c:pt>
              </c:numCache>
            </c:numRef>
          </c:xVal>
          <c:yVal>
            <c:numRef>
              <c:f>('CA GDP'!$BA$4:$BA$16,'CA GDP'!$BA$18:$BA$26)</c:f>
              <c:numCache>
                <c:formatCode>0.0</c:formatCode>
                <c:ptCount val="22"/>
                <c:pt idx="0">
                  <c:v>1.4255405250063531</c:v>
                </c:pt>
                <c:pt idx="1">
                  <c:v>-0.49043451301485325</c:v>
                </c:pt>
                <c:pt idx="2">
                  <c:v>-0.6767951584626779</c:v>
                </c:pt>
                <c:pt idx="3">
                  <c:v>-0.36041566053529961</c:v>
                </c:pt>
                <c:pt idx="4">
                  <c:v>-0.58302567466255073</c:v>
                </c:pt>
                <c:pt idx="5">
                  <c:v>1.4223422220211868</c:v>
                </c:pt>
                <c:pt idx="6">
                  <c:v>5.2153815465916083E-2</c:v>
                </c:pt>
                <c:pt idx="7">
                  <c:v>0.23579793496626733</c:v>
                </c:pt>
                <c:pt idx="8">
                  <c:v>-0.35838987515994025</c:v>
                </c:pt>
                <c:pt idx="9">
                  <c:v>0.12883472578450098</c:v>
                </c:pt>
                <c:pt idx="10">
                  <c:v>-0.61809672118954739</c:v>
                </c:pt>
                <c:pt idx="11">
                  <c:v>-0.48422075013713889</c:v>
                </c:pt>
                <c:pt idx="12">
                  <c:v>2.1692475485534328</c:v>
                </c:pt>
                <c:pt idx="13">
                  <c:v>-0.50718932529558414</c:v>
                </c:pt>
                <c:pt idx="14">
                  <c:v>-0.46284842419996541</c:v>
                </c:pt>
                <c:pt idx="15">
                  <c:v>-0.36315540465326435</c:v>
                </c:pt>
                <c:pt idx="16">
                  <c:v>-0.16466036285246269</c:v>
                </c:pt>
                <c:pt idx="17">
                  <c:v>-0.49266345738201095</c:v>
                </c:pt>
                <c:pt idx="18">
                  <c:v>0.16739140015649304</c:v>
                </c:pt>
                <c:pt idx="19">
                  <c:v>-0.24455989205539388</c:v>
                </c:pt>
                <c:pt idx="20">
                  <c:v>1.5328752249159792</c:v>
                </c:pt>
                <c:pt idx="21">
                  <c:v>-0.34765727585037098</c:v>
                </c:pt>
              </c:numCache>
            </c:numRef>
          </c:yVal>
          <c:smooth val="0"/>
        </c:ser>
        <c:dLbls>
          <c:showLegendKey val="0"/>
          <c:showVal val="0"/>
          <c:showCatName val="0"/>
          <c:showSerName val="0"/>
          <c:showPercent val="0"/>
          <c:showBubbleSize val="0"/>
        </c:dLbls>
        <c:axId val="153165824"/>
        <c:axId val="153167360"/>
      </c:scatterChart>
      <c:valAx>
        <c:axId val="1531658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167360"/>
        <c:crosses val="autoZero"/>
        <c:crossBetween val="midCat"/>
      </c:valAx>
      <c:valAx>
        <c:axId val="153167360"/>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16582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FX Reserves / Debt w/o Outliers</a:t>
            </a:r>
          </a:p>
        </c:rich>
      </c:tx>
      <c:layout>
        <c:manualLayout>
          <c:xMode val="edge"/>
          <c:yMode val="edge"/>
          <c:x val="0.32179226069246436"/>
          <c:y val="3.8461538461538464E-2"/>
        </c:manualLayout>
      </c:layout>
      <c:overlay val="0"/>
      <c:spPr>
        <a:noFill/>
        <a:ln w="25400">
          <a:noFill/>
        </a:ln>
      </c:spPr>
    </c:title>
    <c:autoTitleDeleted val="0"/>
    <c:plotArea>
      <c:layout>
        <c:manualLayout>
          <c:layoutTarget val="inner"/>
          <c:xMode val="edge"/>
          <c:yMode val="edge"/>
          <c:x val="5.7026476578411409E-2"/>
          <c:y val="0.21923076923076923"/>
          <c:w val="0.88798370672097759"/>
          <c:h val="0.6846153846153846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1.8412046762993687E-2"/>
                  <c:y val="-0.35184615384615386"/>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trendline>
            <c:spPr>
              <a:ln w="25400">
                <a:solidFill>
                  <a:srgbClr val="000000"/>
                </a:solidFill>
                <a:prstDash val="solid"/>
              </a:ln>
            </c:spPr>
            <c:trendlineType val="poly"/>
            <c:order val="2"/>
            <c:dispRSqr val="1"/>
            <c:dispEq val="1"/>
            <c:trendlineLbl>
              <c:layout>
                <c:manualLayout>
                  <c:x val="1.9171116848683206E-2"/>
                  <c:y val="-0.41954249949525546"/>
                </c:manualLayout>
              </c:layout>
              <c:numFmt formatCode="General"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trendlineLbl>
          </c:trendline>
          <c:xVal>
            <c:numRef>
              <c:f>('FX Res'!$M$3:$M$5,'FX Res'!$M$7:$M$27)</c:f>
              <c:numCache>
                <c:formatCode>0.0</c:formatCode>
                <c:ptCount val="24"/>
                <c:pt idx="0">
                  <c:v>-0.37005425735527414</c:v>
                </c:pt>
                <c:pt idx="1">
                  <c:v>8.9541276619100232E-2</c:v>
                </c:pt>
                <c:pt idx="2">
                  <c:v>-0.30262325237061694</c:v>
                </c:pt>
                <c:pt idx="3">
                  <c:v>-0.21744724607420773</c:v>
                </c:pt>
                <c:pt idx="4">
                  <c:v>-0.58831777348982262</c:v>
                </c:pt>
                <c:pt idx="5">
                  <c:v>0.17028103258757138</c:v>
                </c:pt>
                <c:pt idx="6">
                  <c:v>-0.47563701516019802</c:v>
                </c:pt>
                <c:pt idx="7">
                  <c:v>-0.18550624371305438</c:v>
                </c:pt>
                <c:pt idx="8">
                  <c:v>-0.247613748304186</c:v>
                </c:pt>
                <c:pt idx="9">
                  <c:v>0.79934132908917643</c:v>
                </c:pt>
                <c:pt idx="10">
                  <c:v>-0.13315848984338621</c:v>
                </c:pt>
                <c:pt idx="11">
                  <c:v>-0.46144101411079647</c:v>
                </c:pt>
                <c:pt idx="12">
                  <c:v>-0.51733776824281497</c:v>
                </c:pt>
                <c:pt idx="13">
                  <c:v>0.36192704675449205</c:v>
                </c:pt>
                <c:pt idx="14">
                  <c:v>0.10285002760291417</c:v>
                </c:pt>
                <c:pt idx="15">
                  <c:v>-0.41707851083141673</c:v>
                </c:pt>
                <c:pt idx="16">
                  <c:v>0.17826628317785975</c:v>
                </c:pt>
                <c:pt idx="17">
                  <c:v>-0.22986874699243409</c:v>
                </c:pt>
                <c:pt idx="18">
                  <c:v>-0.37005425735527414</c:v>
                </c:pt>
                <c:pt idx="19">
                  <c:v>-0.4259510114872927</c:v>
                </c:pt>
                <c:pt idx="20">
                  <c:v>-0.40820601017554076</c:v>
                </c:pt>
                <c:pt idx="21">
                  <c:v>-0.18728074384422957</c:v>
                </c:pt>
                <c:pt idx="22">
                  <c:v>-0.54839152053838081</c:v>
                </c:pt>
                <c:pt idx="23">
                  <c:v>-0.1588887417454265</c:v>
                </c:pt>
              </c:numCache>
            </c:numRef>
          </c:xVal>
          <c:yVal>
            <c:numRef>
              <c:f>('FX Res'!$P$3:$P$5,'FX Res'!$P$7:$P$27)</c:f>
              <c:numCache>
                <c:formatCode>0.0</c:formatCode>
                <c:ptCount val="24"/>
                <c:pt idx="0">
                  <c:v>1.4255405250063531</c:v>
                </c:pt>
                <c:pt idx="1">
                  <c:v>-0.49043451301485325</c:v>
                </c:pt>
                <c:pt idx="2">
                  <c:v>-0.6767951584626779</c:v>
                </c:pt>
                <c:pt idx="3">
                  <c:v>-0.58302567466255073</c:v>
                </c:pt>
                <c:pt idx="4">
                  <c:v>1.4223422220211868</c:v>
                </c:pt>
                <c:pt idx="5">
                  <c:v>5.2153815465916083E-2</c:v>
                </c:pt>
                <c:pt idx="6">
                  <c:v>0.23579793496626733</c:v>
                </c:pt>
                <c:pt idx="7">
                  <c:v>-0.35838987515994025</c:v>
                </c:pt>
                <c:pt idx="8">
                  <c:v>0.12883472578450098</c:v>
                </c:pt>
                <c:pt idx="9">
                  <c:v>-0.61809672118954739</c:v>
                </c:pt>
                <c:pt idx="10">
                  <c:v>-0.48422075013713889</c:v>
                </c:pt>
                <c:pt idx="11">
                  <c:v>2.1692475485534328</c:v>
                </c:pt>
                <c:pt idx="12">
                  <c:v>-0.55505648603455771</c:v>
                </c:pt>
                <c:pt idx="13">
                  <c:v>-0.50718932529558414</c:v>
                </c:pt>
                <c:pt idx="14">
                  <c:v>-0.46284842419996541</c:v>
                </c:pt>
                <c:pt idx="15">
                  <c:v>-0.36315540465326435</c:v>
                </c:pt>
                <c:pt idx="16">
                  <c:v>-0.16466036285246269</c:v>
                </c:pt>
                <c:pt idx="17">
                  <c:v>-0.49266345738201095</c:v>
                </c:pt>
                <c:pt idx="18">
                  <c:v>0.16739140015649304</c:v>
                </c:pt>
                <c:pt idx="19">
                  <c:v>-0.24455989205539388</c:v>
                </c:pt>
                <c:pt idx="20">
                  <c:v>1.5328752249159792</c:v>
                </c:pt>
                <c:pt idx="21">
                  <c:v>-0.34765727585037098</c:v>
                </c:pt>
                <c:pt idx="22">
                  <c:v>2.7898082980863612</c:v>
                </c:pt>
                <c:pt idx="23">
                  <c:v>0.45654469091159733</c:v>
                </c:pt>
              </c:numCache>
            </c:numRef>
          </c:yVal>
          <c:smooth val="0"/>
        </c:ser>
        <c:dLbls>
          <c:showLegendKey val="0"/>
          <c:showVal val="0"/>
          <c:showCatName val="0"/>
          <c:showSerName val="0"/>
          <c:showPercent val="0"/>
          <c:showBubbleSize val="0"/>
        </c:dLbls>
        <c:axId val="153300352"/>
        <c:axId val="153302144"/>
      </c:scatterChart>
      <c:valAx>
        <c:axId val="15330035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302144"/>
        <c:crosses val="autoZero"/>
        <c:crossBetween val="midCat"/>
      </c:valAx>
      <c:valAx>
        <c:axId val="15330214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33003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Political</a:t>
            </a:r>
            <a:r>
              <a:rPr lang="en-US" sz="1000" baseline="0">
                <a:latin typeface="Arial" pitchFamily="34" charset="0"/>
                <a:cs typeface="Arial" pitchFamily="34" charset="0"/>
              </a:rPr>
              <a:t> Risk 2011</a:t>
            </a:r>
            <a:endParaRPr lang="en-US" sz="1000">
              <a:latin typeface="Arial" pitchFamily="34" charset="0"/>
              <a:cs typeface="Arial" pitchFamily="34" charset="0"/>
            </a:endParaRPr>
          </a:p>
        </c:rich>
      </c:tx>
      <c:layout/>
      <c:overlay val="1"/>
    </c:title>
    <c:autoTitleDeleted val="0"/>
    <c:plotArea>
      <c:layout>
        <c:manualLayout>
          <c:layoutTarget val="inner"/>
          <c:xMode val="edge"/>
          <c:yMode val="edge"/>
          <c:x val="9.6840332458442702E-2"/>
          <c:y val="0.23658573928258966"/>
          <c:w val="0.77168044619422571"/>
          <c:h val="0.65182852143482062"/>
        </c:manualLayout>
      </c:layout>
      <c:scatterChart>
        <c:scatterStyle val="lineMarker"/>
        <c:varyColors val="0"/>
        <c:ser>
          <c:idx val="0"/>
          <c:order val="0"/>
          <c:spPr>
            <a:ln w="28575">
              <a:noFill/>
            </a:ln>
          </c:spPr>
          <c:trendline>
            <c:trendlineType val="linear"/>
            <c:dispRSqr val="1"/>
            <c:dispEq val="1"/>
            <c:trendlineLbl>
              <c:layout>
                <c:manualLayout>
                  <c:x val="0.25971719160104989"/>
                  <c:y val="-0.11061132983377078"/>
                </c:manualLayout>
              </c:layout>
              <c:numFmt formatCode="General" sourceLinked="0"/>
            </c:trendlineLbl>
          </c:trendline>
          <c:trendline>
            <c:trendlineType val="poly"/>
            <c:order val="2"/>
            <c:dispRSqr val="1"/>
            <c:dispEq val="1"/>
            <c:trendlineLbl>
              <c:layout>
                <c:manualLayout>
                  <c:x val="-0.29870931758530184"/>
                  <c:y val="-0.24091042465845616"/>
                </c:manualLayout>
              </c:layout>
              <c:numFmt formatCode="General" sourceLinked="0"/>
            </c:trendlineLbl>
          </c:trendline>
          <c:xVal>
            <c:numRef>
              <c:f>('Political Risk'!$AR$2:$AR$14,'Political Risk'!$AR$16:$AR$40)</c:f>
              <c:numCache>
                <c:formatCode>0.0</c:formatCode>
                <c:ptCount val="38"/>
                <c:pt idx="0">
                  <c:v>-0.60726175792252624</c:v>
                </c:pt>
                <c:pt idx="1">
                  <c:v>-6.280273147582198E-2</c:v>
                </c:pt>
                <c:pt idx="2">
                  <c:v>-0.79840411771343123</c:v>
                </c:pt>
                <c:pt idx="3">
                  <c:v>-0.33904931120500675</c:v>
                </c:pt>
                <c:pt idx="4">
                  <c:v>0.44651415673313205</c:v>
                </c:pt>
                <c:pt idx="5">
                  <c:v>-5.7351011592223271E-2</c:v>
                </c:pt>
                <c:pt idx="6">
                  <c:v>-0.82853043767827927</c:v>
                </c:pt>
                <c:pt idx="7">
                  <c:v>-0.70486411043083974</c:v>
                </c:pt>
                <c:pt idx="8">
                  <c:v>-0.30410494529430043</c:v>
                </c:pt>
                <c:pt idx="9">
                  <c:v>0.3519289556333916</c:v>
                </c:pt>
                <c:pt idx="10">
                  <c:v>0.59370056287703665</c:v>
                </c:pt>
                <c:pt idx="11">
                  <c:v>-9.5563013324542492E-2</c:v>
                </c:pt>
                <c:pt idx="12">
                  <c:v>-0.7573717531881845</c:v>
                </c:pt>
                <c:pt idx="13">
                  <c:v>0.14001412618268663</c:v>
                </c:pt>
                <c:pt idx="14">
                  <c:v>0.72592173851329689</c:v>
                </c:pt>
                <c:pt idx="15">
                  <c:v>-0.57743273917513305</c:v>
                </c:pt>
                <c:pt idx="16">
                  <c:v>1.488046298339526</c:v>
                </c:pt>
                <c:pt idx="17">
                  <c:v>-0.92915410369356033</c:v>
                </c:pt>
                <c:pt idx="18">
                  <c:v>-0.31498274610456278</c:v>
                </c:pt>
                <c:pt idx="19">
                  <c:v>0.34679087718548746</c:v>
                </c:pt>
                <c:pt idx="20">
                  <c:v>-0.69417935048935897</c:v>
                </c:pt>
                <c:pt idx="21">
                  <c:v>-0.87625741306875249</c:v>
                </c:pt>
                <c:pt idx="22">
                  <c:v>-0.67427991174671464</c:v>
                </c:pt>
                <c:pt idx="23">
                  <c:v>2.2602476880500322</c:v>
                </c:pt>
                <c:pt idx="24">
                  <c:v>1.2956758519269069</c:v>
                </c:pt>
                <c:pt idx="25">
                  <c:v>1.3210167385550005</c:v>
                </c:pt>
                <c:pt idx="26">
                  <c:v>-0.66011465110928813</c:v>
                </c:pt>
                <c:pt idx="27">
                  <c:v>-1.1957424090819433</c:v>
                </c:pt>
                <c:pt idx="28">
                  <c:v>-0.74993687190819736</c:v>
                </c:pt>
                <c:pt idx="29">
                  <c:v>-0.28188132734244292</c:v>
                </c:pt>
                <c:pt idx="30">
                  <c:v>1.6338669824900809</c:v>
                </c:pt>
                <c:pt idx="31">
                  <c:v>-0.57714033174788026</c:v>
                </c:pt>
                <c:pt idx="32">
                  <c:v>0.17845826049892058</c:v>
                </c:pt>
                <c:pt idx="33">
                  <c:v>-1.0431238832649856</c:v>
                </c:pt>
                <c:pt idx="34">
                  <c:v>-1.0318323930328936</c:v>
                </c:pt>
                <c:pt idx="35">
                  <c:v>-0.77304168766066395</c:v>
                </c:pt>
                <c:pt idx="36">
                  <c:v>-0.44534397779812457</c:v>
                </c:pt>
                <c:pt idx="37">
                  <c:v>1.6415327013261518</c:v>
                </c:pt>
              </c:numCache>
            </c:numRef>
          </c:xVal>
          <c:yVal>
            <c:numRef>
              <c:f>('Political Risk'!$AS$2:$AS$14,'Political Risk'!$AS$16:$AS$40)</c:f>
              <c:numCache>
                <c:formatCode>0.0</c:formatCode>
                <c:ptCount val="38"/>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-9.8450847425420679E-2</c:v>
                </c:pt>
                <c:pt idx="15">
                  <c:v>0.10189874574336752</c:v>
                </c:pt>
                <c:pt idx="16">
                  <c:v>2.1692475485534328</c:v>
                </c:pt>
                <c:pt idx="17">
                  <c:v>-0.36315540465326435</c:v>
                </c:pt>
                <c:pt idx="18">
                  <c:v>-0.16466036285246269</c:v>
                </c:pt>
                <c:pt idx="19">
                  <c:v>0.49002529275994527</c:v>
                </c:pt>
                <c:pt idx="20">
                  <c:v>-0.49266345738201095</c:v>
                </c:pt>
                <c:pt idx="21">
                  <c:v>-0.75252764608080247</c:v>
                </c:pt>
                <c:pt idx="22">
                  <c:v>-0.24455989205539388</c:v>
                </c:pt>
                <c:pt idx="23">
                  <c:v>1.5328752249159792</c:v>
                </c:pt>
                <c:pt idx="24">
                  <c:v>1.4255405250063531</c:v>
                </c:pt>
                <c:pt idx="25">
                  <c:v>2.5816515950898986</c:v>
                </c:pt>
                <c:pt idx="26">
                  <c:v>-0.49043451301485325</c:v>
                </c:pt>
                <c:pt idx="27">
                  <c:v>-0.6767951584626779</c:v>
                </c:pt>
                <c:pt idx="28">
                  <c:v>-0.58302567466255073</c:v>
                </c:pt>
                <c:pt idx="29">
                  <c:v>0.4698109730760216</c:v>
                </c:pt>
                <c:pt idx="30">
                  <c:v>1.4223422220211868</c:v>
                </c:pt>
                <c:pt idx="31">
                  <c:v>0.23785564532605222</c:v>
                </c:pt>
                <c:pt idx="32">
                  <c:v>0.59372054444507161</c:v>
                </c:pt>
                <c:pt idx="33">
                  <c:v>-0.48422075013713889</c:v>
                </c:pt>
                <c:pt idx="34">
                  <c:v>-0.55505648603455771</c:v>
                </c:pt>
                <c:pt idx="35">
                  <c:v>-0.50718932529558414</c:v>
                </c:pt>
                <c:pt idx="36">
                  <c:v>-0.34765727585037098</c:v>
                </c:pt>
                <c:pt idx="37">
                  <c:v>2.7898082980863612</c:v>
                </c:pt>
              </c:numCache>
            </c:numRef>
          </c:yVal>
          <c:smooth val="0"/>
        </c:ser>
        <c:dLbls>
          <c:showLegendKey val="0"/>
          <c:showVal val="0"/>
          <c:showCatName val="0"/>
          <c:showSerName val="0"/>
          <c:showPercent val="0"/>
          <c:showBubbleSize val="0"/>
        </c:dLbls>
        <c:axId val="156333184"/>
        <c:axId val="156334720"/>
      </c:scatterChart>
      <c:valAx>
        <c:axId val="156333184"/>
        <c:scaling>
          <c:orientation val="minMax"/>
        </c:scaling>
        <c:delete val="0"/>
        <c:axPos val="b"/>
        <c:numFmt formatCode="0.0" sourceLinked="1"/>
        <c:majorTickMark val="out"/>
        <c:minorTickMark val="none"/>
        <c:tickLblPos val="nextTo"/>
        <c:crossAx val="156334720"/>
        <c:crosses val="autoZero"/>
        <c:crossBetween val="midCat"/>
      </c:valAx>
      <c:valAx>
        <c:axId val="156334720"/>
        <c:scaling>
          <c:orientation val="minMax"/>
        </c:scaling>
        <c:delete val="0"/>
        <c:axPos val="l"/>
        <c:majorGridlines>
          <c:spPr>
            <a:ln>
              <a:noFill/>
            </a:ln>
          </c:spPr>
        </c:majorGridlines>
        <c:numFmt formatCode="0.0" sourceLinked="1"/>
        <c:majorTickMark val="out"/>
        <c:minorTickMark val="none"/>
        <c:tickLblPos val="nextTo"/>
        <c:crossAx val="156333184"/>
        <c:crosses val="autoZero"/>
        <c:crossBetween val="midCat"/>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Coface excluding Iraq</a:t>
            </a:r>
          </a:p>
        </c:rich>
      </c:tx>
      <c:layout>
        <c:manualLayout>
          <c:xMode val="edge"/>
          <c:yMode val="edge"/>
          <c:x val="0.30301075268817207"/>
          <c:y val="1.4611867943230017E-2"/>
        </c:manualLayout>
      </c:layout>
      <c:overlay val="1"/>
    </c:title>
    <c:autoTitleDeleted val="0"/>
    <c:plotArea>
      <c:layout>
        <c:manualLayout>
          <c:layoutTarget val="inner"/>
          <c:xMode val="edge"/>
          <c:yMode val="edge"/>
          <c:x val="0.11253577173821014"/>
          <c:y val="0.21992702119813864"/>
          <c:w val="0.78758078627268369"/>
          <c:h val="0.72818243895086787"/>
        </c:manualLayout>
      </c:layout>
      <c:scatterChart>
        <c:scatterStyle val="lineMarker"/>
        <c:varyColors val="0"/>
        <c:ser>
          <c:idx val="0"/>
          <c:order val="0"/>
          <c:spPr>
            <a:ln w="28575">
              <a:noFill/>
            </a:ln>
          </c:spPr>
          <c:trendline>
            <c:trendlineType val="poly"/>
            <c:order val="2"/>
            <c:dispRSqr val="1"/>
            <c:dispEq val="1"/>
            <c:trendlineLbl>
              <c:layout>
                <c:manualLayout>
                  <c:x val="-0.3626455564022239"/>
                  <c:y val="-0.25625304533763482"/>
                </c:manualLayout>
              </c:layout>
              <c:numFmt formatCode="General" sourceLinked="0"/>
            </c:trendlineLbl>
          </c:trendline>
          <c:trendline>
            <c:trendlineType val="linear"/>
            <c:dispRSqr val="1"/>
            <c:dispEq val="1"/>
            <c:trendlineLbl>
              <c:layout>
                <c:manualLayout>
                  <c:x val="-0.49198261507634128"/>
                  <c:y val="-3.0351265853732902E-3"/>
                </c:manualLayout>
              </c:layout>
              <c:numFmt formatCode="General" sourceLinked="0"/>
            </c:trendlineLbl>
          </c:trendline>
          <c:xVal>
            <c:numRef>
              <c:f>'Political Risk'!$BH$2:$BH$39</c:f>
              <c:numCache>
                <c:formatCode>0.00</c:formatCode>
                <c:ptCount val="38"/>
                <c:pt idx="0">
                  <c:v>-0.8014879197603727</c:v>
                </c:pt>
                <c:pt idx="1">
                  <c:v>0.38329220678862957</c:v>
                </c:pt>
                <c:pt idx="2">
                  <c:v>-1.3560658513365016</c:v>
                </c:pt>
                <c:pt idx="3">
                  <c:v>8.0795153201650399E-2</c:v>
                </c:pt>
                <c:pt idx="4">
                  <c:v>0.78662161157126864</c:v>
                </c:pt>
                <c:pt idx="5">
                  <c:v>1.0891186651582478</c:v>
                </c:pt>
                <c:pt idx="6">
                  <c:v>-0.221701900385329</c:v>
                </c:pt>
                <c:pt idx="7">
                  <c:v>-1.0031526221516924</c:v>
                </c:pt>
                <c:pt idx="8">
                  <c:v>8.0795153201650399E-2</c:v>
                </c:pt>
                <c:pt idx="9">
                  <c:v>0.38329220678862957</c:v>
                </c:pt>
                <c:pt idx="10">
                  <c:v>1.0891186651582478</c:v>
                </c:pt>
                <c:pt idx="11">
                  <c:v>0.78662161157126864</c:v>
                </c:pt>
                <c:pt idx="12">
                  <c:v>-1.0787768855484372</c:v>
                </c:pt>
                <c:pt idx="13">
                  <c:v>8.0795153201650399E-2</c:v>
                </c:pt>
                <c:pt idx="14">
                  <c:v>0.78662161157126864</c:v>
                </c:pt>
                <c:pt idx="15">
                  <c:v>-1.0787768855484372</c:v>
                </c:pt>
                <c:pt idx="16">
                  <c:v>1.7949451235278664</c:v>
                </c:pt>
                <c:pt idx="17">
                  <c:v>-1.2552335001408417</c:v>
                </c:pt>
                <c:pt idx="18">
                  <c:v>8.0795153201650399E-2</c:v>
                </c:pt>
                <c:pt idx="19">
                  <c:v>1.0891186651582478</c:v>
                </c:pt>
                <c:pt idx="20">
                  <c:v>-1.1796092367440971</c:v>
                </c:pt>
                <c:pt idx="21">
                  <c:v>-0.92752835875494744</c:v>
                </c:pt>
                <c:pt idx="22">
                  <c:v>-0.92752835875494744</c:v>
                </c:pt>
                <c:pt idx="23">
                  <c:v>1.7949451235278664</c:v>
                </c:pt>
                <c:pt idx="24">
                  <c:v>0.78662161157126864</c:v>
                </c:pt>
                <c:pt idx="25">
                  <c:v>0.38329220678862957</c:v>
                </c:pt>
                <c:pt idx="26">
                  <c:v>-1.1039849733473521</c:v>
                </c:pt>
                <c:pt idx="27">
                  <c:v>-1.4316901147332464</c:v>
                </c:pt>
                <c:pt idx="28">
                  <c:v>-0.92752835875494744</c:v>
                </c:pt>
                <c:pt idx="29">
                  <c:v>8.0795153201650399E-2</c:v>
                </c:pt>
                <c:pt idx="30">
                  <c:v>1.0891186651582478</c:v>
                </c:pt>
                <c:pt idx="31">
                  <c:v>8.0795153201650399E-2</c:v>
                </c:pt>
                <c:pt idx="32">
                  <c:v>0.78662161157126864</c:v>
                </c:pt>
                <c:pt idx="33">
                  <c:v>-0.92752835875494744</c:v>
                </c:pt>
                <c:pt idx="34">
                  <c:v>-0.92752835875494744</c:v>
                </c:pt>
                <c:pt idx="35">
                  <c:v>-0.62503130516796823</c:v>
                </c:pt>
                <c:pt idx="36">
                  <c:v>-0.92752835875494744</c:v>
                </c:pt>
                <c:pt idx="37">
                  <c:v>1.0891186651582478</c:v>
                </c:pt>
              </c:numCache>
            </c:numRef>
          </c:xVal>
          <c:yVal>
            <c:numRef>
              <c:f>'Political Risk'!$BI$2:$BI$39</c:f>
              <c:numCache>
                <c:formatCode>0.0</c:formatCode>
                <c:ptCount val="38"/>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-9.8450847425420679E-2</c:v>
                </c:pt>
                <c:pt idx="15">
                  <c:v>0.10189874574336752</c:v>
                </c:pt>
                <c:pt idx="16">
                  <c:v>2.1692475485534328</c:v>
                </c:pt>
                <c:pt idx="17">
                  <c:v>-0.36315540465326435</c:v>
                </c:pt>
                <c:pt idx="18">
                  <c:v>-0.16466036285246269</c:v>
                </c:pt>
                <c:pt idx="19">
                  <c:v>0.49002529275994527</c:v>
                </c:pt>
                <c:pt idx="20">
                  <c:v>-0.49266345738201095</c:v>
                </c:pt>
                <c:pt idx="21">
                  <c:v>-0.75252764608080247</c:v>
                </c:pt>
                <c:pt idx="22">
                  <c:v>-0.24455989205539388</c:v>
                </c:pt>
                <c:pt idx="23">
                  <c:v>1.5328752249159792</c:v>
                </c:pt>
                <c:pt idx="24">
                  <c:v>1.4255405250063531</c:v>
                </c:pt>
                <c:pt idx="25">
                  <c:v>2.5816515950898986</c:v>
                </c:pt>
                <c:pt idx="26">
                  <c:v>-0.49043451301485325</c:v>
                </c:pt>
                <c:pt idx="27">
                  <c:v>-0.6767951584626779</c:v>
                </c:pt>
                <c:pt idx="28">
                  <c:v>-0.58302567466255073</c:v>
                </c:pt>
                <c:pt idx="29">
                  <c:v>0.4698109730760216</c:v>
                </c:pt>
                <c:pt idx="30">
                  <c:v>1.4223422220211868</c:v>
                </c:pt>
                <c:pt idx="31">
                  <c:v>0.23785564532605222</c:v>
                </c:pt>
                <c:pt idx="32">
                  <c:v>0.59372054444507161</c:v>
                </c:pt>
                <c:pt idx="33">
                  <c:v>-0.48422075013713889</c:v>
                </c:pt>
                <c:pt idx="34">
                  <c:v>-0.55505648603455771</c:v>
                </c:pt>
                <c:pt idx="35">
                  <c:v>-0.50718932529558414</c:v>
                </c:pt>
                <c:pt idx="36">
                  <c:v>-0.34765727585037098</c:v>
                </c:pt>
                <c:pt idx="37">
                  <c:v>2.7898082980863612</c:v>
                </c:pt>
              </c:numCache>
            </c:numRef>
          </c:yVal>
          <c:smooth val="0"/>
        </c:ser>
        <c:dLbls>
          <c:showLegendKey val="0"/>
          <c:showVal val="0"/>
          <c:showCatName val="0"/>
          <c:showSerName val="0"/>
          <c:showPercent val="0"/>
          <c:showBubbleSize val="0"/>
        </c:dLbls>
        <c:axId val="156368896"/>
        <c:axId val="156370432"/>
      </c:scatterChart>
      <c:valAx>
        <c:axId val="156368896"/>
        <c:scaling>
          <c:orientation val="minMax"/>
        </c:scaling>
        <c:delete val="0"/>
        <c:axPos val="b"/>
        <c:numFmt formatCode="0.00" sourceLinked="1"/>
        <c:majorTickMark val="out"/>
        <c:minorTickMark val="none"/>
        <c:tickLblPos val="nextTo"/>
        <c:crossAx val="156370432"/>
        <c:crosses val="autoZero"/>
        <c:crossBetween val="midCat"/>
      </c:valAx>
      <c:valAx>
        <c:axId val="156370432"/>
        <c:scaling>
          <c:orientation val="minMax"/>
        </c:scaling>
        <c:delete val="0"/>
        <c:axPos val="l"/>
        <c:majorGridlines>
          <c:spPr>
            <a:ln>
              <a:noFill/>
            </a:ln>
          </c:spPr>
        </c:majorGridlines>
        <c:numFmt formatCode="0.0" sourceLinked="1"/>
        <c:majorTickMark val="out"/>
        <c:minorTickMark val="none"/>
        <c:tickLblPos val="nextTo"/>
        <c:crossAx val="156368896"/>
        <c:crosses val="autoZero"/>
        <c:crossBetween val="midCat"/>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Ease</a:t>
            </a:r>
            <a:r>
              <a:rPr lang="en-US" sz="1000" baseline="0">
                <a:latin typeface="Arial" pitchFamily="34" charset="0"/>
                <a:cs typeface="Arial" pitchFamily="34" charset="0"/>
              </a:rPr>
              <a:t> of Business ex. Gabon &amp; Iraq</a:t>
            </a:r>
            <a:endParaRPr lang="en-US" sz="1000">
              <a:latin typeface="Arial" pitchFamily="34" charset="0"/>
              <a:cs typeface="Arial" pitchFamily="34" charset="0"/>
            </a:endParaRPr>
          </a:p>
        </c:rich>
      </c:tx>
      <c:layout/>
      <c:overlay val="1"/>
    </c:title>
    <c:autoTitleDeleted val="0"/>
    <c:plotArea>
      <c:layout>
        <c:manualLayout>
          <c:layoutTarget val="inner"/>
          <c:xMode val="edge"/>
          <c:yMode val="edge"/>
          <c:x val="8.0593146195708593E-2"/>
          <c:y val="0.24768031313528299"/>
          <c:w val="0.85964233284398772"/>
          <c:h val="0.68199492072865397"/>
        </c:manualLayout>
      </c:layout>
      <c:scatterChart>
        <c:scatterStyle val="lineMarker"/>
        <c:varyColors val="0"/>
        <c:ser>
          <c:idx val="0"/>
          <c:order val="0"/>
          <c:spPr>
            <a:ln w="28575">
              <a:noFill/>
            </a:ln>
          </c:spPr>
          <c:trendline>
            <c:trendlineType val="poly"/>
            <c:order val="2"/>
            <c:dispRSqr val="1"/>
            <c:dispEq val="1"/>
            <c:trendlineLbl>
              <c:layout>
                <c:manualLayout>
                  <c:x val="-0.27479276954787429"/>
                  <c:y val="-0.18377745370102522"/>
                </c:manualLayout>
              </c:layout>
              <c:numFmt formatCode="General" sourceLinked="0"/>
            </c:trendlineLbl>
          </c:trendline>
          <c:trendline>
            <c:trendlineType val="linear"/>
            <c:dispRSqr val="1"/>
            <c:dispEq val="1"/>
            <c:trendlineLbl>
              <c:layout>
                <c:manualLayout>
                  <c:x val="0.1020932129246556"/>
                  <c:y val="-0.29783811767710117"/>
                </c:manualLayout>
              </c:layout>
              <c:numFmt formatCode="General" sourceLinked="0"/>
            </c:trendlineLbl>
          </c:trendline>
          <c:xVal>
            <c:numRef>
              <c:f>('Political Risk'!$N$2:$N$10,'Political Risk'!$N$12:$N$14,'Political Risk'!$N$16:$N$40)</c:f>
              <c:numCache>
                <c:formatCode>0.00</c:formatCode>
                <c:ptCount val="37"/>
                <c:pt idx="0">
                  <c:v>6.900336095380237E-2</c:v>
                </c:pt>
                <c:pt idx="1">
                  <c:v>0.86630241236012828</c:v>
                </c:pt>
                <c:pt idx="2">
                  <c:v>-1.0223838455486969</c:v>
                </c:pt>
                <c:pt idx="3">
                  <c:v>0.23016593972765076</c:v>
                </c:pt>
                <c:pt idx="4">
                  <c:v>0.61091341612922623</c:v>
                </c:pt>
                <c:pt idx="5">
                  <c:v>-0.7921727547854337</c:v>
                </c:pt>
                <c:pt idx="6">
                  <c:v>-0.9082925933988607</c:v>
                </c:pt>
                <c:pt idx="7">
                  <c:v>-0.56891431539825221</c:v>
                </c:pt>
                <c:pt idx="8">
                  <c:v>-0.38137430018152407</c:v>
                </c:pt>
                <c:pt idx="9">
                  <c:v>-0.84555855941727831</c:v>
                </c:pt>
                <c:pt idx="10">
                  <c:v>-0.75163163239732522</c:v>
                </c:pt>
                <c:pt idx="11">
                  <c:v>-0.82287383118611734</c:v>
                </c:pt>
                <c:pt idx="12">
                  <c:v>0.59775506385474919</c:v>
                </c:pt>
                <c:pt idx="13">
                  <c:v>-3.8926315024926057E-2</c:v>
                </c:pt>
                <c:pt idx="14">
                  <c:v>-0.5184999425001976</c:v>
                </c:pt>
                <c:pt idx="15">
                  <c:v>0.64306510508177128</c:v>
                </c:pt>
                <c:pt idx="16">
                  <c:v>-0.904360636221055</c:v>
                </c:pt>
                <c:pt idx="17">
                  <c:v>0.7087233100978122</c:v>
                </c:pt>
                <c:pt idx="18">
                  <c:v>-0.82569853134664295</c:v>
                </c:pt>
                <c:pt idx="19">
                  <c:v>-8.387263407291129E-2</c:v>
                </c:pt>
                <c:pt idx="20">
                  <c:v>-1.412985931985032</c:v>
                </c:pt>
                <c:pt idx="21">
                  <c:v>-0.8353607576044676</c:v>
                </c:pt>
                <c:pt idx="22">
                  <c:v>1.4772117808638707</c:v>
                </c:pt>
                <c:pt idx="23">
                  <c:v>0.48552621250522426</c:v>
                </c:pt>
                <c:pt idx="24">
                  <c:v>2.2741413811930178</c:v>
                </c:pt>
                <c:pt idx="25">
                  <c:v>0.31680419177381014</c:v>
                </c:pt>
                <c:pt idx="26">
                  <c:v>-1.2689487762161014</c:v>
                </c:pt>
                <c:pt idx="27">
                  <c:v>4.4598610513663415E-4</c:v>
                </c:pt>
                <c:pt idx="28">
                  <c:v>-0.30756910224388812</c:v>
                </c:pt>
                <c:pt idx="29">
                  <c:v>0.43435745874856202</c:v>
                </c:pt>
                <c:pt idx="30">
                  <c:v>-0.68795810697880966</c:v>
                </c:pt>
                <c:pt idx="31">
                  <c:v>-0.11893455002916138</c:v>
                </c:pt>
                <c:pt idx="32">
                  <c:v>-0.99974607644339419</c:v>
                </c:pt>
                <c:pt idx="33">
                  <c:v>-0.61587781225976557</c:v>
                </c:pt>
                <c:pt idx="34">
                  <c:v>-1.0400356927722083</c:v>
                </c:pt>
                <c:pt idx="35">
                  <c:v>1.5081571828396816</c:v>
                </c:pt>
                <c:pt idx="36">
                  <c:v>1.0276755449648778</c:v>
                </c:pt>
              </c:numCache>
            </c:numRef>
          </c:xVal>
          <c:yVal>
            <c:numRef>
              <c:f>('Political Risk'!$AO$2:$AO$10,'Political Risk'!$AO$12:$AO$14,'Political Risk'!$AO$16:$AO$40)</c:f>
              <c:numCache>
                <c:formatCode>0.0</c:formatCode>
                <c:ptCount val="37"/>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0.2308989009926187</c:v>
                </c:pt>
                <c:pt idx="10">
                  <c:v>0.51533309859538157</c:v>
                </c:pt>
                <c:pt idx="11">
                  <c:v>0.23579793496626733</c:v>
                </c:pt>
                <c:pt idx="12">
                  <c:v>0.12883472578450098</c:v>
                </c:pt>
                <c:pt idx="13">
                  <c:v>-9.8450847425420679E-2</c:v>
                </c:pt>
                <c:pt idx="14">
                  <c:v>0.10189874574336752</c:v>
                </c:pt>
                <c:pt idx="15">
                  <c:v>2.1692475485534328</c:v>
                </c:pt>
                <c:pt idx="16">
                  <c:v>-0.36315540465326435</c:v>
                </c:pt>
                <c:pt idx="17">
                  <c:v>-0.16466036285246269</c:v>
                </c:pt>
                <c:pt idx="18">
                  <c:v>0.49002529275994527</c:v>
                </c:pt>
                <c:pt idx="19">
                  <c:v>-0.49266345738201095</c:v>
                </c:pt>
                <c:pt idx="20">
                  <c:v>-0.75252764608080247</c:v>
                </c:pt>
                <c:pt idx="21">
                  <c:v>-0.24455989205539388</c:v>
                </c:pt>
                <c:pt idx="22">
                  <c:v>1.5328752249159792</c:v>
                </c:pt>
                <c:pt idx="23">
                  <c:v>1.4255405250063531</c:v>
                </c:pt>
                <c:pt idx="24">
                  <c:v>2.5816515950898986</c:v>
                </c:pt>
                <c:pt idx="25">
                  <c:v>-0.49043451301485325</c:v>
                </c:pt>
                <c:pt idx="26">
                  <c:v>-0.6767951584626779</c:v>
                </c:pt>
                <c:pt idx="27">
                  <c:v>-0.58302567466255073</c:v>
                </c:pt>
                <c:pt idx="28">
                  <c:v>0.4698109730760216</c:v>
                </c:pt>
                <c:pt idx="29">
                  <c:v>1.4223422220211868</c:v>
                </c:pt>
                <c:pt idx="30">
                  <c:v>0.23785564532605222</c:v>
                </c:pt>
                <c:pt idx="31">
                  <c:v>0.59372054444507161</c:v>
                </c:pt>
                <c:pt idx="32">
                  <c:v>-0.48422075013713889</c:v>
                </c:pt>
                <c:pt idx="33">
                  <c:v>-0.55505648603455771</c:v>
                </c:pt>
                <c:pt idx="34">
                  <c:v>-0.50718932529558414</c:v>
                </c:pt>
                <c:pt idx="35">
                  <c:v>-0.34765727585037098</c:v>
                </c:pt>
                <c:pt idx="36">
                  <c:v>2.7898082980863612</c:v>
                </c:pt>
              </c:numCache>
            </c:numRef>
          </c:yVal>
          <c:smooth val="0"/>
        </c:ser>
        <c:dLbls>
          <c:showLegendKey val="0"/>
          <c:showVal val="0"/>
          <c:showCatName val="0"/>
          <c:showSerName val="0"/>
          <c:showPercent val="0"/>
          <c:showBubbleSize val="0"/>
        </c:dLbls>
        <c:axId val="156400256"/>
        <c:axId val="156410240"/>
      </c:scatterChart>
      <c:valAx>
        <c:axId val="156400256"/>
        <c:scaling>
          <c:orientation val="minMax"/>
        </c:scaling>
        <c:delete val="0"/>
        <c:axPos val="b"/>
        <c:numFmt formatCode="0.00" sourceLinked="1"/>
        <c:majorTickMark val="out"/>
        <c:minorTickMark val="none"/>
        <c:tickLblPos val="nextTo"/>
        <c:crossAx val="156410240"/>
        <c:crosses val="autoZero"/>
        <c:crossBetween val="midCat"/>
      </c:valAx>
      <c:valAx>
        <c:axId val="156410240"/>
        <c:scaling>
          <c:orientation val="minMax"/>
        </c:scaling>
        <c:delete val="0"/>
        <c:axPos val="l"/>
        <c:majorGridlines>
          <c:spPr>
            <a:ln>
              <a:noFill/>
            </a:ln>
          </c:spPr>
        </c:majorGridlines>
        <c:numFmt formatCode="0.0" sourceLinked="1"/>
        <c:majorTickMark val="out"/>
        <c:minorTickMark val="none"/>
        <c:tickLblPos val="nextTo"/>
        <c:crossAx val="156400256"/>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Starting</a:t>
            </a:r>
            <a:r>
              <a:rPr lang="en-US" sz="1000" baseline="0">
                <a:latin typeface="Arial" pitchFamily="34" charset="0"/>
                <a:cs typeface="Arial" pitchFamily="34" charset="0"/>
              </a:rPr>
              <a:t> a business excluding china, georgia,jamaica,pakistan,phillipines</a:t>
            </a:r>
            <a:endParaRPr lang="en-US" sz="1000">
              <a:latin typeface="Arial" pitchFamily="34" charset="0"/>
              <a:cs typeface="Arial" pitchFamily="34" charset="0"/>
            </a:endParaRPr>
          </a:p>
        </c:rich>
      </c:tx>
      <c:layout/>
      <c:overlay val="1"/>
    </c:title>
    <c:autoTitleDeleted val="0"/>
    <c:plotArea>
      <c:layout>
        <c:manualLayout>
          <c:layoutTarget val="inner"/>
          <c:xMode val="edge"/>
          <c:yMode val="edge"/>
          <c:x val="6.6847112860892385E-2"/>
          <c:y val="0.25973388743073783"/>
          <c:w val="0.88444466316710413"/>
          <c:h val="0.62405074365704283"/>
        </c:manualLayout>
      </c:layout>
      <c:scatterChart>
        <c:scatterStyle val="lineMarker"/>
        <c:varyColors val="0"/>
        <c:ser>
          <c:idx val="0"/>
          <c:order val="0"/>
          <c:spPr>
            <a:ln w="28575">
              <a:noFill/>
            </a:ln>
          </c:spPr>
          <c:trendline>
            <c:trendlineType val="poly"/>
            <c:order val="2"/>
            <c:dispRSqr val="1"/>
            <c:dispEq val="1"/>
            <c:trendlineLbl>
              <c:layout>
                <c:manualLayout>
                  <c:x val="-0.45499890638670165"/>
                  <c:y val="-0.20332130358705161"/>
                </c:manualLayout>
              </c:layout>
              <c:numFmt formatCode="General" sourceLinked="0"/>
            </c:trendlineLbl>
          </c:trendline>
          <c:trendline>
            <c:trendlineType val="linear"/>
            <c:dispRSqr val="1"/>
            <c:dispEq val="1"/>
            <c:trendlineLbl>
              <c:layout>
                <c:manualLayout>
                  <c:x val="-0.50755293937772339"/>
                  <c:y val="-3.585768783291482E-2"/>
                </c:manualLayout>
              </c:layout>
              <c:numFmt formatCode="General" sourceLinked="0"/>
            </c:trendlineLbl>
          </c:trendline>
          <c:xVal>
            <c:numRef>
              <c:f>'Political Risk'!$BM$2:$BM$35</c:f>
              <c:numCache>
                <c:formatCode>0.00</c:formatCode>
                <c:ptCount val="34"/>
                <c:pt idx="0">
                  <c:v>1.0610485467937543</c:v>
                </c:pt>
                <c:pt idx="1">
                  <c:v>1.1507129001021048</c:v>
                </c:pt>
                <c:pt idx="2">
                  <c:v>0.72833357677050881</c:v>
                </c:pt>
                <c:pt idx="3">
                  <c:v>-1.0667785473887748</c:v>
                </c:pt>
                <c:pt idx="4">
                  <c:v>-0.66551819022375847</c:v>
                </c:pt>
                <c:pt idx="5">
                  <c:v>-0.43320956239138064</c:v>
                </c:pt>
                <c:pt idx="6">
                  <c:v>-0.79223198722323729</c:v>
                </c:pt>
                <c:pt idx="7">
                  <c:v>0.91840427226972698</c:v>
                </c:pt>
                <c:pt idx="8">
                  <c:v>1.361902561767903</c:v>
                </c:pt>
                <c:pt idx="9">
                  <c:v>-1.5947527015532701</c:v>
                </c:pt>
                <c:pt idx="10">
                  <c:v>0.74945254293708852</c:v>
                </c:pt>
                <c:pt idx="11">
                  <c:v>1.2563077309350039</c:v>
                </c:pt>
                <c:pt idx="12">
                  <c:v>0.11588355793969436</c:v>
                </c:pt>
                <c:pt idx="13">
                  <c:v>-1.2357302767214133</c:v>
                </c:pt>
                <c:pt idx="14">
                  <c:v>1.2985456632681636</c:v>
                </c:pt>
                <c:pt idx="15">
                  <c:v>1.69980602043318</c:v>
                </c:pt>
                <c:pt idx="16">
                  <c:v>-0.98230268272245558</c:v>
                </c:pt>
                <c:pt idx="17">
                  <c:v>0.20035942260601358</c:v>
                </c:pt>
                <c:pt idx="18">
                  <c:v>-0.13754403605926332</c:v>
                </c:pt>
                <c:pt idx="19">
                  <c:v>0.41154908427181164</c:v>
                </c:pt>
                <c:pt idx="20">
                  <c:v>-0.55992335939085947</c:v>
                </c:pt>
                <c:pt idx="21">
                  <c:v>-1.489157870720371</c:v>
                </c:pt>
                <c:pt idx="22">
                  <c:v>-0.83446991955639693</c:v>
                </c:pt>
                <c:pt idx="23">
                  <c:v>0.41154908427181164</c:v>
                </c:pt>
                <c:pt idx="24">
                  <c:v>0.30595425343891264</c:v>
                </c:pt>
                <c:pt idx="25">
                  <c:v>-0.22201990072558256</c:v>
                </c:pt>
                <c:pt idx="26">
                  <c:v>-0.390971630058221</c:v>
                </c:pt>
                <c:pt idx="27">
                  <c:v>-1.2568492428879932</c:v>
                </c:pt>
                <c:pt idx="28">
                  <c:v>-0.96118371655587576</c:v>
                </c:pt>
                <c:pt idx="29">
                  <c:v>-0.64439922405717864</c:v>
                </c:pt>
                <c:pt idx="30">
                  <c:v>0.51714391510471069</c:v>
                </c:pt>
                <c:pt idx="31">
                  <c:v>0.96064220460288663</c:v>
                </c:pt>
                <c:pt idx="32">
                  <c:v>1.0662370354357857</c:v>
                </c:pt>
                <c:pt idx="33">
                  <c:v>0.13700252410627417</c:v>
                </c:pt>
              </c:numCache>
            </c:numRef>
          </c:xVal>
          <c:yVal>
            <c:numRef>
              <c:f>'Political Risk'!$BN$2:$BN$35</c:f>
              <c:numCache>
                <c:formatCode>0.00</c:formatCode>
                <c:ptCount val="34"/>
                <c:pt idx="0">
                  <c:v>1.4255405250063531</c:v>
                </c:pt>
                <c:pt idx="1">
                  <c:v>2.5816515950898986</c:v>
                </c:pt>
                <c:pt idx="2">
                  <c:v>-0.49043451301485325</c:v>
                </c:pt>
                <c:pt idx="3">
                  <c:v>-0.16621307800406349</c:v>
                </c:pt>
                <c:pt idx="4">
                  <c:v>-0.6767951584626779</c:v>
                </c:pt>
                <c:pt idx="5">
                  <c:v>-0.58302567466255073</c:v>
                </c:pt>
                <c:pt idx="6">
                  <c:v>0.52258007005995533</c:v>
                </c:pt>
                <c:pt idx="7">
                  <c:v>0.4698109730760216</c:v>
                </c:pt>
                <c:pt idx="8">
                  <c:v>1.4223422220211868</c:v>
                </c:pt>
                <c:pt idx="9">
                  <c:v>5.2153815465916083E-2</c:v>
                </c:pt>
                <c:pt idx="10">
                  <c:v>0.23785564532605222</c:v>
                </c:pt>
                <c:pt idx="11">
                  <c:v>0.17908465127013667</c:v>
                </c:pt>
                <c:pt idx="12">
                  <c:v>0.51533309859538157</c:v>
                </c:pt>
                <c:pt idx="13">
                  <c:v>0.23579793496626733</c:v>
                </c:pt>
                <c:pt idx="14">
                  <c:v>-0.35838987515994025</c:v>
                </c:pt>
                <c:pt idx="15">
                  <c:v>0.60268856279730743</c:v>
                </c:pt>
                <c:pt idx="16">
                  <c:v>0.12883472578450098</c:v>
                </c:pt>
                <c:pt idx="17">
                  <c:v>-9.8450847425420679E-2</c:v>
                </c:pt>
                <c:pt idx="18">
                  <c:v>0.10189874574336752</c:v>
                </c:pt>
                <c:pt idx="19">
                  <c:v>-0.61809672118954739</c:v>
                </c:pt>
                <c:pt idx="20">
                  <c:v>-0.48422075013713889</c:v>
                </c:pt>
                <c:pt idx="21">
                  <c:v>-0.55505648603455771</c:v>
                </c:pt>
                <c:pt idx="22">
                  <c:v>-0.50718932529558414</c:v>
                </c:pt>
                <c:pt idx="23">
                  <c:v>-0.36315540465326435</c:v>
                </c:pt>
                <c:pt idx="24">
                  <c:v>-0.16466036285246269</c:v>
                </c:pt>
                <c:pt idx="25">
                  <c:v>0.49002529275994527</c:v>
                </c:pt>
                <c:pt idx="26">
                  <c:v>-0.49266345738201095</c:v>
                </c:pt>
                <c:pt idx="27">
                  <c:v>0.16739140015649304</c:v>
                </c:pt>
                <c:pt idx="28">
                  <c:v>-0.75252764608080247</c:v>
                </c:pt>
                <c:pt idx="29">
                  <c:v>-0.24455989205539388</c:v>
                </c:pt>
                <c:pt idx="30">
                  <c:v>1.5328752249159792</c:v>
                </c:pt>
                <c:pt idx="31">
                  <c:v>-0.34765727585037098</c:v>
                </c:pt>
                <c:pt idx="32">
                  <c:v>2.7898082980863612</c:v>
                </c:pt>
                <c:pt idx="33">
                  <c:v>0.45654469091159733</c:v>
                </c:pt>
              </c:numCache>
            </c:numRef>
          </c:yVal>
          <c:smooth val="0"/>
        </c:ser>
        <c:dLbls>
          <c:showLegendKey val="0"/>
          <c:showVal val="0"/>
          <c:showCatName val="0"/>
          <c:showSerName val="0"/>
          <c:showPercent val="0"/>
          <c:showBubbleSize val="0"/>
        </c:dLbls>
        <c:axId val="156431872"/>
        <c:axId val="156433408"/>
      </c:scatterChart>
      <c:valAx>
        <c:axId val="156431872"/>
        <c:scaling>
          <c:orientation val="minMax"/>
        </c:scaling>
        <c:delete val="0"/>
        <c:axPos val="b"/>
        <c:numFmt formatCode="0.00" sourceLinked="1"/>
        <c:majorTickMark val="out"/>
        <c:minorTickMark val="none"/>
        <c:tickLblPos val="nextTo"/>
        <c:crossAx val="156433408"/>
        <c:crosses val="autoZero"/>
        <c:crossBetween val="midCat"/>
      </c:valAx>
      <c:valAx>
        <c:axId val="156433408"/>
        <c:scaling>
          <c:orientation val="minMax"/>
        </c:scaling>
        <c:delete val="0"/>
        <c:axPos val="l"/>
        <c:majorGridlines>
          <c:spPr>
            <a:ln>
              <a:noFill/>
            </a:ln>
          </c:spPr>
        </c:majorGridlines>
        <c:numFmt formatCode="0.00" sourceLinked="1"/>
        <c:majorTickMark val="out"/>
        <c:minorTickMark val="none"/>
        <c:tickLblPos val="nextTo"/>
        <c:crossAx val="156431872"/>
        <c:crosses val="autoZero"/>
        <c:crossBetween val="midCat"/>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Registering</a:t>
            </a:r>
            <a:r>
              <a:rPr lang="en-US" sz="1000" baseline="0">
                <a:latin typeface="Arial" pitchFamily="34" charset="0"/>
                <a:cs typeface="Arial" pitchFamily="34" charset="0"/>
              </a:rPr>
              <a:t> Property</a:t>
            </a:r>
            <a:endParaRPr lang="en-US" sz="1000">
              <a:latin typeface="Arial" pitchFamily="34" charset="0"/>
              <a:cs typeface="Arial" pitchFamily="34" charset="0"/>
            </a:endParaRPr>
          </a:p>
        </c:rich>
      </c:tx>
      <c:layout>
        <c:manualLayout>
          <c:xMode val="edge"/>
          <c:yMode val="edge"/>
          <c:x val="0.45207739730208141"/>
          <c:y val="3.4115146229515239E-2"/>
        </c:manualLayout>
      </c:layout>
      <c:overlay val="1"/>
    </c:title>
    <c:autoTitleDeleted val="0"/>
    <c:plotArea>
      <c:layout>
        <c:manualLayout>
          <c:layoutTarget val="inner"/>
          <c:xMode val="edge"/>
          <c:yMode val="edge"/>
          <c:x val="5.9437445319335085E-2"/>
          <c:y val="0.31991907261592301"/>
          <c:w val="0.89093066491688544"/>
          <c:h val="0.62868037328667248"/>
        </c:manualLayout>
      </c:layout>
      <c:scatterChart>
        <c:scatterStyle val="lineMarker"/>
        <c:varyColors val="0"/>
        <c:ser>
          <c:idx val="0"/>
          <c:order val="0"/>
          <c:spPr>
            <a:ln w="28575">
              <a:noFill/>
            </a:ln>
          </c:spPr>
          <c:trendline>
            <c:trendlineType val="poly"/>
            <c:order val="2"/>
            <c:dispRSqr val="1"/>
            <c:dispEq val="1"/>
            <c:trendlineLbl>
              <c:layout>
                <c:manualLayout>
                  <c:x val="-0.36111115180369896"/>
                  <c:y val="-0.39602222767427825"/>
                </c:manualLayout>
              </c:layout>
              <c:numFmt formatCode="General" sourceLinked="0"/>
            </c:trendlineLbl>
          </c:trendline>
          <c:trendline>
            <c:trendlineType val="linear"/>
            <c:dispRSqr val="1"/>
            <c:dispEq val="1"/>
            <c:trendlineLbl>
              <c:layout>
                <c:manualLayout>
                  <c:x val="-0.39263065372642375"/>
                  <c:y val="-0.15420717653737534"/>
                </c:manualLayout>
              </c:layout>
              <c:numFmt formatCode="General" sourceLinked="0"/>
            </c:trendlineLbl>
          </c:trendline>
          <c:xVal>
            <c:numRef>
              <c:f>'Political Risk'!$BR$2:$BR$36</c:f>
              <c:numCache>
                <c:formatCode>0.00</c:formatCode>
                <c:ptCount val="35"/>
                <c:pt idx="0">
                  <c:v>0.8649520538218296</c:v>
                </c:pt>
                <c:pt idx="1">
                  <c:v>1.2642703968887912</c:v>
                </c:pt>
                <c:pt idx="2">
                  <c:v>0.96478163958856999</c:v>
                </c:pt>
                <c:pt idx="3">
                  <c:v>-0.53266214691253644</c:v>
                </c:pt>
                <c:pt idx="4">
                  <c:v>-0.95693788642118316</c:v>
                </c:pt>
                <c:pt idx="5">
                  <c:v>-1.1316396615129789</c:v>
                </c:pt>
                <c:pt idx="6">
                  <c:v>-0.70736392200433218</c:v>
                </c:pt>
                <c:pt idx="7">
                  <c:v>0.66529288228834871</c:v>
                </c:pt>
                <c:pt idx="8">
                  <c:v>0.7651224680550891</c:v>
                </c:pt>
                <c:pt idx="9">
                  <c:v>0.2410171427797019</c:v>
                </c:pt>
                <c:pt idx="10">
                  <c:v>-0.85710830065444277</c:v>
                </c:pt>
                <c:pt idx="11">
                  <c:v>1.2143556040054211</c:v>
                </c:pt>
                <c:pt idx="12">
                  <c:v>-1.1815544543963492</c:v>
                </c:pt>
                <c:pt idx="13">
                  <c:v>-1.0567674721879237</c:v>
                </c:pt>
                <c:pt idx="14">
                  <c:v>0.36580412498812742</c:v>
                </c:pt>
                <c:pt idx="15">
                  <c:v>0.31588933210475723</c:v>
                </c:pt>
                <c:pt idx="16">
                  <c:v>0.56546329652160832</c:v>
                </c:pt>
                <c:pt idx="17">
                  <c:v>-1.38121362592983</c:v>
                </c:pt>
                <c:pt idx="18">
                  <c:v>0.69025027873003386</c:v>
                </c:pt>
                <c:pt idx="19">
                  <c:v>-1.9053189512052173</c:v>
                </c:pt>
                <c:pt idx="20">
                  <c:v>-0.58257693979590663</c:v>
                </c:pt>
                <c:pt idx="21">
                  <c:v>0.54050590007992316</c:v>
                </c:pt>
                <c:pt idx="22">
                  <c:v>1.0646112253553104</c:v>
                </c:pt>
                <c:pt idx="23">
                  <c:v>0.74016507161340406</c:v>
                </c:pt>
                <c:pt idx="24">
                  <c:v>-1.4810432116965704</c:v>
                </c:pt>
                <c:pt idx="25">
                  <c:v>0.46563371075486787</c:v>
                </c:pt>
                <c:pt idx="26">
                  <c:v>6.6315367687906177E-2</c:v>
                </c:pt>
                <c:pt idx="27">
                  <c:v>-0.80719350777107257</c:v>
                </c:pt>
                <c:pt idx="28">
                  <c:v>0.41571891787149767</c:v>
                </c:pt>
                <c:pt idx="29">
                  <c:v>0.19110234989633171</c:v>
                </c:pt>
                <c:pt idx="30">
                  <c:v>1.7883757221641785</c:v>
                </c:pt>
                <c:pt idx="31">
                  <c:v>-0.48274735402916619</c:v>
                </c:pt>
                <c:pt idx="32">
                  <c:v>-1.1316396615129789</c:v>
                </c:pt>
                <c:pt idx="33">
                  <c:v>2.0129922901393447</c:v>
                </c:pt>
                <c:pt idx="34">
                  <c:v>-1.0068526793045534</c:v>
                </c:pt>
              </c:numCache>
            </c:numRef>
          </c:xVal>
          <c:yVal>
            <c:numRef>
              <c:f>'Political Risk'!$BS$2:$BS$36</c:f>
              <c:numCache>
                <c:formatCode>0.00</c:formatCode>
                <c:ptCount val="35"/>
                <c:pt idx="0">
                  <c:v>1.4255405250063531</c:v>
                </c:pt>
                <c:pt idx="1">
                  <c:v>2.5816515950898986</c:v>
                </c:pt>
                <c:pt idx="2">
                  <c:v>-0.49043451301485325</c:v>
                </c:pt>
                <c:pt idx="3">
                  <c:v>-0.16621307800406349</c:v>
                </c:pt>
                <c:pt idx="4">
                  <c:v>-0.6767951584626779</c:v>
                </c:pt>
                <c:pt idx="5">
                  <c:v>-0.36041566053529961</c:v>
                </c:pt>
                <c:pt idx="6">
                  <c:v>-0.58302567466255073</c:v>
                </c:pt>
                <c:pt idx="7">
                  <c:v>0.52258007005995533</c:v>
                </c:pt>
                <c:pt idx="8">
                  <c:v>0.4698109730760216</c:v>
                </c:pt>
                <c:pt idx="9">
                  <c:v>5.2153815465916083E-2</c:v>
                </c:pt>
                <c:pt idx="10">
                  <c:v>0.23785564532605222</c:v>
                </c:pt>
                <c:pt idx="11">
                  <c:v>0.17908465127013667</c:v>
                </c:pt>
                <c:pt idx="12">
                  <c:v>0.51533309859538157</c:v>
                </c:pt>
                <c:pt idx="13">
                  <c:v>0.23579793496626733</c:v>
                </c:pt>
                <c:pt idx="14">
                  <c:v>-0.35838987515994025</c:v>
                </c:pt>
                <c:pt idx="15">
                  <c:v>0.60268856279730743</c:v>
                </c:pt>
                <c:pt idx="16">
                  <c:v>0.59372054444507161</c:v>
                </c:pt>
                <c:pt idx="17">
                  <c:v>0.12883472578450098</c:v>
                </c:pt>
                <c:pt idx="18">
                  <c:v>-9.8450847425420679E-2</c:v>
                </c:pt>
                <c:pt idx="19">
                  <c:v>0.10189874574336752</c:v>
                </c:pt>
                <c:pt idx="20">
                  <c:v>-0.61809672118954739</c:v>
                </c:pt>
                <c:pt idx="21">
                  <c:v>-0.48422075013713889</c:v>
                </c:pt>
                <c:pt idx="22">
                  <c:v>2.1692475485534328</c:v>
                </c:pt>
                <c:pt idx="23">
                  <c:v>-0.55505648603455771</c:v>
                </c:pt>
                <c:pt idx="24">
                  <c:v>-0.50718932529558414</c:v>
                </c:pt>
                <c:pt idx="25">
                  <c:v>-0.46284842419996541</c:v>
                </c:pt>
                <c:pt idx="26">
                  <c:v>-0.36315540465326435</c:v>
                </c:pt>
                <c:pt idx="27">
                  <c:v>-0.16466036285246269</c:v>
                </c:pt>
                <c:pt idx="28">
                  <c:v>0.49002529275994527</c:v>
                </c:pt>
                <c:pt idx="29">
                  <c:v>-0.49266345738201095</c:v>
                </c:pt>
                <c:pt idx="30">
                  <c:v>0.16739140015649304</c:v>
                </c:pt>
                <c:pt idx="31">
                  <c:v>-0.75252764608080247</c:v>
                </c:pt>
                <c:pt idx="32">
                  <c:v>-0.24455989205539388</c:v>
                </c:pt>
                <c:pt idx="33">
                  <c:v>1.5328752249159792</c:v>
                </c:pt>
                <c:pt idx="34">
                  <c:v>0.45654469091159733</c:v>
                </c:pt>
              </c:numCache>
            </c:numRef>
          </c:yVal>
          <c:smooth val="0"/>
        </c:ser>
        <c:dLbls>
          <c:showLegendKey val="0"/>
          <c:showVal val="0"/>
          <c:showCatName val="0"/>
          <c:showSerName val="0"/>
          <c:showPercent val="0"/>
          <c:showBubbleSize val="0"/>
        </c:dLbls>
        <c:axId val="159682944"/>
        <c:axId val="159684480"/>
      </c:scatterChart>
      <c:valAx>
        <c:axId val="159682944"/>
        <c:scaling>
          <c:orientation val="minMax"/>
        </c:scaling>
        <c:delete val="0"/>
        <c:axPos val="b"/>
        <c:numFmt formatCode="0.00" sourceLinked="1"/>
        <c:majorTickMark val="out"/>
        <c:minorTickMark val="none"/>
        <c:tickLblPos val="nextTo"/>
        <c:crossAx val="159684480"/>
        <c:crosses val="autoZero"/>
        <c:crossBetween val="midCat"/>
      </c:valAx>
      <c:valAx>
        <c:axId val="159684480"/>
        <c:scaling>
          <c:orientation val="minMax"/>
        </c:scaling>
        <c:delete val="0"/>
        <c:axPos val="l"/>
        <c:majorGridlines>
          <c:spPr>
            <a:ln>
              <a:noFill/>
            </a:ln>
          </c:spPr>
        </c:majorGridlines>
        <c:numFmt formatCode="0.00" sourceLinked="1"/>
        <c:majorTickMark val="out"/>
        <c:minorTickMark val="none"/>
        <c:tickLblPos val="nextTo"/>
        <c:crossAx val="159682944"/>
        <c:crosses val="autoZero"/>
        <c:crossBetween val="midCat"/>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Trading</a:t>
            </a:r>
          </a:p>
        </c:rich>
      </c:tx>
      <c:layout/>
      <c:overlay val="1"/>
    </c:title>
    <c:autoTitleDeleted val="0"/>
    <c:plotArea>
      <c:layout>
        <c:manualLayout>
          <c:layoutTarget val="inner"/>
          <c:xMode val="edge"/>
          <c:yMode val="edge"/>
          <c:x val="8.3838147991753403E-2"/>
          <c:y val="0.30999246335323782"/>
          <c:w val="0.84296513409009999"/>
          <c:h val="0.63987592545588923"/>
        </c:manualLayout>
      </c:layout>
      <c:scatterChart>
        <c:scatterStyle val="lineMarker"/>
        <c:varyColors val="0"/>
        <c:ser>
          <c:idx val="0"/>
          <c:order val="0"/>
          <c:spPr>
            <a:ln w="28575">
              <a:noFill/>
            </a:ln>
          </c:spPr>
          <c:trendline>
            <c:trendlineType val="poly"/>
            <c:order val="2"/>
            <c:dispRSqr val="1"/>
            <c:dispEq val="1"/>
            <c:trendlineLbl>
              <c:layout>
                <c:manualLayout>
                  <c:x val="-0.22449605471240386"/>
                  <c:y val="-0.24201746338977617"/>
                </c:manualLayout>
              </c:layout>
              <c:numFmt formatCode="General" sourceLinked="0"/>
            </c:trendlineLbl>
          </c:trendline>
          <c:trendline>
            <c:trendlineType val="linear"/>
            <c:dispRSqr val="1"/>
            <c:dispEq val="1"/>
            <c:trendlineLbl>
              <c:layout>
                <c:manualLayout>
                  <c:x val="0.20416834331039851"/>
                  <c:y val="-0.40026658391132969"/>
                </c:manualLayout>
              </c:layout>
              <c:numFmt formatCode="General" sourceLinked="0"/>
            </c:trendlineLbl>
          </c:trendline>
          <c:xVal>
            <c:numRef>
              <c:f>'Political Risk'!$BW$2:$BW$36</c:f>
              <c:numCache>
                <c:formatCode>0.000</c:formatCode>
                <c:ptCount val="35"/>
                <c:pt idx="0">
                  <c:v>0.97282357970243072</c:v>
                </c:pt>
                <c:pt idx="1">
                  <c:v>1.0783195527143132</c:v>
                </c:pt>
                <c:pt idx="2">
                  <c:v>0.94644958644946009</c:v>
                </c:pt>
                <c:pt idx="3">
                  <c:v>0.78820562693163632</c:v>
                </c:pt>
                <c:pt idx="4">
                  <c:v>-0.26675410318718856</c:v>
                </c:pt>
                <c:pt idx="5">
                  <c:v>-0.74148598174065983</c:v>
                </c:pt>
                <c:pt idx="6">
                  <c:v>0.55083968765490077</c:v>
                </c:pt>
                <c:pt idx="7">
                  <c:v>0.52446569440193014</c:v>
                </c:pt>
                <c:pt idx="8">
                  <c:v>-1.0052259142703661</c:v>
                </c:pt>
                <c:pt idx="9">
                  <c:v>1.2629375054851075</c:v>
                </c:pt>
                <c:pt idx="10">
                  <c:v>-1.506331786076808</c:v>
                </c:pt>
                <c:pt idx="11">
                  <c:v>-0.34587608294610045</c:v>
                </c:pt>
                <c:pt idx="12">
                  <c:v>1.4739294515088726</c:v>
                </c:pt>
                <c:pt idx="13">
                  <c:v>-1.1370958805352192</c:v>
                </c:pt>
                <c:pt idx="14">
                  <c:v>0.28709975512519448</c:v>
                </c:pt>
                <c:pt idx="15">
                  <c:v>-0.13488413692233547</c:v>
                </c:pt>
                <c:pt idx="16">
                  <c:v>-0.8206079614995716</c:v>
                </c:pt>
                <c:pt idx="17">
                  <c:v>0.6827096539197538</c:v>
                </c:pt>
                <c:pt idx="18">
                  <c:v>0.44534371464301825</c:v>
                </c:pt>
                <c:pt idx="19">
                  <c:v>-1.2425918535471017</c:v>
                </c:pt>
                <c:pt idx="20">
                  <c:v>-1.0843478940292779</c:v>
                </c:pt>
                <c:pt idx="21">
                  <c:v>-0.5304940357168948</c:v>
                </c:pt>
                <c:pt idx="22">
                  <c:v>7.6107809101429516E-2</c:v>
                </c:pt>
                <c:pt idx="23">
                  <c:v>-1.770071718606514</c:v>
                </c:pt>
                <c:pt idx="24">
                  <c:v>-0.66236400198174794</c:v>
                </c:pt>
                <c:pt idx="25">
                  <c:v>-0.45137205595798291</c:v>
                </c:pt>
                <c:pt idx="26">
                  <c:v>-0.76785997499363046</c:v>
                </c:pt>
                <c:pt idx="27">
                  <c:v>-0.10851014366936483</c:v>
                </c:pt>
                <c:pt idx="28">
                  <c:v>-0.16125813017530607</c:v>
                </c:pt>
                <c:pt idx="29">
                  <c:v>-1.2689658468000722</c:v>
                </c:pt>
                <c:pt idx="30">
                  <c:v>-5.5762157163423594E-2</c:v>
                </c:pt>
                <c:pt idx="31">
                  <c:v>1.6057994177737256</c:v>
                </c:pt>
                <c:pt idx="32">
                  <c:v>1.4211814650029313</c:v>
                </c:pt>
                <c:pt idx="33">
                  <c:v>2.3442712288569032</c:v>
                </c:pt>
                <c:pt idx="34">
                  <c:v>-0.39862406945204171</c:v>
                </c:pt>
              </c:numCache>
            </c:numRef>
          </c:xVal>
          <c:yVal>
            <c:numRef>
              <c:f>'Political Risk'!$BX$2:$BX$36</c:f>
              <c:numCache>
                <c:formatCode>0.00</c:formatCode>
                <c:ptCount val="35"/>
                <c:pt idx="0">
                  <c:v>1.4255405250063531</c:v>
                </c:pt>
                <c:pt idx="1">
                  <c:v>2.5816515950898986</c:v>
                </c:pt>
                <c:pt idx="2">
                  <c:v>-0.49043451301485325</c:v>
                </c:pt>
                <c:pt idx="3">
                  <c:v>-0.16621307800406349</c:v>
                </c:pt>
                <c:pt idx="4">
                  <c:v>-0.6767951584626779</c:v>
                </c:pt>
                <c:pt idx="5">
                  <c:v>-0.36041566053529961</c:v>
                </c:pt>
                <c:pt idx="6">
                  <c:v>-0.58302567466255073</c:v>
                </c:pt>
                <c:pt idx="7">
                  <c:v>0.52258007005995533</c:v>
                </c:pt>
                <c:pt idx="8">
                  <c:v>0.4698109730760216</c:v>
                </c:pt>
                <c:pt idx="9">
                  <c:v>1.4223422220211868</c:v>
                </c:pt>
                <c:pt idx="10">
                  <c:v>5.2153815465916083E-2</c:v>
                </c:pt>
                <c:pt idx="11">
                  <c:v>0.23785564532605222</c:v>
                </c:pt>
                <c:pt idx="12">
                  <c:v>0.17908465127013667</c:v>
                </c:pt>
                <c:pt idx="13">
                  <c:v>0.2308989009926187</c:v>
                </c:pt>
                <c:pt idx="14">
                  <c:v>0.51533309859538157</c:v>
                </c:pt>
                <c:pt idx="15">
                  <c:v>0.23579793496626733</c:v>
                </c:pt>
                <c:pt idx="16">
                  <c:v>-0.35838987515994025</c:v>
                </c:pt>
                <c:pt idx="17">
                  <c:v>0.59372054444507161</c:v>
                </c:pt>
                <c:pt idx="18">
                  <c:v>-9.8450847425420679E-2</c:v>
                </c:pt>
                <c:pt idx="19">
                  <c:v>0.10189874574336752</c:v>
                </c:pt>
                <c:pt idx="20">
                  <c:v>-0.61809672118954739</c:v>
                </c:pt>
                <c:pt idx="21">
                  <c:v>-0.48422075013713889</c:v>
                </c:pt>
                <c:pt idx="22">
                  <c:v>2.1692475485534328</c:v>
                </c:pt>
                <c:pt idx="23">
                  <c:v>-0.55505648603455771</c:v>
                </c:pt>
                <c:pt idx="24">
                  <c:v>-0.50718932529558414</c:v>
                </c:pt>
                <c:pt idx="25">
                  <c:v>-0.46284842419996541</c:v>
                </c:pt>
                <c:pt idx="26">
                  <c:v>-0.36315540465326435</c:v>
                </c:pt>
                <c:pt idx="27">
                  <c:v>0.49002529275994527</c:v>
                </c:pt>
                <c:pt idx="28">
                  <c:v>0.16739140015649304</c:v>
                </c:pt>
                <c:pt idx="29">
                  <c:v>-0.75252764608080247</c:v>
                </c:pt>
                <c:pt idx="30">
                  <c:v>-0.24455989205539388</c:v>
                </c:pt>
                <c:pt idx="31">
                  <c:v>1.5328752249159792</c:v>
                </c:pt>
                <c:pt idx="32">
                  <c:v>-0.34765727585037098</c:v>
                </c:pt>
                <c:pt idx="33">
                  <c:v>2.7898082980863612</c:v>
                </c:pt>
                <c:pt idx="34">
                  <c:v>0.45654469091159733</c:v>
                </c:pt>
              </c:numCache>
            </c:numRef>
          </c:yVal>
          <c:smooth val="0"/>
        </c:ser>
        <c:dLbls>
          <c:showLegendKey val="0"/>
          <c:showVal val="0"/>
          <c:showCatName val="0"/>
          <c:showSerName val="0"/>
          <c:showPercent val="0"/>
          <c:showBubbleSize val="0"/>
        </c:dLbls>
        <c:axId val="159726592"/>
        <c:axId val="159728384"/>
      </c:scatterChart>
      <c:valAx>
        <c:axId val="159726592"/>
        <c:scaling>
          <c:orientation val="minMax"/>
        </c:scaling>
        <c:delete val="0"/>
        <c:axPos val="b"/>
        <c:numFmt formatCode="0.000" sourceLinked="1"/>
        <c:majorTickMark val="out"/>
        <c:minorTickMark val="none"/>
        <c:tickLblPos val="nextTo"/>
        <c:crossAx val="159728384"/>
        <c:crosses val="autoZero"/>
        <c:crossBetween val="midCat"/>
      </c:valAx>
      <c:valAx>
        <c:axId val="159728384"/>
        <c:scaling>
          <c:orientation val="minMax"/>
        </c:scaling>
        <c:delete val="0"/>
        <c:axPos val="l"/>
        <c:majorGridlines>
          <c:spPr>
            <a:ln>
              <a:noFill/>
            </a:ln>
          </c:spPr>
        </c:majorGridlines>
        <c:numFmt formatCode="0.00" sourceLinked="1"/>
        <c:majorTickMark val="out"/>
        <c:minorTickMark val="none"/>
        <c:tickLblPos val="nextTo"/>
        <c:crossAx val="159726592"/>
        <c:crosses val="autoZero"/>
        <c:crossBetween val="midCat"/>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Enforcing</a:t>
            </a:r>
            <a:r>
              <a:rPr lang="en-US" sz="1000" baseline="0">
                <a:latin typeface="Arial" pitchFamily="34" charset="0"/>
                <a:cs typeface="Arial" pitchFamily="34" charset="0"/>
              </a:rPr>
              <a:t> Contracts</a:t>
            </a:r>
            <a:endParaRPr lang="en-US" sz="1000">
              <a:latin typeface="Arial" pitchFamily="34" charset="0"/>
              <a:cs typeface="Arial" pitchFamily="34" charset="0"/>
            </a:endParaRPr>
          </a:p>
        </c:rich>
      </c:tx>
      <c:layout/>
      <c:overlay val="1"/>
    </c:title>
    <c:autoTitleDeleted val="0"/>
    <c:plotArea>
      <c:layout>
        <c:manualLayout>
          <c:layoutTarget val="inner"/>
          <c:xMode val="edge"/>
          <c:yMode val="edge"/>
          <c:x val="5.2682667678588369E-2"/>
          <c:y val="0.1889311537410541"/>
          <c:w val="0.89955032729342566"/>
          <c:h val="0.74370036697216946"/>
        </c:manualLayout>
      </c:layout>
      <c:scatterChart>
        <c:scatterStyle val="lineMarker"/>
        <c:varyColors val="0"/>
        <c:ser>
          <c:idx val="0"/>
          <c:order val="0"/>
          <c:spPr>
            <a:ln w="28575">
              <a:noFill/>
            </a:ln>
          </c:spPr>
          <c:trendline>
            <c:trendlineType val="poly"/>
            <c:order val="2"/>
            <c:dispRSqr val="1"/>
            <c:dispEq val="1"/>
            <c:trendlineLbl>
              <c:layout>
                <c:manualLayout>
                  <c:x val="-0.43812541504601082"/>
                  <c:y val="-0.3584013827256527"/>
                </c:manualLayout>
              </c:layout>
              <c:numFmt formatCode="General" sourceLinked="0"/>
            </c:trendlineLbl>
          </c:trendline>
          <c:trendline>
            <c:trendlineType val="linear"/>
            <c:dispRSqr val="1"/>
            <c:dispEq val="1"/>
            <c:trendlineLbl>
              <c:layout>
                <c:manualLayout>
                  <c:x val="-0.57359516807387023"/>
                  <c:y val="-0.27192654521435766"/>
                </c:manualLayout>
              </c:layout>
              <c:numFmt formatCode="General" sourceLinked="0"/>
            </c:trendlineLbl>
          </c:trendline>
          <c:xVal>
            <c:numRef>
              <c:f>'Political Risk'!$CB$2:$CB$35</c:f>
              <c:numCache>
                <c:formatCode>0.00</c:formatCode>
                <c:ptCount val="34"/>
                <c:pt idx="0">
                  <c:v>1.6964696403805843</c:v>
                </c:pt>
                <c:pt idx="1">
                  <c:v>0.19995453878466499</c:v>
                </c:pt>
                <c:pt idx="2">
                  <c:v>-3.521212003755092E-2</c:v>
                </c:pt>
                <c:pt idx="3">
                  <c:v>-0.44140907618501474</c:v>
                </c:pt>
                <c:pt idx="4">
                  <c:v>-1.5744847959647823</c:v>
                </c:pt>
                <c:pt idx="5">
                  <c:v>1.3116514713987766</c:v>
                </c:pt>
                <c:pt idx="6">
                  <c:v>-0.89036360666379055</c:v>
                </c:pt>
                <c:pt idx="7">
                  <c:v>-9.934848153451889E-2</c:v>
                </c:pt>
                <c:pt idx="8">
                  <c:v>1.1619999612391845</c:v>
                </c:pt>
                <c:pt idx="9">
                  <c:v>-0.80484845800116656</c:v>
                </c:pt>
                <c:pt idx="10">
                  <c:v>1.2688938970674646</c:v>
                </c:pt>
                <c:pt idx="11">
                  <c:v>-0.93312118099510255</c:v>
                </c:pt>
                <c:pt idx="12">
                  <c:v>-1.4248332858051902</c:v>
                </c:pt>
                <c:pt idx="13">
                  <c:v>1.3971666200614004</c:v>
                </c:pt>
                <c:pt idx="14">
                  <c:v>1.1192423869078725</c:v>
                </c:pt>
                <c:pt idx="15">
                  <c:v>0.84131815375434471</c:v>
                </c:pt>
                <c:pt idx="16">
                  <c:v>-1.1255302654860064</c:v>
                </c:pt>
                <c:pt idx="17">
                  <c:v>0.71304543076040872</c:v>
                </c:pt>
                <c:pt idx="18">
                  <c:v>-1.5317272216334703</c:v>
                </c:pt>
                <c:pt idx="19">
                  <c:v>-0.63381816067591867</c:v>
                </c:pt>
                <c:pt idx="20">
                  <c:v>-0.16348484303148686</c:v>
                </c:pt>
                <c:pt idx="21">
                  <c:v>1.4185454072270565</c:v>
                </c:pt>
                <c:pt idx="22">
                  <c:v>0.64890906926344083</c:v>
                </c:pt>
                <c:pt idx="23">
                  <c:v>0.45649998477253684</c:v>
                </c:pt>
                <c:pt idx="24">
                  <c:v>0.62753028209778483</c:v>
                </c:pt>
                <c:pt idx="25">
                  <c:v>-0.24899999169411083</c:v>
                </c:pt>
                <c:pt idx="26">
                  <c:v>-1.5103484344678142</c:v>
                </c:pt>
                <c:pt idx="27">
                  <c:v>0.11443939012204102</c:v>
                </c:pt>
                <c:pt idx="28">
                  <c:v>-7.7969694368862905E-2</c:v>
                </c:pt>
                <c:pt idx="29">
                  <c:v>1.0337272382452487</c:v>
                </c:pt>
                <c:pt idx="30">
                  <c:v>-0.22762120452845483</c:v>
                </c:pt>
                <c:pt idx="31">
                  <c:v>-1.3393181371425664</c:v>
                </c:pt>
                <c:pt idx="32">
                  <c:v>0.28546968744728896</c:v>
                </c:pt>
                <c:pt idx="33">
                  <c:v>-1.2324242013142863</c:v>
                </c:pt>
              </c:numCache>
            </c:numRef>
          </c:xVal>
          <c:yVal>
            <c:numRef>
              <c:f>'Political Risk'!$CC$2:$CC$35</c:f>
              <c:numCache>
                <c:formatCode>0.00</c:formatCode>
                <c:ptCount val="34"/>
                <c:pt idx="0">
                  <c:v>2.5816515950898986</c:v>
                </c:pt>
                <c:pt idx="1">
                  <c:v>-0.49043451301485325</c:v>
                </c:pt>
                <c:pt idx="2">
                  <c:v>-0.16621307800406349</c:v>
                </c:pt>
                <c:pt idx="3">
                  <c:v>-0.6767951584626779</c:v>
                </c:pt>
                <c:pt idx="4">
                  <c:v>-0.36041566053529961</c:v>
                </c:pt>
                <c:pt idx="5">
                  <c:v>-0.58302567466255073</c:v>
                </c:pt>
                <c:pt idx="6">
                  <c:v>0.52258007005995533</c:v>
                </c:pt>
                <c:pt idx="7">
                  <c:v>0.4698109730760216</c:v>
                </c:pt>
                <c:pt idx="8">
                  <c:v>5.2153815465916083E-2</c:v>
                </c:pt>
                <c:pt idx="9">
                  <c:v>0.23785564532605222</c:v>
                </c:pt>
                <c:pt idx="10">
                  <c:v>0.17908465127013667</c:v>
                </c:pt>
                <c:pt idx="11">
                  <c:v>0.51533309859538157</c:v>
                </c:pt>
                <c:pt idx="12">
                  <c:v>0.23579793496626733</c:v>
                </c:pt>
                <c:pt idx="13">
                  <c:v>-0.35838987515994025</c:v>
                </c:pt>
                <c:pt idx="14">
                  <c:v>0.60268856279730743</c:v>
                </c:pt>
                <c:pt idx="15">
                  <c:v>0.59372054444507161</c:v>
                </c:pt>
                <c:pt idx="16">
                  <c:v>0.12883472578450098</c:v>
                </c:pt>
                <c:pt idx="17">
                  <c:v>-9.8450847425420679E-2</c:v>
                </c:pt>
                <c:pt idx="18">
                  <c:v>0.10189874574336752</c:v>
                </c:pt>
                <c:pt idx="19">
                  <c:v>-0.61809672118954739</c:v>
                </c:pt>
                <c:pt idx="20">
                  <c:v>-0.48422075013713889</c:v>
                </c:pt>
                <c:pt idx="21">
                  <c:v>2.1692475485534328</c:v>
                </c:pt>
                <c:pt idx="22">
                  <c:v>-0.55505648603455771</c:v>
                </c:pt>
                <c:pt idx="23">
                  <c:v>-0.50718932529558414</c:v>
                </c:pt>
                <c:pt idx="24">
                  <c:v>-0.46284842419996541</c:v>
                </c:pt>
                <c:pt idx="25">
                  <c:v>-0.36315540465326435</c:v>
                </c:pt>
                <c:pt idx="26">
                  <c:v>-0.16466036285246269</c:v>
                </c:pt>
                <c:pt idx="27">
                  <c:v>0.49002529275994527</c:v>
                </c:pt>
                <c:pt idx="28">
                  <c:v>-0.49266345738201095</c:v>
                </c:pt>
                <c:pt idx="29">
                  <c:v>0.16739140015649304</c:v>
                </c:pt>
                <c:pt idx="30">
                  <c:v>-0.75252764608080247</c:v>
                </c:pt>
                <c:pt idx="31">
                  <c:v>-0.24455989205539388</c:v>
                </c:pt>
                <c:pt idx="32">
                  <c:v>-0.34765727585037098</c:v>
                </c:pt>
                <c:pt idx="33">
                  <c:v>0.45654469091159733</c:v>
                </c:pt>
              </c:numCache>
            </c:numRef>
          </c:yVal>
          <c:smooth val="0"/>
        </c:ser>
        <c:dLbls>
          <c:showLegendKey val="0"/>
          <c:showVal val="0"/>
          <c:showCatName val="0"/>
          <c:showSerName val="0"/>
          <c:showPercent val="0"/>
          <c:showBubbleSize val="0"/>
        </c:dLbls>
        <c:axId val="159745920"/>
        <c:axId val="159747456"/>
      </c:scatterChart>
      <c:valAx>
        <c:axId val="159745920"/>
        <c:scaling>
          <c:orientation val="minMax"/>
        </c:scaling>
        <c:delete val="0"/>
        <c:axPos val="b"/>
        <c:numFmt formatCode="0.00" sourceLinked="1"/>
        <c:majorTickMark val="out"/>
        <c:minorTickMark val="none"/>
        <c:tickLblPos val="nextTo"/>
        <c:crossAx val="159747456"/>
        <c:crosses val="autoZero"/>
        <c:crossBetween val="midCat"/>
      </c:valAx>
      <c:valAx>
        <c:axId val="159747456"/>
        <c:scaling>
          <c:orientation val="minMax"/>
        </c:scaling>
        <c:delete val="0"/>
        <c:axPos val="l"/>
        <c:majorGridlines>
          <c:spPr>
            <a:ln>
              <a:noFill/>
            </a:ln>
          </c:spPr>
        </c:majorGridlines>
        <c:numFmt formatCode="0.00" sourceLinked="1"/>
        <c:majorTickMark val="out"/>
        <c:minorTickMark val="none"/>
        <c:tickLblPos val="nextTo"/>
        <c:crossAx val="159745920"/>
        <c:crosses val="autoZero"/>
        <c:crossBetween val="midCat"/>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ONDD</a:t>
            </a:r>
            <a:r>
              <a:rPr lang="en-US" sz="1000" baseline="0"/>
              <a:t> excluding Iraq and Lebanon</a:t>
            </a:r>
            <a:endParaRPr lang="en-US" sz="1000"/>
          </a:p>
        </c:rich>
      </c:tx>
      <c:layout>
        <c:manualLayout>
          <c:xMode val="edge"/>
          <c:yMode val="edge"/>
          <c:x val="0.1968762101458629"/>
          <c:y val="0"/>
        </c:manualLayout>
      </c:layout>
      <c:overlay val="1"/>
    </c:title>
    <c:autoTitleDeleted val="0"/>
    <c:plotArea>
      <c:layout>
        <c:manualLayout>
          <c:layoutTarget val="inner"/>
          <c:xMode val="edge"/>
          <c:yMode val="edge"/>
          <c:x val="0.15445348020022087"/>
          <c:y val="0.2325833169095507"/>
          <c:w val="0.71123875908954004"/>
          <c:h val="0.69169615339795087"/>
        </c:manualLayout>
      </c:layout>
      <c:scatterChart>
        <c:scatterStyle val="lineMarker"/>
        <c:varyColors val="0"/>
        <c:ser>
          <c:idx val="0"/>
          <c:order val="0"/>
          <c:spPr>
            <a:ln w="28575">
              <a:noFill/>
            </a:ln>
          </c:spPr>
          <c:trendline>
            <c:trendlineType val="poly"/>
            <c:order val="2"/>
            <c:dispRSqr val="1"/>
            <c:dispEq val="1"/>
            <c:trendlineLbl>
              <c:layout>
                <c:manualLayout>
                  <c:x val="-0.23308463491243922"/>
                  <c:y val="-0.18978410288824077"/>
                </c:manualLayout>
              </c:layout>
              <c:numFmt formatCode="General" sourceLinked="0"/>
            </c:trendlineLbl>
          </c:trendline>
          <c:trendline>
            <c:trendlineType val="linear"/>
            <c:dispRSqr val="1"/>
            <c:dispEq val="1"/>
            <c:trendlineLbl>
              <c:layout>
                <c:manualLayout>
                  <c:x val="0.16565208037519899"/>
                  <c:y val="-0.20149376764437849"/>
                </c:manualLayout>
              </c:layout>
              <c:numFmt formatCode="General" sourceLinked="0"/>
            </c:trendlineLbl>
          </c:trendline>
          <c:xVal>
            <c:numRef>
              <c:f>('Political Risk'!$X$2:$X$14,'Political Risk'!$X$16,'Political Risk'!$X$18:$X$40)</c:f>
              <c:numCache>
                <c:formatCode>0.00</c:formatCode>
                <c:ptCount val="37"/>
                <c:pt idx="0">
                  <c:v>-0.57907100181350935</c:v>
                </c:pt>
                <c:pt idx="1">
                  <c:v>-0.33149078460864051</c:v>
                </c:pt>
                <c:pt idx="2">
                  <c:v>-0.79962519111913566</c:v>
                </c:pt>
                <c:pt idx="3">
                  <c:v>-0.59548501459062064</c:v>
                </c:pt>
                <c:pt idx="4">
                  <c:v>0.21771525748702622</c:v>
                </c:pt>
                <c:pt idx="5">
                  <c:v>-0.39347989675358391</c:v>
                </c:pt>
                <c:pt idx="6">
                  <c:v>-0.77259916321989308</c:v>
                </c:pt>
                <c:pt idx="7">
                  <c:v>-0.45224287640835009</c:v>
                </c:pt>
                <c:pt idx="8">
                  <c:v>-0.33149078460864051</c:v>
                </c:pt>
                <c:pt idx="9">
                  <c:v>5.8653625762716689E-2</c:v>
                </c:pt>
                <c:pt idx="10">
                  <c:v>0.85290623647959296</c:v>
                </c:pt>
                <c:pt idx="11">
                  <c:v>0.21771525748702622</c:v>
                </c:pt>
                <c:pt idx="12">
                  <c:v>-0.78855887853380369</c:v>
                </c:pt>
                <c:pt idx="13">
                  <c:v>5.8653625762716689E-2</c:v>
                </c:pt>
                <c:pt idx="14">
                  <c:v>-0.70789287571813353</c:v>
                </c:pt>
                <c:pt idx="15">
                  <c:v>1.5020946781131899</c:v>
                </c:pt>
                <c:pt idx="16">
                  <c:v>-0.78855887853380369</c:v>
                </c:pt>
                <c:pt idx="17">
                  <c:v>-0.65733499338383439</c:v>
                </c:pt>
                <c:pt idx="18">
                  <c:v>0.85290623647959296</c:v>
                </c:pt>
                <c:pt idx="19">
                  <c:v>-0.80805989044936255</c:v>
                </c:pt>
                <c:pt idx="20">
                  <c:v>-0.65733499338383439</c:v>
                </c:pt>
                <c:pt idx="21">
                  <c:v>-0.66531430683071868</c:v>
                </c:pt>
                <c:pt idx="22">
                  <c:v>1.2704741762222318</c:v>
                </c:pt>
                <c:pt idx="23">
                  <c:v>1.5020946781131899</c:v>
                </c:pt>
                <c:pt idx="24">
                  <c:v>1.084526738370551</c:v>
                </c:pt>
                <c:pt idx="25">
                  <c:v>-0.8778891826894607</c:v>
                </c:pt>
                <c:pt idx="26">
                  <c:v>-0.85326516603556324</c:v>
                </c:pt>
                <c:pt idx="27">
                  <c:v>-0.59548501459062064</c:v>
                </c:pt>
                <c:pt idx="28">
                  <c:v>-0.16190056354290971</c:v>
                </c:pt>
                <c:pt idx="29">
                  <c:v>1.7235564144443587</c:v>
                </c:pt>
                <c:pt idx="30">
                  <c:v>-0.59548501459062064</c:v>
                </c:pt>
                <c:pt idx="31">
                  <c:v>0.1478859652469281</c:v>
                </c:pt>
                <c:pt idx="32">
                  <c:v>-0.8778891826894607</c:v>
                </c:pt>
                <c:pt idx="33">
                  <c:v>-0.8778891826894607</c:v>
                </c:pt>
                <c:pt idx="34">
                  <c:v>-0.80805989044936255</c:v>
                </c:pt>
                <c:pt idx="35">
                  <c:v>-0.86682287010412884</c:v>
                </c:pt>
                <c:pt idx="36">
                  <c:v>2.208022496371397</c:v>
                </c:pt>
              </c:numCache>
            </c:numRef>
          </c:xVal>
          <c:yVal>
            <c:numRef>
              <c:f>('Political Risk'!$AO$2:$AO$14,'Political Risk'!$AO$16,'Political Risk'!$AO$18:$AO$40)</c:f>
              <c:numCache>
                <c:formatCode>0.0</c:formatCode>
                <c:ptCount val="37"/>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0.10189874574336752</c:v>
                </c:pt>
                <c:pt idx="15">
                  <c:v>2.1692475485534328</c:v>
                </c:pt>
                <c:pt idx="16">
                  <c:v>-0.36315540465326435</c:v>
                </c:pt>
                <c:pt idx="17">
                  <c:v>-0.16466036285246269</c:v>
                </c:pt>
                <c:pt idx="18">
                  <c:v>0.49002529275994527</c:v>
                </c:pt>
                <c:pt idx="19">
                  <c:v>-0.49266345738201095</c:v>
                </c:pt>
                <c:pt idx="20">
                  <c:v>-0.75252764608080247</c:v>
                </c:pt>
                <c:pt idx="21">
                  <c:v>-0.24455989205539388</c:v>
                </c:pt>
                <c:pt idx="22">
                  <c:v>1.5328752249159792</c:v>
                </c:pt>
                <c:pt idx="23">
                  <c:v>1.4255405250063531</c:v>
                </c:pt>
                <c:pt idx="24">
                  <c:v>2.5816515950898986</c:v>
                </c:pt>
                <c:pt idx="25">
                  <c:v>-0.49043451301485325</c:v>
                </c:pt>
                <c:pt idx="26">
                  <c:v>-0.6767951584626779</c:v>
                </c:pt>
                <c:pt idx="27">
                  <c:v>-0.58302567466255073</c:v>
                </c:pt>
                <c:pt idx="28">
                  <c:v>0.4698109730760216</c:v>
                </c:pt>
                <c:pt idx="29">
                  <c:v>1.4223422220211868</c:v>
                </c:pt>
                <c:pt idx="30">
                  <c:v>0.23785564532605222</c:v>
                </c:pt>
                <c:pt idx="31">
                  <c:v>0.59372054444507161</c:v>
                </c:pt>
                <c:pt idx="32">
                  <c:v>-0.48422075013713889</c:v>
                </c:pt>
                <c:pt idx="33">
                  <c:v>-0.55505648603455771</c:v>
                </c:pt>
                <c:pt idx="34">
                  <c:v>-0.50718932529558414</c:v>
                </c:pt>
                <c:pt idx="35">
                  <c:v>-0.34765727585037098</c:v>
                </c:pt>
                <c:pt idx="36">
                  <c:v>2.7898082980863612</c:v>
                </c:pt>
              </c:numCache>
            </c:numRef>
          </c:yVal>
          <c:smooth val="0"/>
        </c:ser>
        <c:dLbls>
          <c:showLegendKey val="0"/>
          <c:showVal val="0"/>
          <c:showCatName val="0"/>
          <c:showSerName val="0"/>
          <c:showPercent val="0"/>
          <c:showBubbleSize val="0"/>
        </c:dLbls>
        <c:axId val="159806208"/>
        <c:axId val="159807744"/>
      </c:scatterChart>
      <c:valAx>
        <c:axId val="159806208"/>
        <c:scaling>
          <c:orientation val="minMax"/>
        </c:scaling>
        <c:delete val="0"/>
        <c:axPos val="b"/>
        <c:numFmt formatCode="0.00" sourceLinked="1"/>
        <c:majorTickMark val="out"/>
        <c:minorTickMark val="none"/>
        <c:tickLblPos val="nextTo"/>
        <c:crossAx val="159807744"/>
        <c:crosses val="autoZero"/>
        <c:crossBetween val="midCat"/>
      </c:valAx>
      <c:valAx>
        <c:axId val="159807744"/>
        <c:scaling>
          <c:orientation val="minMax"/>
        </c:scaling>
        <c:delete val="0"/>
        <c:axPos val="l"/>
        <c:majorGridlines>
          <c:spPr>
            <a:ln>
              <a:noFill/>
            </a:ln>
          </c:spPr>
        </c:majorGridlines>
        <c:numFmt formatCode="0.0" sourceLinked="1"/>
        <c:majorTickMark val="out"/>
        <c:minorTickMark val="none"/>
        <c:tickLblPos val="nextTo"/>
        <c:crossAx val="159806208"/>
        <c:crosses val="autoZero"/>
        <c:crossBetween val="midCat"/>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itchFamily="34" charset="0"/>
                <a:cs typeface="Arial" pitchFamily="34" charset="0"/>
              </a:rPr>
              <a:t>LT</a:t>
            </a:r>
            <a:r>
              <a:rPr lang="en-US" sz="1000" baseline="0">
                <a:latin typeface="Arial" pitchFamily="34" charset="0"/>
                <a:cs typeface="Arial" pitchFamily="34" charset="0"/>
              </a:rPr>
              <a:t> Political Risk excluding Iraq &amp; Lebanon</a:t>
            </a:r>
            <a:endParaRPr lang="en-US" sz="1000">
              <a:latin typeface="Arial" pitchFamily="34" charset="0"/>
              <a:cs typeface="Arial" pitchFamily="34" charset="0"/>
            </a:endParaRPr>
          </a:p>
        </c:rich>
      </c:tx>
      <c:layout>
        <c:manualLayout>
          <c:xMode val="edge"/>
          <c:yMode val="edge"/>
          <c:x val="0.27221238938053099"/>
          <c:y val="4.060913705583756E-2"/>
        </c:manualLayout>
      </c:layout>
      <c:overlay val="1"/>
    </c:title>
    <c:autoTitleDeleted val="0"/>
    <c:plotArea>
      <c:layout>
        <c:manualLayout>
          <c:layoutTarget val="inner"/>
          <c:xMode val="edge"/>
          <c:yMode val="edge"/>
          <c:x val="6.4493531228950365E-2"/>
          <c:y val="0.22486536898623713"/>
          <c:w val="0.87711683336880186"/>
          <c:h val="0.73050204234820848"/>
        </c:manualLayout>
      </c:layout>
      <c:scatterChart>
        <c:scatterStyle val="lineMarker"/>
        <c:varyColors val="0"/>
        <c:ser>
          <c:idx val="0"/>
          <c:order val="0"/>
          <c:spPr>
            <a:ln w="28575">
              <a:noFill/>
            </a:ln>
          </c:spPr>
          <c:trendline>
            <c:trendlineType val="poly"/>
            <c:order val="2"/>
            <c:dispRSqr val="1"/>
            <c:dispEq val="1"/>
            <c:trendlineLbl>
              <c:layout>
                <c:manualLayout>
                  <c:x val="-0.29804442586269636"/>
                  <c:y val="-0.22012816925803055"/>
                </c:manualLayout>
              </c:layout>
              <c:numFmt formatCode="General" sourceLinked="0"/>
            </c:trendlineLbl>
          </c:trendline>
          <c:trendline>
            <c:trendlineType val="linear"/>
            <c:dispRSqr val="1"/>
            <c:dispEq val="1"/>
            <c:trendlineLbl>
              <c:layout>
                <c:manualLayout>
                  <c:x val="-0.40461260926454989"/>
                  <c:y val="-1.1900822041914812E-2"/>
                </c:manualLayout>
              </c:layout>
              <c:numFmt formatCode="General" sourceLinked="0"/>
            </c:trendlineLbl>
          </c:trendline>
          <c:xVal>
            <c:numRef>
              <c:f>('Political Risk'!$R$2:$R$14,'Political Risk'!$R$16,'Political Risk'!$R$18:$R$40)</c:f>
              <c:numCache>
                <c:formatCode>0.00</c:formatCode>
                <c:ptCount val="37"/>
                <c:pt idx="0">
                  <c:v>-1.4786442064243945</c:v>
                </c:pt>
                <c:pt idx="1">
                  <c:v>-0.30176412376008049</c:v>
                </c:pt>
                <c:pt idx="2">
                  <c:v>-1.4786442064243945</c:v>
                </c:pt>
                <c:pt idx="3">
                  <c:v>-0.30176412376008049</c:v>
                </c:pt>
                <c:pt idx="4">
                  <c:v>0.87511595890423355</c:v>
                </c:pt>
                <c:pt idx="5">
                  <c:v>0.28667591757207656</c:v>
                </c:pt>
                <c:pt idx="6">
                  <c:v>-0.30176412376008049</c:v>
                </c:pt>
                <c:pt idx="7">
                  <c:v>0.28667591757207656</c:v>
                </c:pt>
                <c:pt idx="8">
                  <c:v>-0.30176412376008049</c:v>
                </c:pt>
                <c:pt idx="9">
                  <c:v>0.28667591757207656</c:v>
                </c:pt>
                <c:pt idx="10">
                  <c:v>0.87511595890423355</c:v>
                </c:pt>
                <c:pt idx="11">
                  <c:v>0.87511595890423355</c:v>
                </c:pt>
                <c:pt idx="12">
                  <c:v>-1.4786442064243945</c:v>
                </c:pt>
                <c:pt idx="13">
                  <c:v>0.28667591757207656</c:v>
                </c:pt>
                <c:pt idx="14">
                  <c:v>-0.30176412376008049</c:v>
                </c:pt>
                <c:pt idx="15">
                  <c:v>1.4635560002363905</c:v>
                </c:pt>
                <c:pt idx="16">
                  <c:v>-1.4786442064243945</c:v>
                </c:pt>
                <c:pt idx="17">
                  <c:v>-0.89020416509223754</c:v>
                </c:pt>
                <c:pt idx="18">
                  <c:v>0.87511595890423355</c:v>
                </c:pt>
                <c:pt idx="19">
                  <c:v>-0.89020416509223754</c:v>
                </c:pt>
                <c:pt idx="20">
                  <c:v>-0.89020416509223754</c:v>
                </c:pt>
                <c:pt idx="21">
                  <c:v>-0.30176412376008049</c:v>
                </c:pt>
                <c:pt idx="22">
                  <c:v>1.4635560002363905</c:v>
                </c:pt>
                <c:pt idx="23">
                  <c:v>1.4635560002363905</c:v>
                </c:pt>
                <c:pt idx="24">
                  <c:v>0.87511595890423355</c:v>
                </c:pt>
                <c:pt idx="25">
                  <c:v>-0.89020416509223754</c:v>
                </c:pt>
                <c:pt idx="26">
                  <c:v>-1.4786442064243945</c:v>
                </c:pt>
                <c:pt idx="27">
                  <c:v>-0.30176412376008049</c:v>
                </c:pt>
                <c:pt idx="28">
                  <c:v>0.28667591757207656</c:v>
                </c:pt>
                <c:pt idx="29">
                  <c:v>1.4635560002363905</c:v>
                </c:pt>
                <c:pt idx="30">
                  <c:v>-0.30176412376008049</c:v>
                </c:pt>
                <c:pt idx="31">
                  <c:v>0.87511595890423355</c:v>
                </c:pt>
                <c:pt idx="32">
                  <c:v>-0.89020416509223754</c:v>
                </c:pt>
                <c:pt idx="33">
                  <c:v>-0.89020416509223754</c:v>
                </c:pt>
                <c:pt idx="34">
                  <c:v>-0.89020416509223754</c:v>
                </c:pt>
                <c:pt idx="35">
                  <c:v>-0.89020416509223754</c:v>
                </c:pt>
                <c:pt idx="36">
                  <c:v>1.4635560002363905</c:v>
                </c:pt>
              </c:numCache>
            </c:numRef>
          </c:xVal>
          <c:yVal>
            <c:numRef>
              <c:f>('Political Risk'!$AO$2:$AO$14,'Political Risk'!$AO$16,'Political Risk'!$AO$18:$AO$40)</c:f>
              <c:numCache>
                <c:formatCode>0.0</c:formatCode>
                <c:ptCount val="37"/>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0.10189874574336752</c:v>
                </c:pt>
                <c:pt idx="15">
                  <c:v>2.1692475485534328</c:v>
                </c:pt>
                <c:pt idx="16">
                  <c:v>-0.36315540465326435</c:v>
                </c:pt>
                <c:pt idx="17">
                  <c:v>-0.16466036285246269</c:v>
                </c:pt>
                <c:pt idx="18">
                  <c:v>0.49002529275994527</c:v>
                </c:pt>
                <c:pt idx="19">
                  <c:v>-0.49266345738201095</c:v>
                </c:pt>
                <c:pt idx="20">
                  <c:v>-0.75252764608080247</c:v>
                </c:pt>
                <c:pt idx="21">
                  <c:v>-0.24455989205539388</c:v>
                </c:pt>
                <c:pt idx="22">
                  <c:v>1.5328752249159792</c:v>
                </c:pt>
                <c:pt idx="23">
                  <c:v>1.4255405250063531</c:v>
                </c:pt>
                <c:pt idx="24">
                  <c:v>2.5816515950898986</c:v>
                </c:pt>
                <c:pt idx="25">
                  <c:v>-0.49043451301485325</c:v>
                </c:pt>
                <c:pt idx="26">
                  <c:v>-0.6767951584626779</c:v>
                </c:pt>
                <c:pt idx="27">
                  <c:v>-0.58302567466255073</c:v>
                </c:pt>
                <c:pt idx="28">
                  <c:v>0.4698109730760216</c:v>
                </c:pt>
                <c:pt idx="29">
                  <c:v>1.4223422220211868</c:v>
                </c:pt>
                <c:pt idx="30">
                  <c:v>0.23785564532605222</c:v>
                </c:pt>
                <c:pt idx="31">
                  <c:v>0.59372054444507161</c:v>
                </c:pt>
                <c:pt idx="32">
                  <c:v>-0.48422075013713889</c:v>
                </c:pt>
                <c:pt idx="33">
                  <c:v>-0.55505648603455771</c:v>
                </c:pt>
                <c:pt idx="34">
                  <c:v>-0.50718932529558414</c:v>
                </c:pt>
                <c:pt idx="35">
                  <c:v>-0.34765727585037098</c:v>
                </c:pt>
                <c:pt idx="36">
                  <c:v>2.7898082980863612</c:v>
                </c:pt>
              </c:numCache>
            </c:numRef>
          </c:yVal>
          <c:smooth val="0"/>
        </c:ser>
        <c:dLbls>
          <c:showLegendKey val="0"/>
          <c:showVal val="0"/>
          <c:showCatName val="0"/>
          <c:showSerName val="0"/>
          <c:showPercent val="0"/>
          <c:showBubbleSize val="0"/>
        </c:dLbls>
        <c:axId val="159833472"/>
        <c:axId val="159835264"/>
      </c:scatterChart>
      <c:valAx>
        <c:axId val="159833472"/>
        <c:scaling>
          <c:orientation val="minMax"/>
        </c:scaling>
        <c:delete val="0"/>
        <c:axPos val="b"/>
        <c:numFmt formatCode="0.00" sourceLinked="1"/>
        <c:majorTickMark val="out"/>
        <c:minorTickMark val="none"/>
        <c:tickLblPos val="nextTo"/>
        <c:crossAx val="159835264"/>
        <c:crosses val="autoZero"/>
        <c:crossBetween val="midCat"/>
      </c:valAx>
      <c:valAx>
        <c:axId val="159835264"/>
        <c:scaling>
          <c:orientation val="minMax"/>
        </c:scaling>
        <c:delete val="0"/>
        <c:axPos val="l"/>
        <c:majorGridlines>
          <c:spPr>
            <a:ln>
              <a:noFill/>
            </a:ln>
          </c:spPr>
        </c:majorGridlines>
        <c:numFmt formatCode="0.0" sourceLinked="1"/>
        <c:majorTickMark val="out"/>
        <c:minorTickMark val="none"/>
        <c:tickLblPos val="nextTo"/>
        <c:crossAx val="159833472"/>
        <c:crosses val="autoZero"/>
        <c:crossBetween val="midCat"/>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itchFamily="34" charset="0"/>
                <a:cs typeface="Arial" pitchFamily="34" charset="0"/>
              </a:rPr>
              <a:t>Expropriation</a:t>
            </a:r>
            <a:r>
              <a:rPr lang="en-US" sz="1000" baseline="0">
                <a:latin typeface="Arial" pitchFamily="34" charset="0"/>
                <a:cs typeface="Arial" pitchFamily="34" charset="0"/>
              </a:rPr>
              <a:t> excluding Iraq and Lebanon</a:t>
            </a:r>
            <a:endParaRPr lang="en-US" sz="1000">
              <a:latin typeface="Arial" pitchFamily="34" charset="0"/>
              <a:cs typeface="Arial" pitchFamily="34" charset="0"/>
            </a:endParaRPr>
          </a:p>
        </c:rich>
      </c:tx>
      <c:layout/>
      <c:overlay val="1"/>
    </c:title>
    <c:autoTitleDeleted val="0"/>
    <c:plotArea>
      <c:layout>
        <c:manualLayout>
          <c:layoutTarget val="inner"/>
          <c:xMode val="edge"/>
          <c:yMode val="edge"/>
          <c:x val="6.2288624178387958E-2"/>
          <c:y val="0.21680726351959984"/>
          <c:w val="0.88123471745518989"/>
          <c:h val="0.72127296587926504"/>
        </c:manualLayout>
      </c:layout>
      <c:scatterChart>
        <c:scatterStyle val="lineMarker"/>
        <c:varyColors val="0"/>
        <c:ser>
          <c:idx val="0"/>
          <c:order val="0"/>
          <c:spPr>
            <a:ln w="28575">
              <a:noFill/>
            </a:ln>
          </c:spPr>
          <c:trendline>
            <c:trendlineType val="poly"/>
            <c:order val="2"/>
            <c:dispRSqr val="1"/>
            <c:dispEq val="1"/>
            <c:trendlineLbl>
              <c:layout>
                <c:manualLayout>
                  <c:x val="0.2059941225295556"/>
                  <c:y val="-0.17204888455044279"/>
                </c:manualLayout>
              </c:layout>
              <c:numFmt formatCode="General" sourceLinked="0"/>
            </c:trendlineLbl>
          </c:trendline>
          <c:trendline>
            <c:trendlineType val="linear"/>
            <c:dispRSqr val="1"/>
            <c:dispEq val="1"/>
            <c:trendlineLbl>
              <c:layout>
                <c:manualLayout>
                  <c:x val="-0.436607817185245"/>
                  <c:y val="-0.22459782977378739"/>
                </c:manualLayout>
              </c:layout>
              <c:numFmt formatCode="General" sourceLinked="0"/>
            </c:trendlineLbl>
          </c:trendline>
          <c:xVal>
            <c:numRef>
              <c:f>('Political Risk'!$T$2:$T$14,'Political Risk'!$T$16,'Political Risk'!$T$18:$T$40)</c:f>
              <c:numCache>
                <c:formatCode>0.00</c:formatCode>
                <c:ptCount val="37"/>
                <c:pt idx="0">
                  <c:v>0.43817267136761756</c:v>
                </c:pt>
                <c:pt idx="1">
                  <c:v>1.0274393673447584</c:v>
                </c:pt>
                <c:pt idx="2">
                  <c:v>-0.74036072058666413</c:v>
                </c:pt>
                <c:pt idx="3">
                  <c:v>-0.15109402460952329</c:v>
                </c:pt>
                <c:pt idx="4">
                  <c:v>-0.15109402460952329</c:v>
                </c:pt>
                <c:pt idx="5">
                  <c:v>-0.15109402460952329</c:v>
                </c:pt>
                <c:pt idx="6">
                  <c:v>-1.3296274165638051</c:v>
                </c:pt>
                <c:pt idx="7">
                  <c:v>-1.3296274165638051</c:v>
                </c:pt>
                <c:pt idx="8">
                  <c:v>1.0274393673447584</c:v>
                </c:pt>
                <c:pt idx="9">
                  <c:v>0.43817267136761756</c:v>
                </c:pt>
                <c:pt idx="10">
                  <c:v>0.43817267136761756</c:v>
                </c:pt>
                <c:pt idx="11">
                  <c:v>-0.15109402460952329</c:v>
                </c:pt>
                <c:pt idx="12">
                  <c:v>-1.3296274165638051</c:v>
                </c:pt>
                <c:pt idx="13">
                  <c:v>0.43817267136761756</c:v>
                </c:pt>
                <c:pt idx="14">
                  <c:v>-1.3296274165638051</c:v>
                </c:pt>
                <c:pt idx="15">
                  <c:v>1.0274393673447584</c:v>
                </c:pt>
                <c:pt idx="16">
                  <c:v>-1.3296274165638051</c:v>
                </c:pt>
                <c:pt idx="17">
                  <c:v>0.43817267136761756</c:v>
                </c:pt>
                <c:pt idx="18">
                  <c:v>0.43817267136761756</c:v>
                </c:pt>
                <c:pt idx="19">
                  <c:v>-0.15109402460952329</c:v>
                </c:pt>
                <c:pt idx="20">
                  <c:v>0.43817267136761756</c:v>
                </c:pt>
                <c:pt idx="21">
                  <c:v>-0.74036072058666413</c:v>
                </c:pt>
                <c:pt idx="22">
                  <c:v>0.43817267136761756</c:v>
                </c:pt>
                <c:pt idx="23">
                  <c:v>1.0274393673447584</c:v>
                </c:pt>
                <c:pt idx="24">
                  <c:v>1.0274393673447584</c:v>
                </c:pt>
                <c:pt idx="25">
                  <c:v>-0.74036072058666413</c:v>
                </c:pt>
                <c:pt idx="26">
                  <c:v>-1.3296274165638051</c:v>
                </c:pt>
                <c:pt idx="27">
                  <c:v>-0.15109402460952329</c:v>
                </c:pt>
                <c:pt idx="28">
                  <c:v>-0.74036072058666413</c:v>
                </c:pt>
                <c:pt idx="29">
                  <c:v>2.2059727592990401</c:v>
                </c:pt>
                <c:pt idx="30">
                  <c:v>-0.15109402460952329</c:v>
                </c:pt>
                <c:pt idx="31">
                  <c:v>-0.74036072058666413</c:v>
                </c:pt>
                <c:pt idx="32">
                  <c:v>-0.74036072058666413</c:v>
                </c:pt>
                <c:pt idx="33">
                  <c:v>-0.74036072058666413</c:v>
                </c:pt>
                <c:pt idx="34">
                  <c:v>-0.15109402460952329</c:v>
                </c:pt>
                <c:pt idx="35">
                  <c:v>-1.3296274165638051</c:v>
                </c:pt>
                <c:pt idx="36">
                  <c:v>2.2059727592990401</c:v>
                </c:pt>
              </c:numCache>
            </c:numRef>
          </c:xVal>
          <c:yVal>
            <c:numRef>
              <c:f>('Political Risk'!$AO$2:$AO$14,'Political Risk'!$AO$16,'Political Risk'!$AO$18:$AO$40)</c:f>
              <c:numCache>
                <c:formatCode>0.0</c:formatCode>
                <c:ptCount val="37"/>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0.10189874574336752</c:v>
                </c:pt>
                <c:pt idx="15">
                  <c:v>2.1692475485534328</c:v>
                </c:pt>
                <c:pt idx="16">
                  <c:v>-0.36315540465326435</c:v>
                </c:pt>
                <c:pt idx="17">
                  <c:v>-0.16466036285246269</c:v>
                </c:pt>
                <c:pt idx="18">
                  <c:v>0.49002529275994527</c:v>
                </c:pt>
                <c:pt idx="19">
                  <c:v>-0.49266345738201095</c:v>
                </c:pt>
                <c:pt idx="20">
                  <c:v>-0.75252764608080247</c:v>
                </c:pt>
                <c:pt idx="21">
                  <c:v>-0.24455989205539388</c:v>
                </c:pt>
                <c:pt idx="22">
                  <c:v>1.5328752249159792</c:v>
                </c:pt>
                <c:pt idx="23">
                  <c:v>1.4255405250063531</c:v>
                </c:pt>
                <c:pt idx="24">
                  <c:v>2.5816515950898986</c:v>
                </c:pt>
                <c:pt idx="25">
                  <c:v>-0.49043451301485325</c:v>
                </c:pt>
                <c:pt idx="26">
                  <c:v>-0.6767951584626779</c:v>
                </c:pt>
                <c:pt idx="27">
                  <c:v>-0.58302567466255073</c:v>
                </c:pt>
                <c:pt idx="28">
                  <c:v>0.4698109730760216</c:v>
                </c:pt>
                <c:pt idx="29">
                  <c:v>1.4223422220211868</c:v>
                </c:pt>
                <c:pt idx="30">
                  <c:v>0.23785564532605222</c:v>
                </c:pt>
                <c:pt idx="31">
                  <c:v>0.59372054444507161</c:v>
                </c:pt>
                <c:pt idx="32">
                  <c:v>-0.48422075013713889</c:v>
                </c:pt>
                <c:pt idx="33">
                  <c:v>-0.55505648603455771</c:v>
                </c:pt>
                <c:pt idx="34">
                  <c:v>-0.50718932529558414</c:v>
                </c:pt>
                <c:pt idx="35">
                  <c:v>-0.34765727585037098</c:v>
                </c:pt>
                <c:pt idx="36">
                  <c:v>2.7898082980863612</c:v>
                </c:pt>
              </c:numCache>
            </c:numRef>
          </c:yVal>
          <c:smooth val="0"/>
        </c:ser>
        <c:dLbls>
          <c:showLegendKey val="0"/>
          <c:showVal val="0"/>
          <c:showCatName val="0"/>
          <c:showSerName val="0"/>
          <c:showPercent val="0"/>
          <c:showBubbleSize val="0"/>
        </c:dLbls>
        <c:axId val="159930624"/>
        <c:axId val="159944704"/>
      </c:scatterChart>
      <c:valAx>
        <c:axId val="159930624"/>
        <c:scaling>
          <c:orientation val="minMax"/>
        </c:scaling>
        <c:delete val="0"/>
        <c:axPos val="b"/>
        <c:numFmt formatCode="0.00" sourceLinked="1"/>
        <c:majorTickMark val="out"/>
        <c:minorTickMark val="none"/>
        <c:tickLblPos val="nextTo"/>
        <c:crossAx val="159944704"/>
        <c:crosses val="autoZero"/>
        <c:crossBetween val="midCat"/>
      </c:valAx>
      <c:valAx>
        <c:axId val="159944704"/>
        <c:scaling>
          <c:orientation val="minMax"/>
        </c:scaling>
        <c:delete val="0"/>
        <c:axPos val="l"/>
        <c:majorGridlines>
          <c:spPr>
            <a:ln>
              <a:noFill/>
            </a:ln>
          </c:spPr>
        </c:majorGridlines>
        <c:numFmt formatCode="0.0" sourceLinked="1"/>
        <c:majorTickMark val="out"/>
        <c:minorTickMark val="none"/>
        <c:tickLblPos val="nextTo"/>
        <c:crossAx val="159930624"/>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itchFamily="34" charset="0"/>
                <a:cs typeface="Arial" pitchFamily="34" charset="0"/>
              </a:rPr>
              <a:t>Transfer</a:t>
            </a:r>
            <a:r>
              <a:rPr lang="en-US" sz="1000" baseline="0">
                <a:latin typeface="Arial" pitchFamily="34" charset="0"/>
                <a:cs typeface="Arial" pitchFamily="34" charset="0"/>
              </a:rPr>
              <a:t> Risk excluding Iraq &amp; lebanon</a:t>
            </a:r>
            <a:endParaRPr lang="en-US" sz="1000">
              <a:latin typeface="Arial" pitchFamily="34" charset="0"/>
              <a:cs typeface="Arial" pitchFamily="34" charset="0"/>
            </a:endParaRPr>
          </a:p>
        </c:rich>
      </c:tx>
      <c:layout>
        <c:manualLayout>
          <c:xMode val="edge"/>
          <c:yMode val="edge"/>
          <c:x val="0.17531823085221146"/>
          <c:y val="5.9925107770823736E-3"/>
        </c:manualLayout>
      </c:layout>
      <c:overlay val="1"/>
    </c:title>
    <c:autoTitleDeleted val="0"/>
    <c:plotArea>
      <c:layout>
        <c:manualLayout>
          <c:layoutTarget val="inner"/>
          <c:xMode val="edge"/>
          <c:yMode val="edge"/>
          <c:x val="5.9437445319335085E-2"/>
          <c:y val="0.34198504042821443"/>
          <c:w val="0.86509186351706036"/>
          <c:h val="0.60661431634417207"/>
        </c:manualLayout>
      </c:layout>
      <c:scatterChart>
        <c:scatterStyle val="lineMarker"/>
        <c:varyColors val="0"/>
        <c:ser>
          <c:idx val="0"/>
          <c:order val="0"/>
          <c:spPr>
            <a:ln w="28575">
              <a:noFill/>
            </a:ln>
          </c:spPr>
          <c:trendline>
            <c:trendlineType val="poly"/>
            <c:order val="2"/>
            <c:dispRSqr val="1"/>
            <c:dispEq val="1"/>
            <c:trendlineLbl>
              <c:layout>
                <c:manualLayout>
                  <c:x val="-0.18806105547486177"/>
                  <c:y val="-0.33962012200185721"/>
                </c:manualLayout>
              </c:layout>
              <c:numFmt formatCode="General" sourceLinked="0"/>
            </c:trendlineLbl>
          </c:trendline>
          <c:trendline>
            <c:trendlineType val="linear"/>
            <c:dispRSqr val="1"/>
            <c:dispEq val="1"/>
            <c:trendlineLbl>
              <c:layout>
                <c:manualLayout>
                  <c:x val="-0.37000263316599991"/>
                  <c:y val="-0.11024615535607782"/>
                </c:manualLayout>
              </c:layout>
              <c:numFmt formatCode="General" sourceLinked="0"/>
            </c:trendlineLbl>
          </c:trendline>
          <c:xVal>
            <c:numRef>
              <c:f>('Political Risk'!$V$2:$V$14,'Political Risk'!$V$16,'Political Risk'!$V$18:$V$40)</c:f>
              <c:numCache>
                <c:formatCode>0.00</c:formatCode>
                <c:ptCount val="37"/>
                <c:pt idx="0">
                  <c:v>-1.4528222781994979</c:v>
                </c:pt>
                <c:pt idx="1">
                  <c:v>-0.76184582881193175</c:v>
                </c:pt>
                <c:pt idx="2">
                  <c:v>-1.4528222781994979</c:v>
                </c:pt>
                <c:pt idx="3">
                  <c:v>-7.0869379424365511E-2</c:v>
                </c:pt>
                <c:pt idx="4">
                  <c:v>0.62010706996320064</c:v>
                </c:pt>
                <c:pt idx="5">
                  <c:v>-7.0869379424365511E-2</c:v>
                </c:pt>
                <c:pt idx="6">
                  <c:v>-0.76184582881193175</c:v>
                </c:pt>
                <c:pt idx="7">
                  <c:v>-7.0869379424365511E-2</c:v>
                </c:pt>
                <c:pt idx="8">
                  <c:v>-0.76184582881193175</c:v>
                </c:pt>
                <c:pt idx="9">
                  <c:v>0.62010706996320064</c:v>
                </c:pt>
                <c:pt idx="10">
                  <c:v>1.3110835193507668</c:v>
                </c:pt>
                <c:pt idx="11">
                  <c:v>0.62010706996320064</c:v>
                </c:pt>
                <c:pt idx="12">
                  <c:v>-1.4528222781994979</c:v>
                </c:pt>
                <c:pt idx="13">
                  <c:v>0.62010706996320064</c:v>
                </c:pt>
                <c:pt idx="14">
                  <c:v>-1.4528222781994979</c:v>
                </c:pt>
                <c:pt idx="15">
                  <c:v>1.3110835193507668</c:v>
                </c:pt>
                <c:pt idx="16">
                  <c:v>-1.4528222781994979</c:v>
                </c:pt>
                <c:pt idx="17">
                  <c:v>-0.76184582881193175</c:v>
                </c:pt>
                <c:pt idx="18">
                  <c:v>1.3110835193507668</c:v>
                </c:pt>
                <c:pt idx="19">
                  <c:v>-0.76184582881193175</c:v>
                </c:pt>
                <c:pt idx="20">
                  <c:v>-0.76184582881193175</c:v>
                </c:pt>
                <c:pt idx="21">
                  <c:v>-7.0869379424365511E-2</c:v>
                </c:pt>
                <c:pt idx="22">
                  <c:v>1.3110835193507668</c:v>
                </c:pt>
                <c:pt idx="23">
                  <c:v>1.3110835193507668</c:v>
                </c:pt>
                <c:pt idx="24">
                  <c:v>1.3110835193507668</c:v>
                </c:pt>
                <c:pt idx="25">
                  <c:v>-0.76184582881193175</c:v>
                </c:pt>
                <c:pt idx="26">
                  <c:v>-0.76184582881193175</c:v>
                </c:pt>
                <c:pt idx="27">
                  <c:v>-7.0869379424365511E-2</c:v>
                </c:pt>
                <c:pt idx="28">
                  <c:v>0.62010706996320064</c:v>
                </c:pt>
                <c:pt idx="29">
                  <c:v>0.62010706996320064</c:v>
                </c:pt>
                <c:pt idx="30">
                  <c:v>-7.0869379424365511E-2</c:v>
                </c:pt>
                <c:pt idx="31">
                  <c:v>0.62010706996320064</c:v>
                </c:pt>
                <c:pt idx="32">
                  <c:v>-0.76184582881193175</c:v>
                </c:pt>
                <c:pt idx="33">
                  <c:v>-0.76184582881193175</c:v>
                </c:pt>
                <c:pt idx="34">
                  <c:v>-0.76184582881193175</c:v>
                </c:pt>
                <c:pt idx="35">
                  <c:v>-0.76184582881193175</c:v>
                </c:pt>
                <c:pt idx="36">
                  <c:v>1.3110835193507668</c:v>
                </c:pt>
              </c:numCache>
            </c:numRef>
          </c:xVal>
          <c:yVal>
            <c:numRef>
              <c:f>('Political Risk'!$AO$2:$AO$14,'Political Risk'!$AO$16,'Political Risk'!$AO$18:$AO$40)</c:f>
              <c:numCache>
                <c:formatCode>0.0</c:formatCode>
                <c:ptCount val="37"/>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0.10189874574336752</c:v>
                </c:pt>
                <c:pt idx="15">
                  <c:v>2.1692475485534328</c:v>
                </c:pt>
                <c:pt idx="16">
                  <c:v>-0.36315540465326435</c:v>
                </c:pt>
                <c:pt idx="17">
                  <c:v>-0.16466036285246269</c:v>
                </c:pt>
                <c:pt idx="18">
                  <c:v>0.49002529275994527</c:v>
                </c:pt>
                <c:pt idx="19">
                  <c:v>-0.49266345738201095</c:v>
                </c:pt>
                <c:pt idx="20">
                  <c:v>-0.75252764608080247</c:v>
                </c:pt>
                <c:pt idx="21">
                  <c:v>-0.24455989205539388</c:v>
                </c:pt>
                <c:pt idx="22">
                  <c:v>1.5328752249159792</c:v>
                </c:pt>
                <c:pt idx="23">
                  <c:v>1.4255405250063531</c:v>
                </c:pt>
                <c:pt idx="24">
                  <c:v>2.5816515950898986</c:v>
                </c:pt>
                <c:pt idx="25">
                  <c:v>-0.49043451301485325</c:v>
                </c:pt>
                <c:pt idx="26">
                  <c:v>-0.6767951584626779</c:v>
                </c:pt>
                <c:pt idx="27">
                  <c:v>-0.58302567466255073</c:v>
                </c:pt>
                <c:pt idx="28">
                  <c:v>0.4698109730760216</c:v>
                </c:pt>
                <c:pt idx="29">
                  <c:v>1.4223422220211868</c:v>
                </c:pt>
                <c:pt idx="30">
                  <c:v>0.23785564532605222</c:v>
                </c:pt>
                <c:pt idx="31">
                  <c:v>0.59372054444507161</c:v>
                </c:pt>
                <c:pt idx="32">
                  <c:v>-0.48422075013713889</c:v>
                </c:pt>
                <c:pt idx="33">
                  <c:v>-0.55505648603455771</c:v>
                </c:pt>
                <c:pt idx="34">
                  <c:v>-0.50718932529558414</c:v>
                </c:pt>
                <c:pt idx="35">
                  <c:v>-0.34765727585037098</c:v>
                </c:pt>
                <c:pt idx="36">
                  <c:v>2.7898082980863612</c:v>
                </c:pt>
              </c:numCache>
            </c:numRef>
          </c:yVal>
          <c:smooth val="0"/>
        </c:ser>
        <c:dLbls>
          <c:showLegendKey val="0"/>
          <c:showVal val="0"/>
          <c:showCatName val="0"/>
          <c:showSerName val="0"/>
          <c:showPercent val="0"/>
          <c:showBubbleSize val="0"/>
        </c:dLbls>
        <c:axId val="159962240"/>
        <c:axId val="159963776"/>
      </c:scatterChart>
      <c:valAx>
        <c:axId val="159962240"/>
        <c:scaling>
          <c:orientation val="minMax"/>
        </c:scaling>
        <c:delete val="0"/>
        <c:axPos val="b"/>
        <c:numFmt formatCode="0.00" sourceLinked="1"/>
        <c:majorTickMark val="out"/>
        <c:minorTickMark val="none"/>
        <c:tickLblPos val="nextTo"/>
        <c:crossAx val="159963776"/>
        <c:crosses val="autoZero"/>
        <c:crossBetween val="midCat"/>
      </c:valAx>
      <c:valAx>
        <c:axId val="159963776"/>
        <c:scaling>
          <c:orientation val="minMax"/>
        </c:scaling>
        <c:delete val="0"/>
        <c:axPos val="l"/>
        <c:majorGridlines>
          <c:spPr>
            <a:ln>
              <a:noFill/>
            </a:ln>
          </c:spPr>
        </c:majorGridlines>
        <c:numFmt formatCode="0.0" sourceLinked="1"/>
        <c:majorTickMark val="out"/>
        <c:minorTickMark val="none"/>
        <c:tickLblPos val="nextTo"/>
        <c:crossAx val="159962240"/>
        <c:crosses val="autoZero"/>
        <c:crossBetween val="midCat"/>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itchFamily="34" charset="0"/>
                <a:cs typeface="Arial" pitchFamily="34" charset="0"/>
              </a:rPr>
              <a:t>Country</a:t>
            </a:r>
            <a:r>
              <a:rPr lang="en-US" sz="1000" baseline="0">
                <a:latin typeface="Arial" pitchFamily="34" charset="0"/>
                <a:cs typeface="Arial" pitchFamily="34" charset="0"/>
              </a:rPr>
              <a:t> Risk excluding Iraq</a:t>
            </a:r>
          </a:p>
        </c:rich>
      </c:tx>
      <c:layout/>
      <c:overlay val="1"/>
    </c:title>
    <c:autoTitleDeleted val="0"/>
    <c:plotArea>
      <c:layout>
        <c:manualLayout>
          <c:layoutTarget val="inner"/>
          <c:xMode val="edge"/>
          <c:yMode val="edge"/>
          <c:x val="5.2866010133134474E-2"/>
          <c:y val="0.14399298544181577"/>
          <c:w val="0.89390266841644794"/>
          <c:h val="0.80460629921259841"/>
        </c:manualLayout>
      </c:layout>
      <c:scatterChart>
        <c:scatterStyle val="lineMarker"/>
        <c:varyColors val="0"/>
        <c:ser>
          <c:idx val="0"/>
          <c:order val="0"/>
          <c:spPr>
            <a:ln w="28575">
              <a:noFill/>
            </a:ln>
          </c:spPr>
          <c:trendline>
            <c:trendlineType val="linear"/>
            <c:dispRSqr val="1"/>
            <c:dispEq val="1"/>
            <c:trendlineLbl>
              <c:layout>
                <c:manualLayout>
                  <c:x val="-0.54652909011373574"/>
                  <c:y val="-0.22040974044911052"/>
                </c:manualLayout>
              </c:layout>
              <c:numFmt formatCode="General" sourceLinked="0"/>
            </c:trendlineLbl>
          </c:trendline>
          <c:xVal>
            <c:numRef>
              <c:f>('Political Risk'!$AD$2:$AD$14,'Political Risk'!$AD$16:$AD$40)</c:f>
              <c:numCache>
                <c:formatCode>0.0</c:formatCode>
                <c:ptCount val="38"/>
                <c:pt idx="0">
                  <c:v>-1.1315202847301109</c:v>
                </c:pt>
                <c:pt idx="1">
                  <c:v>4.8407284908240082E-2</c:v>
                </c:pt>
                <c:pt idx="2">
                  <c:v>-1.3675057986577812</c:v>
                </c:pt>
                <c:pt idx="3">
                  <c:v>4.8407284908240082E-2</c:v>
                </c:pt>
                <c:pt idx="4">
                  <c:v>0.99234934061892088</c:v>
                </c:pt>
                <c:pt idx="5">
                  <c:v>0.99234934061892088</c:v>
                </c:pt>
                <c:pt idx="6">
                  <c:v>4.8407284908240082E-2</c:v>
                </c:pt>
                <c:pt idx="7">
                  <c:v>-0.8955347708024407</c:v>
                </c:pt>
                <c:pt idx="8">
                  <c:v>4.8407284908240082E-2</c:v>
                </c:pt>
                <c:pt idx="9">
                  <c:v>4.8407284908240082E-2</c:v>
                </c:pt>
                <c:pt idx="10">
                  <c:v>0.99234934061892088</c:v>
                </c:pt>
                <c:pt idx="11">
                  <c:v>0.99234934061892088</c:v>
                </c:pt>
                <c:pt idx="12">
                  <c:v>-0.8955347708024407</c:v>
                </c:pt>
                <c:pt idx="13">
                  <c:v>4.8407284908240082E-2</c:v>
                </c:pt>
                <c:pt idx="14">
                  <c:v>0.99234934061892088</c:v>
                </c:pt>
                <c:pt idx="15">
                  <c:v>-0.8955347708024407</c:v>
                </c:pt>
                <c:pt idx="16">
                  <c:v>1.9362913963296016</c:v>
                </c:pt>
                <c:pt idx="17">
                  <c:v>-1.1315202847301109</c:v>
                </c:pt>
                <c:pt idx="18">
                  <c:v>4.8407284908240082E-2</c:v>
                </c:pt>
                <c:pt idx="19">
                  <c:v>0.99234934061892088</c:v>
                </c:pt>
                <c:pt idx="20">
                  <c:v>-1.1315202847301109</c:v>
                </c:pt>
                <c:pt idx="21">
                  <c:v>-0.8955347708024407</c:v>
                </c:pt>
                <c:pt idx="22">
                  <c:v>-0.8955347708024407</c:v>
                </c:pt>
                <c:pt idx="23">
                  <c:v>1.9362913963296016</c:v>
                </c:pt>
                <c:pt idx="24">
                  <c:v>0.99234934061892088</c:v>
                </c:pt>
                <c:pt idx="25">
                  <c:v>4.8407284908240082E-2</c:v>
                </c:pt>
                <c:pt idx="26">
                  <c:v>-1.1315202847301109</c:v>
                </c:pt>
                <c:pt idx="27">
                  <c:v>-1.3675057986577812</c:v>
                </c:pt>
                <c:pt idx="28">
                  <c:v>-0.8955347708024407</c:v>
                </c:pt>
                <c:pt idx="29">
                  <c:v>4.8407284908240082E-2</c:v>
                </c:pt>
                <c:pt idx="30">
                  <c:v>0.99234934061892088</c:v>
                </c:pt>
                <c:pt idx="31">
                  <c:v>4.8407284908240082E-2</c:v>
                </c:pt>
                <c:pt idx="32">
                  <c:v>0.99234934061892088</c:v>
                </c:pt>
                <c:pt idx="33">
                  <c:v>-0.8955347708024407</c:v>
                </c:pt>
                <c:pt idx="34">
                  <c:v>-0.8955347708024407</c:v>
                </c:pt>
                <c:pt idx="35">
                  <c:v>-0.8955347708024407</c:v>
                </c:pt>
                <c:pt idx="36">
                  <c:v>-0.8955347708024407</c:v>
                </c:pt>
                <c:pt idx="37">
                  <c:v>0.99234934061892088</c:v>
                </c:pt>
              </c:numCache>
            </c:numRef>
          </c:xVal>
          <c:yVal>
            <c:numRef>
              <c:f>('Political Risk'!$AO$2:$AO$14,'Political Risk'!$AO$16:$AO$40)</c:f>
              <c:numCache>
                <c:formatCode>0.0</c:formatCode>
                <c:ptCount val="38"/>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-9.8450847425420679E-2</c:v>
                </c:pt>
                <c:pt idx="15">
                  <c:v>0.10189874574336752</c:v>
                </c:pt>
                <c:pt idx="16">
                  <c:v>2.1692475485534328</c:v>
                </c:pt>
                <c:pt idx="17">
                  <c:v>-0.36315540465326435</c:v>
                </c:pt>
                <c:pt idx="18">
                  <c:v>-0.16466036285246269</c:v>
                </c:pt>
                <c:pt idx="19">
                  <c:v>0.49002529275994527</c:v>
                </c:pt>
                <c:pt idx="20">
                  <c:v>-0.49266345738201095</c:v>
                </c:pt>
                <c:pt idx="21">
                  <c:v>-0.75252764608080247</c:v>
                </c:pt>
                <c:pt idx="22">
                  <c:v>-0.24455989205539388</c:v>
                </c:pt>
                <c:pt idx="23">
                  <c:v>1.5328752249159792</c:v>
                </c:pt>
                <c:pt idx="24">
                  <c:v>1.4255405250063531</c:v>
                </c:pt>
                <c:pt idx="25">
                  <c:v>2.5816515950898986</c:v>
                </c:pt>
                <c:pt idx="26">
                  <c:v>-0.49043451301485325</c:v>
                </c:pt>
                <c:pt idx="27">
                  <c:v>-0.6767951584626779</c:v>
                </c:pt>
                <c:pt idx="28">
                  <c:v>-0.58302567466255073</c:v>
                </c:pt>
                <c:pt idx="29">
                  <c:v>0.4698109730760216</c:v>
                </c:pt>
                <c:pt idx="30">
                  <c:v>1.4223422220211868</c:v>
                </c:pt>
                <c:pt idx="31">
                  <c:v>0.23785564532605222</c:v>
                </c:pt>
                <c:pt idx="32">
                  <c:v>0.59372054444507161</c:v>
                </c:pt>
                <c:pt idx="33">
                  <c:v>-0.48422075013713889</c:v>
                </c:pt>
                <c:pt idx="34">
                  <c:v>-0.55505648603455771</c:v>
                </c:pt>
                <c:pt idx="35">
                  <c:v>-0.50718932529558414</c:v>
                </c:pt>
                <c:pt idx="36">
                  <c:v>-0.34765727585037098</c:v>
                </c:pt>
                <c:pt idx="37">
                  <c:v>2.7898082980863612</c:v>
                </c:pt>
              </c:numCache>
            </c:numRef>
          </c:yVal>
          <c:smooth val="0"/>
        </c:ser>
        <c:dLbls>
          <c:showLegendKey val="0"/>
          <c:showVal val="0"/>
          <c:showCatName val="0"/>
          <c:showSerName val="0"/>
          <c:showPercent val="0"/>
          <c:showBubbleSize val="0"/>
        </c:dLbls>
        <c:axId val="160054272"/>
        <c:axId val="160068352"/>
      </c:scatterChart>
      <c:valAx>
        <c:axId val="160054272"/>
        <c:scaling>
          <c:orientation val="minMax"/>
        </c:scaling>
        <c:delete val="0"/>
        <c:axPos val="b"/>
        <c:numFmt formatCode="0.0" sourceLinked="1"/>
        <c:majorTickMark val="out"/>
        <c:minorTickMark val="none"/>
        <c:tickLblPos val="nextTo"/>
        <c:crossAx val="160068352"/>
        <c:crosses val="autoZero"/>
        <c:crossBetween val="midCat"/>
      </c:valAx>
      <c:valAx>
        <c:axId val="160068352"/>
        <c:scaling>
          <c:orientation val="minMax"/>
        </c:scaling>
        <c:delete val="0"/>
        <c:axPos val="l"/>
        <c:majorGridlines>
          <c:spPr>
            <a:ln>
              <a:noFill/>
            </a:ln>
          </c:spPr>
        </c:majorGridlines>
        <c:numFmt formatCode="0.0" sourceLinked="1"/>
        <c:majorTickMark val="out"/>
        <c:minorTickMark val="none"/>
        <c:tickLblPos val="nextTo"/>
        <c:crossAx val="160054272"/>
        <c:crosses val="autoZero"/>
        <c:crossBetween val="midCat"/>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itchFamily="34" charset="0"/>
                <a:cs typeface="Arial" pitchFamily="34" charset="0"/>
              </a:rPr>
              <a:t>Business</a:t>
            </a:r>
            <a:r>
              <a:rPr lang="en-US" sz="1000" baseline="0">
                <a:latin typeface="Arial" pitchFamily="34" charset="0"/>
                <a:cs typeface="Arial" pitchFamily="34" charset="0"/>
              </a:rPr>
              <a:t> Climate exlcuding Iraq</a:t>
            </a:r>
            <a:endParaRPr lang="en-US" sz="1000">
              <a:latin typeface="Arial" pitchFamily="34" charset="0"/>
              <a:cs typeface="Arial" pitchFamily="34" charset="0"/>
            </a:endParaRPr>
          </a:p>
        </c:rich>
      </c:tx>
      <c:layout/>
      <c:overlay val="1"/>
    </c:title>
    <c:autoTitleDeleted val="0"/>
    <c:plotArea>
      <c:layout>
        <c:manualLayout>
          <c:layoutTarget val="inner"/>
          <c:xMode val="edge"/>
          <c:yMode val="edge"/>
          <c:x val="6.6284776902887144E-2"/>
          <c:y val="0.18103018372703411"/>
          <c:w val="0.88556933508311464"/>
          <c:h val="0.76756926217556143"/>
        </c:manualLayout>
      </c:layout>
      <c:scatterChart>
        <c:scatterStyle val="lineMarker"/>
        <c:varyColors val="0"/>
        <c:ser>
          <c:idx val="0"/>
          <c:order val="0"/>
          <c:spPr>
            <a:ln w="28575">
              <a:noFill/>
            </a:ln>
          </c:spPr>
          <c:trendline>
            <c:trendlineType val="linear"/>
            <c:dispRSqr val="1"/>
            <c:dispEq val="1"/>
            <c:trendlineLbl>
              <c:layout>
                <c:manualLayout>
                  <c:x val="-0.44051618547681543"/>
                  <c:y val="-0.26109871682706326"/>
                </c:manualLayout>
              </c:layout>
              <c:numFmt formatCode="General" sourceLinked="0"/>
            </c:trendlineLbl>
          </c:trendline>
          <c:xVal>
            <c:numRef>
              <c:f>('Political Risk'!$AB$2:$AB$14,'Political Risk'!$AB$16:$AB$40)</c:f>
              <c:numCache>
                <c:formatCode>0.0</c:formatCode>
                <c:ptCount val="38"/>
                <c:pt idx="0">
                  <c:v>0.15397760524808318</c:v>
                </c:pt>
                <c:pt idx="1">
                  <c:v>1.1983474495394306</c:v>
                </c:pt>
                <c:pt idx="2">
                  <c:v>-1.151484700116101</c:v>
                </c:pt>
                <c:pt idx="3">
                  <c:v>0.15397760524808318</c:v>
                </c:pt>
                <c:pt idx="4">
                  <c:v>0.15397760524808318</c:v>
                </c:pt>
                <c:pt idx="5">
                  <c:v>1.1983474495394306</c:v>
                </c:pt>
                <c:pt idx="6">
                  <c:v>-0.89039223904326426</c:v>
                </c:pt>
                <c:pt idx="7">
                  <c:v>-1.151484700116101</c:v>
                </c:pt>
                <c:pt idx="8">
                  <c:v>0.15397760524808318</c:v>
                </c:pt>
                <c:pt idx="9">
                  <c:v>1.1983474495394306</c:v>
                </c:pt>
                <c:pt idx="10">
                  <c:v>1.1983474495394306</c:v>
                </c:pt>
                <c:pt idx="11">
                  <c:v>0.15397760524808318</c:v>
                </c:pt>
                <c:pt idx="12">
                  <c:v>-1.4125771611889379</c:v>
                </c:pt>
                <c:pt idx="13">
                  <c:v>0.15397760524808318</c:v>
                </c:pt>
                <c:pt idx="14">
                  <c:v>0.15397760524808318</c:v>
                </c:pt>
                <c:pt idx="15">
                  <c:v>-1.4125771611889379</c:v>
                </c:pt>
                <c:pt idx="16">
                  <c:v>1.1983474495394306</c:v>
                </c:pt>
                <c:pt idx="17">
                  <c:v>-1.4125771611889379</c:v>
                </c:pt>
                <c:pt idx="18">
                  <c:v>0.15397760524808318</c:v>
                </c:pt>
                <c:pt idx="19">
                  <c:v>1.1983474495394306</c:v>
                </c:pt>
                <c:pt idx="20">
                  <c:v>-1.151484700116101</c:v>
                </c:pt>
                <c:pt idx="21">
                  <c:v>-0.89039223904326426</c:v>
                </c:pt>
                <c:pt idx="22">
                  <c:v>-0.89039223904326426</c:v>
                </c:pt>
                <c:pt idx="23">
                  <c:v>1.1983474495394306</c:v>
                </c:pt>
                <c:pt idx="24">
                  <c:v>0.15397760524808318</c:v>
                </c:pt>
                <c:pt idx="25">
                  <c:v>1.1983474495394306</c:v>
                </c:pt>
                <c:pt idx="26">
                  <c:v>-0.89039223904326426</c:v>
                </c:pt>
                <c:pt idx="27">
                  <c:v>-1.4125771611889379</c:v>
                </c:pt>
                <c:pt idx="28">
                  <c:v>-0.89039223904326426</c:v>
                </c:pt>
                <c:pt idx="29">
                  <c:v>0.15397760524808318</c:v>
                </c:pt>
                <c:pt idx="30">
                  <c:v>1.1983474495394306</c:v>
                </c:pt>
                <c:pt idx="31">
                  <c:v>0.15397760524808318</c:v>
                </c:pt>
                <c:pt idx="32">
                  <c:v>0.15397760524808318</c:v>
                </c:pt>
                <c:pt idx="33">
                  <c:v>-0.89039223904326426</c:v>
                </c:pt>
                <c:pt idx="34">
                  <c:v>-0.89039223904326426</c:v>
                </c:pt>
                <c:pt idx="35">
                  <c:v>0.15397760524808318</c:v>
                </c:pt>
                <c:pt idx="36">
                  <c:v>-0.89039223904326426</c:v>
                </c:pt>
                <c:pt idx="37">
                  <c:v>1.1983474495394306</c:v>
                </c:pt>
              </c:numCache>
            </c:numRef>
          </c:xVal>
          <c:yVal>
            <c:numRef>
              <c:f>('Political Risk'!$AO$2:$AO$14,'Political Risk'!$AO$16:$AO$40)</c:f>
              <c:numCache>
                <c:formatCode>0.0</c:formatCode>
                <c:ptCount val="38"/>
                <c:pt idx="0">
                  <c:v>-0.36041566053529961</c:v>
                </c:pt>
                <c:pt idx="1">
                  <c:v>-0.35838987515994025</c:v>
                </c:pt>
                <c:pt idx="2">
                  <c:v>-0.61809672118954739</c:v>
                </c:pt>
                <c:pt idx="3">
                  <c:v>-0.46284842419996541</c:v>
                </c:pt>
                <c:pt idx="4">
                  <c:v>0.16739140015649304</c:v>
                </c:pt>
                <c:pt idx="5">
                  <c:v>0.45654469091159733</c:v>
                </c:pt>
                <c:pt idx="6">
                  <c:v>-0.16621307800406349</c:v>
                </c:pt>
                <c:pt idx="7">
                  <c:v>0.52258007005995533</c:v>
                </c:pt>
                <c:pt idx="8">
                  <c:v>5.2153815465916083E-2</c:v>
                </c:pt>
                <c:pt idx="9">
                  <c:v>0.17908465127013667</c:v>
                </c:pt>
                <c:pt idx="10">
                  <c:v>0.2308989009926187</c:v>
                </c:pt>
                <c:pt idx="11">
                  <c:v>0.51533309859538157</c:v>
                </c:pt>
                <c:pt idx="12">
                  <c:v>0.23579793496626733</c:v>
                </c:pt>
                <c:pt idx="13">
                  <c:v>0.12883472578450098</c:v>
                </c:pt>
                <c:pt idx="14">
                  <c:v>-9.8450847425420679E-2</c:v>
                </c:pt>
                <c:pt idx="15">
                  <c:v>0.10189874574336752</c:v>
                </c:pt>
                <c:pt idx="16">
                  <c:v>2.1692475485534328</c:v>
                </c:pt>
                <c:pt idx="17">
                  <c:v>-0.36315540465326435</c:v>
                </c:pt>
                <c:pt idx="18">
                  <c:v>-0.16466036285246269</c:v>
                </c:pt>
                <c:pt idx="19">
                  <c:v>0.49002529275994527</c:v>
                </c:pt>
                <c:pt idx="20">
                  <c:v>-0.49266345738201095</c:v>
                </c:pt>
                <c:pt idx="21">
                  <c:v>-0.75252764608080247</c:v>
                </c:pt>
                <c:pt idx="22">
                  <c:v>-0.24455989205539388</c:v>
                </c:pt>
                <c:pt idx="23">
                  <c:v>1.5328752249159792</c:v>
                </c:pt>
                <c:pt idx="24">
                  <c:v>1.4255405250063531</c:v>
                </c:pt>
                <c:pt idx="25">
                  <c:v>2.5816515950898986</c:v>
                </c:pt>
                <c:pt idx="26">
                  <c:v>-0.49043451301485325</c:v>
                </c:pt>
                <c:pt idx="27">
                  <c:v>-0.6767951584626779</c:v>
                </c:pt>
                <c:pt idx="28">
                  <c:v>-0.58302567466255073</c:v>
                </c:pt>
                <c:pt idx="29">
                  <c:v>0.4698109730760216</c:v>
                </c:pt>
                <c:pt idx="30">
                  <c:v>1.4223422220211868</c:v>
                </c:pt>
                <c:pt idx="31">
                  <c:v>0.23785564532605222</c:v>
                </c:pt>
                <c:pt idx="32">
                  <c:v>0.59372054444507161</c:v>
                </c:pt>
                <c:pt idx="33">
                  <c:v>-0.48422075013713889</c:v>
                </c:pt>
                <c:pt idx="34">
                  <c:v>-0.55505648603455771</c:v>
                </c:pt>
                <c:pt idx="35">
                  <c:v>-0.50718932529558414</c:v>
                </c:pt>
                <c:pt idx="36">
                  <c:v>-0.34765727585037098</c:v>
                </c:pt>
                <c:pt idx="37">
                  <c:v>2.7898082980863612</c:v>
                </c:pt>
              </c:numCache>
            </c:numRef>
          </c:yVal>
          <c:smooth val="0"/>
        </c:ser>
        <c:dLbls>
          <c:showLegendKey val="0"/>
          <c:showVal val="0"/>
          <c:showCatName val="0"/>
          <c:showSerName val="0"/>
          <c:showPercent val="0"/>
          <c:showBubbleSize val="0"/>
        </c:dLbls>
        <c:axId val="160105600"/>
        <c:axId val="160107136"/>
      </c:scatterChart>
      <c:valAx>
        <c:axId val="160105600"/>
        <c:scaling>
          <c:orientation val="minMax"/>
        </c:scaling>
        <c:delete val="0"/>
        <c:axPos val="b"/>
        <c:numFmt formatCode="0.0" sourceLinked="1"/>
        <c:majorTickMark val="out"/>
        <c:minorTickMark val="none"/>
        <c:tickLblPos val="nextTo"/>
        <c:crossAx val="160107136"/>
        <c:crosses val="autoZero"/>
        <c:crossBetween val="midCat"/>
      </c:valAx>
      <c:valAx>
        <c:axId val="160107136"/>
        <c:scaling>
          <c:orientation val="minMax"/>
        </c:scaling>
        <c:delete val="0"/>
        <c:axPos val="l"/>
        <c:majorGridlines>
          <c:spPr>
            <a:ln>
              <a:noFill/>
            </a:ln>
          </c:spPr>
        </c:majorGridlines>
        <c:numFmt formatCode="0.0" sourceLinked="1"/>
        <c:majorTickMark val="out"/>
        <c:minorTickMark val="none"/>
        <c:tickLblPos val="nextTo"/>
        <c:crossAx val="160105600"/>
        <c:crosses val="autoZero"/>
        <c:crossBetween val="midCat"/>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itchFamily="34" charset="0"/>
                <a:cs typeface="Arial" pitchFamily="34" charset="0"/>
              </a:defRPr>
            </a:pPr>
            <a:r>
              <a:rPr lang="en-US" sz="1000">
                <a:latin typeface="Arial" pitchFamily="34" charset="0"/>
                <a:cs typeface="Arial" pitchFamily="34" charset="0"/>
              </a:rPr>
              <a:t>Competitiveness</a:t>
            </a:r>
            <a:r>
              <a:rPr lang="en-US" sz="1000" baseline="0">
                <a:latin typeface="Arial" pitchFamily="34" charset="0"/>
                <a:cs typeface="Arial" pitchFamily="34" charset="0"/>
              </a:rPr>
              <a:t> excluding Ghana</a:t>
            </a:r>
          </a:p>
        </c:rich>
      </c:tx>
      <c:layout/>
      <c:overlay val="1"/>
    </c:title>
    <c:autoTitleDeleted val="0"/>
    <c:plotArea>
      <c:layout>
        <c:manualLayout>
          <c:layoutTarget val="inner"/>
          <c:xMode val="edge"/>
          <c:yMode val="edge"/>
          <c:x val="0.12888188976377954"/>
          <c:y val="0.20417833187518228"/>
          <c:w val="0.73457042869641298"/>
          <c:h val="0.70275444736074655"/>
        </c:manualLayout>
      </c:layout>
      <c:scatterChart>
        <c:scatterStyle val="lineMarker"/>
        <c:varyColors val="0"/>
        <c:ser>
          <c:idx val="0"/>
          <c:order val="0"/>
          <c:spPr>
            <a:ln w="28575">
              <a:noFill/>
            </a:ln>
          </c:spPr>
          <c:marker>
            <c:symbol val="diamond"/>
            <c:size val="6"/>
            <c:spPr>
              <a:ln w="12700"/>
            </c:spPr>
          </c:marker>
          <c:trendline>
            <c:spPr>
              <a:ln w="15875" cmpd="sng">
                <a:solidFill>
                  <a:schemeClr val="tx1"/>
                </a:solidFill>
              </a:ln>
            </c:spPr>
            <c:trendlineType val="linear"/>
            <c:dispRSqr val="1"/>
            <c:dispEq val="1"/>
            <c:trendlineLbl>
              <c:layout>
                <c:manualLayout>
                  <c:x val="0.15282874015748033"/>
                  <c:y val="-0.65596041478421752"/>
                </c:manualLayout>
              </c:layout>
              <c:numFmt formatCode="General" sourceLinked="0"/>
            </c:trendlineLbl>
          </c:trendline>
          <c:trendline>
            <c:spPr>
              <a:ln w="3175"/>
            </c:spPr>
            <c:trendlineType val="poly"/>
            <c:order val="2"/>
            <c:dispRSqr val="1"/>
            <c:dispEq val="1"/>
            <c:trendlineLbl>
              <c:layout>
                <c:manualLayout>
                  <c:x val="-0.41590748031496061"/>
                  <c:y val="-0.5251433242975776"/>
                </c:manualLayout>
              </c:layout>
              <c:numFmt formatCode="General" sourceLinked="0"/>
            </c:trendlineLbl>
          </c:trendline>
          <c:xVal>
            <c:numRef>
              <c:f>'Compt. Regress'!$B$3:$B$35</c:f>
              <c:numCache>
                <c:formatCode>0.00</c:formatCode>
                <c:ptCount val="33"/>
                <c:pt idx="0">
                  <c:v>-0.50982568265251049</c:v>
                </c:pt>
                <c:pt idx="1">
                  <c:v>0.43569074751316811</c:v>
                </c:pt>
                <c:pt idx="2">
                  <c:v>-2.2464695487391533E-2</c:v>
                </c:pt>
                <c:pt idx="3">
                  <c:v>1.5471837245282076</c:v>
                </c:pt>
                <c:pt idx="4">
                  <c:v>2.1122131552295027</c:v>
                </c:pt>
                <c:pt idx="5">
                  <c:v>9.4947243264282583E-2</c:v>
                </c:pt>
                <c:pt idx="6">
                  <c:v>-0.25710358698714469</c:v>
                </c:pt>
                <c:pt idx="7">
                  <c:v>-1.2885119493852457</c:v>
                </c:pt>
                <c:pt idx="8">
                  <c:v>-1.0082524294479007</c:v>
                </c:pt>
                <c:pt idx="9">
                  <c:v>-0.84512060974394565</c:v>
                </c:pt>
                <c:pt idx="10">
                  <c:v>-0.81619953902606479</c:v>
                </c:pt>
                <c:pt idx="11">
                  <c:v>-0.63314259316459331</c:v>
                </c:pt>
                <c:pt idx="12">
                  <c:v>0.55660132760786607</c:v>
                </c:pt>
                <c:pt idx="13">
                  <c:v>0.59985117827995904</c:v>
                </c:pt>
                <c:pt idx="14">
                  <c:v>-1.1865365294022181</c:v>
                </c:pt>
                <c:pt idx="15">
                  <c:v>4.2366654091568819E-2</c:v>
                </c:pt>
                <c:pt idx="16">
                  <c:v>0.69230082069766241</c:v>
                </c:pt>
                <c:pt idx="17">
                  <c:v>2.6536271810873528</c:v>
                </c:pt>
                <c:pt idx="18">
                  <c:v>0.36037297204250407</c:v>
                </c:pt>
                <c:pt idx="19">
                  <c:v>-1.7168409308486474</c:v>
                </c:pt>
                <c:pt idx="20">
                  <c:v>0.52982512516031777</c:v>
                </c:pt>
                <c:pt idx="21">
                  <c:v>0.121388667735152</c:v>
                </c:pt>
                <c:pt idx="22">
                  <c:v>-0.25334623637212272</c:v>
                </c:pt>
                <c:pt idx="23">
                  <c:v>0.8465492303042107</c:v>
                </c:pt>
                <c:pt idx="24">
                  <c:v>0.12985249300900778</c:v>
                </c:pt>
                <c:pt idx="25">
                  <c:v>-0.85141806657001107</c:v>
                </c:pt>
                <c:pt idx="26">
                  <c:v>0.49891160964599601</c:v>
                </c:pt>
                <c:pt idx="27">
                  <c:v>0.45587896743495632</c:v>
                </c:pt>
                <c:pt idx="28">
                  <c:v>0.32060255447826819</c:v>
                </c:pt>
                <c:pt idx="29">
                  <c:v>-0.49410978913987891</c:v>
                </c:pt>
                <c:pt idx="30">
                  <c:v>0.23468824072872999</c:v>
                </c:pt>
                <c:pt idx="31">
                  <c:v>-1.9225417326460792</c:v>
                </c:pt>
                <c:pt idx="32">
                  <c:v>0.20068295687681542</c:v>
                </c:pt>
              </c:numCache>
            </c:numRef>
          </c:xVal>
          <c:yVal>
            <c:numRef>
              <c:f>'Compt. Regress'!$C$3:$C$35</c:f>
              <c:numCache>
                <c:formatCode>0.00</c:formatCode>
                <c:ptCount val="33"/>
                <c:pt idx="0">
                  <c:v>1.4255405250063531</c:v>
                </c:pt>
                <c:pt idx="1">
                  <c:v>-0.49043451301485325</c:v>
                </c:pt>
                <c:pt idx="2">
                  <c:v>-0.16621307800406349</c:v>
                </c:pt>
                <c:pt idx="3">
                  <c:v>-0.6767951584626779</c:v>
                </c:pt>
                <c:pt idx="4">
                  <c:v>-0.36041566053529961</c:v>
                </c:pt>
                <c:pt idx="5">
                  <c:v>-0.58302567466255073</c:v>
                </c:pt>
                <c:pt idx="6">
                  <c:v>0.52258007005995533</c:v>
                </c:pt>
                <c:pt idx="7">
                  <c:v>0.4698109730760216</c:v>
                </c:pt>
                <c:pt idx="8">
                  <c:v>1.4223422220211868</c:v>
                </c:pt>
                <c:pt idx="9">
                  <c:v>5.2153815465916083E-2</c:v>
                </c:pt>
                <c:pt idx="10">
                  <c:v>0.23785564532605222</c:v>
                </c:pt>
                <c:pt idx="11">
                  <c:v>0.2308989009926187</c:v>
                </c:pt>
                <c:pt idx="12">
                  <c:v>0.23579793496626733</c:v>
                </c:pt>
                <c:pt idx="13">
                  <c:v>-0.35838987515994025</c:v>
                </c:pt>
                <c:pt idx="14">
                  <c:v>0.59372054444507161</c:v>
                </c:pt>
                <c:pt idx="15">
                  <c:v>0.12883472578450098</c:v>
                </c:pt>
                <c:pt idx="16">
                  <c:v>0.10189874574336752</c:v>
                </c:pt>
                <c:pt idx="17">
                  <c:v>-0.61809672118954739</c:v>
                </c:pt>
                <c:pt idx="18">
                  <c:v>-0.48422075013713889</c:v>
                </c:pt>
                <c:pt idx="19">
                  <c:v>2.1692475485534328</c:v>
                </c:pt>
                <c:pt idx="20">
                  <c:v>-0.55505648603455771</c:v>
                </c:pt>
                <c:pt idx="21">
                  <c:v>-0.50718932529558414</c:v>
                </c:pt>
                <c:pt idx="22">
                  <c:v>-0.46284842419996541</c:v>
                </c:pt>
                <c:pt idx="23">
                  <c:v>-0.36315540465326435</c:v>
                </c:pt>
                <c:pt idx="24">
                  <c:v>-0.16466036285246269</c:v>
                </c:pt>
                <c:pt idx="25">
                  <c:v>0.49002529275994527</c:v>
                </c:pt>
                <c:pt idx="26">
                  <c:v>-0.49266345738201095</c:v>
                </c:pt>
                <c:pt idx="27">
                  <c:v>0.16739140015649304</c:v>
                </c:pt>
                <c:pt idx="28">
                  <c:v>-0.24455989205539388</c:v>
                </c:pt>
                <c:pt idx="29">
                  <c:v>1.5328752249159792</c:v>
                </c:pt>
                <c:pt idx="30">
                  <c:v>-0.34765727585037098</c:v>
                </c:pt>
                <c:pt idx="31">
                  <c:v>2.7898082980863612</c:v>
                </c:pt>
                <c:pt idx="32">
                  <c:v>0.45654469091159733</c:v>
                </c:pt>
              </c:numCache>
            </c:numRef>
          </c:yVal>
          <c:smooth val="0"/>
        </c:ser>
        <c:dLbls>
          <c:showLegendKey val="0"/>
          <c:showVal val="0"/>
          <c:showCatName val="0"/>
          <c:showSerName val="0"/>
          <c:showPercent val="0"/>
          <c:showBubbleSize val="0"/>
        </c:dLbls>
        <c:axId val="159027584"/>
        <c:axId val="159029120"/>
      </c:scatterChart>
      <c:valAx>
        <c:axId val="159027584"/>
        <c:scaling>
          <c:orientation val="minMax"/>
        </c:scaling>
        <c:delete val="0"/>
        <c:axPos val="b"/>
        <c:numFmt formatCode="0.00" sourceLinked="1"/>
        <c:majorTickMark val="out"/>
        <c:minorTickMark val="none"/>
        <c:tickLblPos val="nextTo"/>
        <c:crossAx val="159029120"/>
        <c:crosses val="autoZero"/>
        <c:crossBetween val="midCat"/>
      </c:valAx>
      <c:valAx>
        <c:axId val="159029120"/>
        <c:scaling>
          <c:orientation val="minMax"/>
        </c:scaling>
        <c:delete val="0"/>
        <c:axPos val="l"/>
        <c:majorGridlines>
          <c:spPr>
            <a:ln>
              <a:noFill/>
            </a:ln>
          </c:spPr>
        </c:majorGridlines>
        <c:numFmt formatCode="0.00" sourceLinked="1"/>
        <c:majorTickMark val="out"/>
        <c:minorTickMark val="none"/>
        <c:tickLblPos val="nextTo"/>
        <c:crossAx val="159027584"/>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438150</xdr:colOff>
      <xdr:row>2</xdr:row>
      <xdr:rowOff>104775</xdr:rowOff>
    </xdr:from>
    <xdr:to>
      <xdr:col>62</xdr:col>
      <xdr:colOff>333375</xdr:colOff>
      <xdr:row>18</xdr:row>
      <xdr:rowOff>66675</xdr:rowOff>
    </xdr:to>
    <xdr:graphicFrame macro="">
      <xdr:nvGraphicFramePr>
        <xdr:cNvPr id="415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51</xdr:col>
      <xdr:colOff>600075</xdr:colOff>
      <xdr:row>5</xdr:row>
      <xdr:rowOff>0</xdr:rowOff>
    </xdr:from>
    <xdr:to>
      <xdr:col>63</xdr:col>
      <xdr:colOff>552450</xdr:colOff>
      <xdr:row>35</xdr:row>
      <xdr:rowOff>28575</xdr:rowOff>
    </xdr:to>
    <xdr:graphicFrame macro="">
      <xdr:nvGraphicFramePr>
        <xdr:cNvPr id="113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55</xdr:col>
      <xdr:colOff>142875</xdr:colOff>
      <xdr:row>5</xdr:row>
      <xdr:rowOff>19050</xdr:rowOff>
    </xdr:from>
    <xdr:to>
      <xdr:col>62</xdr:col>
      <xdr:colOff>552450</xdr:colOff>
      <xdr:row>20</xdr:row>
      <xdr:rowOff>66675</xdr:rowOff>
    </xdr:to>
    <xdr:graphicFrame macro="">
      <xdr:nvGraphicFramePr>
        <xdr:cNvPr id="215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55</xdr:col>
      <xdr:colOff>114300</xdr:colOff>
      <xdr:row>21</xdr:row>
      <xdr:rowOff>0</xdr:rowOff>
    </xdr:from>
    <xdr:to>
      <xdr:col>62</xdr:col>
      <xdr:colOff>523875</xdr:colOff>
      <xdr:row>36</xdr:row>
      <xdr:rowOff>47625</xdr:rowOff>
    </xdr:to>
    <xdr:graphicFrame macro="">
      <xdr:nvGraphicFramePr>
        <xdr:cNvPr id="215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485775</xdr:colOff>
      <xdr:row>2</xdr:row>
      <xdr:rowOff>9525</xdr:rowOff>
    </xdr:from>
    <xdr:to>
      <xdr:col>33</xdr:col>
      <xdr:colOff>285750</xdr:colOff>
      <xdr:row>17</xdr:row>
      <xdr:rowOff>9525</xdr:rowOff>
    </xdr:to>
    <xdr:graphicFrame macro="">
      <xdr:nvGraphicFramePr>
        <xdr:cNvPr id="312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44</xdr:col>
      <xdr:colOff>457200</xdr:colOff>
      <xdr:row>3</xdr:row>
      <xdr:rowOff>9525</xdr:rowOff>
    </xdr:from>
    <xdr:to>
      <xdr:col>52</xdr:col>
      <xdr:colOff>257175</xdr:colOff>
      <xdr:row>18</xdr:row>
      <xdr:rowOff>57150</xdr:rowOff>
    </xdr:to>
    <xdr:graphicFrame macro="">
      <xdr:nvGraphicFramePr>
        <xdr:cNvPr id="518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9525</xdr:colOff>
      <xdr:row>19</xdr:row>
      <xdr:rowOff>47625</xdr:rowOff>
    </xdr:from>
    <xdr:to>
      <xdr:col>52</xdr:col>
      <xdr:colOff>314325</xdr:colOff>
      <xdr:row>36</xdr:row>
      <xdr:rowOff>38100</xdr:rowOff>
    </xdr:to>
    <xdr:graphicFrame macro="">
      <xdr:nvGraphicFramePr>
        <xdr:cNvPr id="518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400050</xdr:colOff>
      <xdr:row>2</xdr:row>
      <xdr:rowOff>47625</xdr:rowOff>
    </xdr:from>
    <xdr:to>
      <xdr:col>25</xdr:col>
      <xdr:colOff>200025</xdr:colOff>
      <xdr:row>17</xdr:row>
      <xdr:rowOff>95250</xdr:rowOff>
    </xdr:to>
    <xdr:graphicFrame macro="">
      <xdr:nvGraphicFramePr>
        <xdr:cNvPr id="824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34</xdr:col>
      <xdr:colOff>342900</xdr:colOff>
      <xdr:row>7</xdr:row>
      <xdr:rowOff>9525</xdr:rowOff>
    </xdr:from>
    <xdr:to>
      <xdr:col>42</xdr:col>
      <xdr:colOff>142875</xdr:colOff>
      <xdr:row>22</xdr:row>
      <xdr:rowOff>57150</xdr:rowOff>
    </xdr:to>
    <xdr:graphicFrame macro="">
      <xdr:nvGraphicFramePr>
        <xdr:cNvPr id="722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53</xdr:col>
      <xdr:colOff>266700</xdr:colOff>
      <xdr:row>4</xdr:row>
      <xdr:rowOff>19050</xdr:rowOff>
    </xdr:from>
    <xdr:to>
      <xdr:col>59</xdr:col>
      <xdr:colOff>466725</xdr:colOff>
      <xdr:row>19</xdr:row>
      <xdr:rowOff>66675</xdr:rowOff>
    </xdr:to>
    <xdr:graphicFrame macro="">
      <xdr:nvGraphicFramePr>
        <xdr:cNvPr id="61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600075</xdr:colOff>
      <xdr:row>2</xdr:row>
      <xdr:rowOff>19050</xdr:rowOff>
    </xdr:from>
    <xdr:to>
      <xdr:col>24</xdr:col>
      <xdr:colOff>400050</xdr:colOff>
      <xdr:row>17</xdr:row>
      <xdr:rowOff>66675</xdr:rowOff>
    </xdr:to>
    <xdr:graphicFrame macro="">
      <xdr:nvGraphicFramePr>
        <xdr:cNvPr id="927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45</xdr:col>
      <xdr:colOff>361950</xdr:colOff>
      <xdr:row>9</xdr:row>
      <xdr:rowOff>338137</xdr:rowOff>
    </xdr:from>
    <xdr:to>
      <xdr:col>53</xdr:col>
      <xdr:colOff>57150</xdr:colOff>
      <xdr:row>22</xdr:row>
      <xdr:rowOff>157162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400050</xdr:colOff>
      <xdr:row>52</xdr:row>
      <xdr:rowOff>157162</xdr:rowOff>
    </xdr:from>
    <xdr:to>
      <xdr:col>32</xdr:col>
      <xdr:colOff>200025</xdr:colOff>
      <xdr:row>63</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361950</xdr:colOff>
      <xdr:row>55</xdr:row>
      <xdr:rowOff>19050</xdr:rowOff>
    </xdr:from>
    <xdr:to>
      <xdr:col>15</xdr:col>
      <xdr:colOff>400050</xdr:colOff>
      <xdr:row>67</xdr:row>
      <xdr:rowOff>80962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53</xdr:row>
      <xdr:rowOff>152400</xdr:rowOff>
    </xdr:from>
    <xdr:to>
      <xdr:col>9</xdr:col>
      <xdr:colOff>314325</xdr:colOff>
      <xdr:row>66</xdr:row>
      <xdr:rowOff>142881</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381000</xdr:colOff>
      <xdr:row>68</xdr:row>
      <xdr:rowOff>28575</xdr:rowOff>
    </xdr:from>
    <xdr:to>
      <xdr:col>10</xdr:col>
      <xdr:colOff>209550</xdr:colOff>
      <xdr:row>81</xdr:row>
      <xdr:rowOff>157162</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323850</xdr:colOff>
      <xdr:row>68</xdr:row>
      <xdr:rowOff>57149</xdr:rowOff>
    </xdr:from>
    <xdr:to>
      <xdr:col>16</xdr:col>
      <xdr:colOff>9525</xdr:colOff>
      <xdr:row>81</xdr:row>
      <xdr:rowOff>4761</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333375</xdr:colOff>
      <xdr:row>82</xdr:row>
      <xdr:rowOff>95250</xdr:rowOff>
    </xdr:from>
    <xdr:to>
      <xdr:col>12</xdr:col>
      <xdr:colOff>19050</xdr:colOff>
      <xdr:row>97</xdr:row>
      <xdr:rowOff>52387</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361950</xdr:colOff>
      <xdr:row>53</xdr:row>
      <xdr:rowOff>19049</xdr:rowOff>
    </xdr:from>
    <xdr:to>
      <xdr:col>27</xdr:col>
      <xdr:colOff>285750</xdr:colOff>
      <xdr:row>64</xdr:row>
      <xdr:rowOff>100011</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542925</xdr:colOff>
      <xdr:row>53</xdr:row>
      <xdr:rowOff>0</xdr:rowOff>
    </xdr:from>
    <xdr:to>
      <xdr:col>21</xdr:col>
      <xdr:colOff>114300</xdr:colOff>
      <xdr:row>64</xdr:row>
      <xdr:rowOff>95250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228600</xdr:colOff>
      <xdr:row>65</xdr:row>
      <xdr:rowOff>114299</xdr:rowOff>
    </xdr:from>
    <xdr:to>
      <xdr:col>21</xdr:col>
      <xdr:colOff>523875</xdr:colOff>
      <xdr:row>80</xdr:row>
      <xdr:rowOff>100011</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352425</xdr:colOff>
      <xdr:row>65</xdr:row>
      <xdr:rowOff>85725</xdr:rowOff>
    </xdr:from>
    <xdr:to>
      <xdr:col>27</xdr:col>
      <xdr:colOff>342900</xdr:colOff>
      <xdr:row>78</xdr:row>
      <xdr:rowOff>100012</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28</xdr:col>
      <xdr:colOff>485775</xdr:colOff>
      <xdr:row>64</xdr:row>
      <xdr:rowOff>152400</xdr:rowOff>
    </xdr:from>
    <xdr:to>
      <xdr:col>34</xdr:col>
      <xdr:colOff>304800</xdr:colOff>
      <xdr:row>76</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200025</xdr:colOff>
      <xdr:row>76</xdr:row>
      <xdr:rowOff>114299</xdr:rowOff>
    </xdr:from>
    <xdr:to>
      <xdr:col>34</xdr:col>
      <xdr:colOff>352425</xdr:colOff>
      <xdr:row>89</xdr:row>
      <xdr:rowOff>23811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600075</xdr:colOff>
      <xdr:row>0</xdr:row>
      <xdr:rowOff>0</xdr:rowOff>
    </xdr:from>
    <xdr:to>
      <xdr:col>11</xdr:col>
      <xdr:colOff>295275</xdr:colOff>
      <xdr:row>17</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43</xdr:row>
          <xdr:rowOff>123825</xdr:rowOff>
        </xdr:from>
        <xdr:to>
          <xdr:col>15</xdr:col>
          <xdr:colOff>419100</xdr:colOff>
          <xdr:row>44</xdr:row>
          <xdr:rowOff>9525</xdr:rowOff>
        </xdr:to>
        <xdr:sp macro="" textlink="">
          <xdr:nvSpPr>
            <xdr:cNvPr id="347137" name="Object 1" hidden="1">
              <a:extLst>
                <a:ext uri="{63B3BB69-23CF-44E3-9099-C40C66FF867C}">
                  <a14:compatExt spid="_x0000_s34713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imf.org/external/data.html" TargetMode="External"/><Relationship Id="rId1" Type="http://schemas.openxmlformats.org/officeDocument/2006/relationships/hyperlink" Target="http://databank.worldbank.org/" TargetMode="External"/><Relationship Id="rId4"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2.xml.rels><?xml version="1.0" encoding="UTF-8" standalone="yes"?>
<Relationships xmlns="http://schemas.openxmlformats.org/package/2006/relationships"><Relationship Id="rId117" Type="http://schemas.openxmlformats.org/officeDocument/2006/relationships/hyperlink" Target="../../../../../../../../data/exploreeconomies/ghana/" TargetMode="External"/><Relationship Id="rId21" Type="http://schemas.openxmlformats.org/officeDocument/2006/relationships/hyperlink" Target="../../../../../../../../data/exploreeconomies/angola/" TargetMode="External"/><Relationship Id="rId42" Type="http://schemas.openxmlformats.org/officeDocument/2006/relationships/hyperlink" Target="../../../../../../../../data/exploreeconomies/bhutan/" TargetMode="External"/><Relationship Id="rId47" Type="http://schemas.openxmlformats.org/officeDocument/2006/relationships/hyperlink" Target="../../../../../../../../data/exploreeconomies/nigeria/" TargetMode="External"/><Relationship Id="rId63" Type="http://schemas.openxmlformats.org/officeDocument/2006/relationships/hyperlink" Target="../../../../../../../../data/exploreeconomies/indonesia/" TargetMode="External"/><Relationship Id="rId68" Type="http://schemas.openxmlformats.org/officeDocument/2006/relationships/hyperlink" Target="../../../../../../../../data/exploreeconomies/nepal/" TargetMode="External"/><Relationship Id="rId84" Type="http://schemas.openxmlformats.org/officeDocument/2006/relationships/hyperlink" Target="../../../../../../../../data/exploreeconomies/guyana/" TargetMode="External"/><Relationship Id="rId89" Type="http://schemas.openxmlformats.org/officeDocument/2006/relationships/hyperlink" Target="../../../../../../../../data/exploreeconomies/seychelles/" TargetMode="External"/><Relationship Id="rId112" Type="http://schemas.openxmlformats.org/officeDocument/2006/relationships/hyperlink" Target="../../../../../../../../data/exploreeconomies/panama/" TargetMode="External"/><Relationship Id="rId133" Type="http://schemas.openxmlformats.org/officeDocument/2006/relationships/hyperlink" Target="../../../../../../../../data/exploreeconomies/bulgaria/" TargetMode="External"/><Relationship Id="rId138" Type="http://schemas.openxmlformats.org/officeDocument/2006/relationships/hyperlink" Target="../../../../../../../../data/exploreeconomies/hungary/" TargetMode="External"/><Relationship Id="rId154" Type="http://schemas.openxmlformats.org/officeDocument/2006/relationships/hyperlink" Target="../../../../../../../../data/exploreeconomies/netherlands/" TargetMode="External"/><Relationship Id="rId159" Type="http://schemas.openxmlformats.org/officeDocument/2006/relationships/hyperlink" Target="../../../../../../../../data/exploreeconomies/belgium/" TargetMode="External"/><Relationship Id="rId175" Type="http://schemas.openxmlformats.org/officeDocument/2006/relationships/hyperlink" Target="../../../../../../../../data/exploreeconomies/ireland/" TargetMode="External"/><Relationship Id="rId170" Type="http://schemas.openxmlformats.org/officeDocument/2006/relationships/hyperlink" Target="../../../../../../../../data/exploreeconomies/sweden/" TargetMode="External"/><Relationship Id="rId191" Type="http://schemas.openxmlformats.org/officeDocument/2006/relationships/hyperlink" Target="../../../../../../../../Rankings%3fsortcolumn=9&amp;sortorder=asc&amp;regionID=0&amp;incomeID=0&amp;tercile=&amp;ajax=1" TargetMode="External"/><Relationship Id="rId16" Type="http://schemas.openxmlformats.org/officeDocument/2006/relationships/hyperlink" Target="../../../../../../../../data/exploreeconomies/cameroon/" TargetMode="External"/><Relationship Id="rId107" Type="http://schemas.openxmlformats.org/officeDocument/2006/relationships/hyperlink" Target="../../../../../../../../data/exploreeconomies/bahamas/" TargetMode="External"/><Relationship Id="rId11" Type="http://schemas.openxmlformats.org/officeDocument/2006/relationships/hyperlink" Target="../../../../../../../../data/exploreeconomies/niger/" TargetMode="External"/><Relationship Id="rId32" Type="http://schemas.openxmlformats.org/officeDocument/2006/relationships/hyperlink" Target="../../../../../../../../data/exploreeconomies/senegal/" TargetMode="External"/><Relationship Id="rId37" Type="http://schemas.openxmlformats.org/officeDocument/2006/relationships/hyperlink" Target="../../../../../../../../data/exploreeconomies/cambodia/" TargetMode="External"/><Relationship Id="rId53" Type="http://schemas.openxmlformats.org/officeDocument/2006/relationships/hyperlink" Target="../../../../../../../../data/exploreeconomies/honduras/" TargetMode="External"/><Relationship Id="rId58" Type="http://schemas.openxmlformats.org/officeDocument/2006/relationships/hyperlink" Target="../../../../../../../../data/exploreeconomies/mozambique/" TargetMode="External"/><Relationship Id="rId74" Type="http://schemas.openxmlformats.org/officeDocument/2006/relationships/hyperlink" Target="../../../../../../../../data/exploreeconomies/bosnia-and-herzegovina/" TargetMode="External"/><Relationship Id="rId79" Type="http://schemas.openxmlformats.org/officeDocument/2006/relationships/hyperlink" Target="../../../../../../../../data/exploreeconomies/yemen/" TargetMode="External"/><Relationship Id="rId102" Type="http://schemas.openxmlformats.org/officeDocument/2006/relationships/hyperlink" Target="../../../../../../../../data/exploreeconomies/albania/" TargetMode="External"/><Relationship Id="rId123" Type="http://schemas.openxmlformats.org/officeDocument/2006/relationships/hyperlink" Target="../../../../../../../../data/exploreeconomies/samoa/" TargetMode="External"/><Relationship Id="rId128" Type="http://schemas.openxmlformats.org/officeDocument/2006/relationships/hyperlink" Target="../../../../../../../../data/exploreeconomies/romania/" TargetMode="External"/><Relationship Id="rId144" Type="http://schemas.openxmlformats.org/officeDocument/2006/relationships/hyperlink" Target="../../../../../../../../data/exploreeconomies/united-arab-emirates/" TargetMode="External"/><Relationship Id="rId149" Type="http://schemas.openxmlformats.org/officeDocument/2006/relationships/hyperlink" Target="../../../../../../../../data/exploreeconomies/mexico/" TargetMode="External"/><Relationship Id="rId5" Type="http://schemas.openxmlformats.org/officeDocument/2006/relationships/hyperlink" Target="../../../../../../../../data/exploreeconomies/guinea/" TargetMode="External"/><Relationship Id="rId90" Type="http://schemas.openxmlformats.org/officeDocument/2006/relationships/hyperlink" Target="../../../../../../../../data/exploreeconomies/egypt/" TargetMode="External"/><Relationship Id="rId95" Type="http://schemas.openxmlformats.org/officeDocument/2006/relationships/hyperlink" Target="../../../../../../../../data/exploreeconomies/serbia/" TargetMode="External"/><Relationship Id="rId160" Type="http://schemas.openxmlformats.org/officeDocument/2006/relationships/hyperlink" Target="../../../../../../../../data/exploreeconomies/latvia/" TargetMode="External"/><Relationship Id="rId165" Type="http://schemas.openxmlformats.org/officeDocument/2006/relationships/hyperlink" Target="../../../../../../../../data/exploreeconomies/thailand/" TargetMode="External"/><Relationship Id="rId181" Type="http://schemas.openxmlformats.org/officeDocument/2006/relationships/hyperlink" Target="../../../../../../../../data/exploreeconomies/new-zealand/" TargetMode="External"/><Relationship Id="rId186" Type="http://schemas.openxmlformats.org/officeDocument/2006/relationships/hyperlink" Target="../../../../../../../../Rankings%3fsortcolumn=14&amp;sortorder=asc&amp;regionID=0&amp;incomeID=0&amp;tercile=&amp;ajax=1" TargetMode="External"/><Relationship Id="rId22" Type="http://schemas.openxmlformats.org/officeDocument/2006/relationships/hyperlink" Target="../../../../../../../../data/exploreeconomies/haiti/" TargetMode="External"/><Relationship Id="rId27" Type="http://schemas.openxmlformats.org/officeDocument/2006/relationships/hyperlink" Target="../../../../../../../../data/exploreeconomies/zimbabwe/" TargetMode="External"/><Relationship Id="rId43" Type="http://schemas.openxmlformats.org/officeDocument/2006/relationships/hyperlink" Target="../../../../../../../../data/exploreeconomies/micronesia/" TargetMode="External"/><Relationship Id="rId48" Type="http://schemas.openxmlformats.org/officeDocument/2006/relationships/hyperlink" Target="../../../../../../../../data/exploreeconomies/algeria/" TargetMode="External"/><Relationship Id="rId64" Type="http://schemas.openxmlformats.org/officeDocument/2006/relationships/hyperlink" Target="../../../../../../../../data/exploreeconomies/palau/" TargetMode="External"/><Relationship Id="rId69" Type="http://schemas.openxmlformats.org/officeDocument/2006/relationships/hyperlink" Target="../../../../../../../../data/exploreeconomies/argentina/" TargetMode="External"/><Relationship Id="rId113" Type="http://schemas.openxmlformats.org/officeDocument/2006/relationships/hyperlink" Target="../../../../../../../../data/exploreeconomies/tonga/" TargetMode="External"/><Relationship Id="rId118" Type="http://schemas.openxmlformats.org/officeDocument/2006/relationships/hyperlink" Target="../../../../../../../../data/exploreeconomies/montenegro/" TargetMode="External"/><Relationship Id="rId134" Type="http://schemas.openxmlformats.org/officeDocument/2006/relationships/hyperlink" Target="../../../../../../../../data/exploreeconomies/qatar/" TargetMode="External"/><Relationship Id="rId139" Type="http://schemas.openxmlformats.org/officeDocument/2006/relationships/hyperlink" Target="../../../../../../../../data/exploreeconomies/luxembourg/" TargetMode="External"/><Relationship Id="rId80" Type="http://schemas.openxmlformats.org/officeDocument/2006/relationships/hyperlink" Target="../../../../../../../../data/exploreeconomies/ethiopia/" TargetMode="External"/><Relationship Id="rId85" Type="http://schemas.openxmlformats.org/officeDocument/2006/relationships/hyperlink" Target="../../../../../../../../data/exploreeconomies/belize/" TargetMode="External"/><Relationship Id="rId150" Type="http://schemas.openxmlformats.org/officeDocument/2006/relationships/hyperlink" Target="../../../../../../../../data/exploreeconomies/south-africa/" TargetMode="External"/><Relationship Id="rId155" Type="http://schemas.openxmlformats.org/officeDocument/2006/relationships/hyperlink" Target="../../../../../../../../data/exploreeconomies/israel/" TargetMode="External"/><Relationship Id="rId171" Type="http://schemas.openxmlformats.org/officeDocument/2006/relationships/hyperlink" Target="../../../../../../../../data/exploreeconomies/finland/" TargetMode="External"/><Relationship Id="rId176" Type="http://schemas.openxmlformats.org/officeDocument/2006/relationships/hyperlink" Target="../../../../../../../../data/exploreeconomies/norway/" TargetMode="External"/><Relationship Id="rId192" Type="http://schemas.openxmlformats.org/officeDocument/2006/relationships/hyperlink" Target="../../../../../../../../Rankings%3fsortcolumn=8&amp;sortorder=asc&amp;regionID=0&amp;incomeID=0&amp;tercile=&amp;ajax=1" TargetMode="External"/><Relationship Id="rId12" Type="http://schemas.openxmlformats.org/officeDocument/2006/relationships/hyperlink" Target="../../../../../../../../data/exploreeconomies/venezuela/" TargetMode="External"/><Relationship Id="rId17" Type="http://schemas.openxmlformats.org/officeDocument/2006/relationships/hyperlink" Target="../../../../../../../../data/exploreeconomies/afghanistan/" TargetMode="External"/><Relationship Id="rId33" Type="http://schemas.openxmlformats.org/officeDocument/2006/relationships/hyperlink" Target="../../../../../../../../data/exploreeconomies/burkina-faso/" TargetMode="External"/><Relationship Id="rId38" Type="http://schemas.openxmlformats.org/officeDocument/2006/relationships/hyperlink" Target="../../../../../../../../data/exploreeconomies/gambia/" TargetMode="External"/><Relationship Id="rId59" Type="http://schemas.openxmlformats.org/officeDocument/2006/relationships/hyperlink" Target="../../../../../../../../data/exploreeconomies/costa-rica/" TargetMode="External"/><Relationship Id="rId103" Type="http://schemas.openxmlformats.org/officeDocument/2006/relationships/hyperlink" Target="../../../../../../../../data/exploreeconomies/jamaica/" TargetMode="External"/><Relationship Id="rId108" Type="http://schemas.openxmlformats.org/officeDocument/2006/relationships/hyperlink" Target="../../../../../../../../data/exploreeconomies/zambia/" TargetMode="External"/><Relationship Id="rId124" Type="http://schemas.openxmlformats.org/officeDocument/2006/relationships/hyperlink" Target="../../../../../../../../data/exploreeconomies/vanuatu/" TargetMode="External"/><Relationship Id="rId129" Type="http://schemas.openxmlformats.org/officeDocument/2006/relationships/hyperlink" Target="../../../../../../../../data/exploreeconomies/tunisia/" TargetMode="External"/><Relationship Id="rId54" Type="http://schemas.openxmlformats.org/officeDocument/2006/relationships/hyperlink" Target="../../../../../../../../data/exploreeconomies/ecuador/" TargetMode="External"/><Relationship Id="rId70" Type="http://schemas.openxmlformats.org/officeDocument/2006/relationships/hyperlink" Target="../../../../../../../../data/exploreeconomies/morocco/" TargetMode="External"/><Relationship Id="rId75" Type="http://schemas.openxmlformats.org/officeDocument/2006/relationships/hyperlink" Target="../../../../../../../../data/exploreeconomies/greece/" TargetMode="External"/><Relationship Id="rId91" Type="http://schemas.openxmlformats.org/officeDocument/2006/relationships/hyperlink" Target="../../../../../../../../data/exploreeconomies/kiribati/" TargetMode="External"/><Relationship Id="rId96" Type="http://schemas.openxmlformats.org/officeDocument/2006/relationships/hyperlink" Target="../../../../../../../../data/exploreeconomies/dominica/" TargetMode="External"/><Relationship Id="rId140" Type="http://schemas.openxmlformats.org/officeDocument/2006/relationships/hyperlink" Target="../../../../../../../../data/exploreeconomies/kyrgyz-republic/" TargetMode="External"/><Relationship Id="rId145" Type="http://schemas.openxmlformats.org/officeDocument/2006/relationships/hyperlink" Target="../../../../../../../../data/exploreeconomies/colombia/" TargetMode="External"/><Relationship Id="rId161" Type="http://schemas.openxmlformats.org/officeDocument/2006/relationships/hyperlink" Target="../../../../../../../../data/exploreeconomies/lithuania/" TargetMode="External"/><Relationship Id="rId166" Type="http://schemas.openxmlformats.org/officeDocument/2006/relationships/hyperlink" Target="../../../../../../../../data/exploreeconomies/japan/" TargetMode="External"/><Relationship Id="rId182" Type="http://schemas.openxmlformats.org/officeDocument/2006/relationships/hyperlink" Target="../../../../../../../../data/exploreeconomies/hong-kong,-china/" TargetMode="External"/><Relationship Id="rId187" Type="http://schemas.openxmlformats.org/officeDocument/2006/relationships/hyperlink" Target="../../../../../../../../Rankings%3fsortcolumn=13&amp;sortorder=asc&amp;regionID=0&amp;incomeID=0&amp;tercile=&amp;ajax=1" TargetMode="External"/><Relationship Id="rId1" Type="http://schemas.openxmlformats.org/officeDocument/2006/relationships/hyperlink" Target="../../../../../../../../data/exploreeconomies/chad/" TargetMode="External"/><Relationship Id="rId6" Type="http://schemas.openxmlformats.org/officeDocument/2006/relationships/hyperlink" Target="../../../../../../../../data/exploreeconomies/s&#227;o-tom&#233;-and-principe/" TargetMode="External"/><Relationship Id="rId23" Type="http://schemas.openxmlformats.org/officeDocument/2006/relationships/hyperlink" Target="../../../../../../../../data/exploreeconomies/suriname/" TargetMode="External"/><Relationship Id="rId28" Type="http://schemas.openxmlformats.org/officeDocument/2006/relationships/hyperlink" Target="../../../../../../../../data/exploreeconomies/gabon/" TargetMode="External"/><Relationship Id="rId49" Type="http://schemas.openxmlformats.org/officeDocument/2006/relationships/hyperlink" Target="../../../../../../../../data/exploreeconomies/west-bank-and-gaza/" TargetMode="External"/><Relationship Id="rId114" Type="http://schemas.openxmlformats.org/officeDocument/2006/relationships/hyperlink" Target="../../../../../../../../data/exploreeconomies/poland/" TargetMode="External"/><Relationship Id="rId119" Type="http://schemas.openxmlformats.org/officeDocument/2006/relationships/hyperlink" Target="../../../../../../../../data/exploreeconomies/turkey/" TargetMode="External"/><Relationship Id="rId44" Type="http://schemas.openxmlformats.org/officeDocument/2006/relationships/hyperlink" Target="../../../../../../../../data/exploreeconomies/madagascar/" TargetMode="External"/><Relationship Id="rId60" Type="http://schemas.openxmlformats.org/officeDocument/2006/relationships/hyperlink" Target="../../../../../../../../data/exploreeconomies/uruguay/" TargetMode="External"/><Relationship Id="rId65" Type="http://schemas.openxmlformats.org/officeDocument/2006/relationships/hyperlink" Target="../../../../../../../../data/exploreeconomies/kosovo/" TargetMode="External"/><Relationship Id="rId81" Type="http://schemas.openxmlformats.org/officeDocument/2006/relationships/hyperlink" Target="../../../../../../../../data/exploreeconomies/papua-new-guinea/" TargetMode="External"/><Relationship Id="rId86" Type="http://schemas.openxmlformats.org/officeDocument/2006/relationships/hyperlink" Target="../../../../../../../../data/exploreeconomies/kenya/" TargetMode="External"/><Relationship Id="rId130" Type="http://schemas.openxmlformats.org/officeDocument/2006/relationships/hyperlink" Target="../../../../../../../../data/exploreeconomies/azerbaijan/" TargetMode="External"/><Relationship Id="rId135" Type="http://schemas.openxmlformats.org/officeDocument/2006/relationships/hyperlink" Target="../../../../../../../../data/exploreeconomies/spain/" TargetMode="External"/><Relationship Id="rId151" Type="http://schemas.openxmlformats.org/officeDocument/2006/relationships/hyperlink" Target="../../../../../../../../data/exploreeconomies/taiwan,-china/" TargetMode="External"/><Relationship Id="rId156" Type="http://schemas.openxmlformats.org/officeDocument/2006/relationships/hyperlink" Target="../../../../../../../../data/exploreeconomies/bahrain/" TargetMode="External"/><Relationship Id="rId177" Type="http://schemas.openxmlformats.org/officeDocument/2006/relationships/hyperlink" Target="../../../../../../../../data/exploreeconomies/canada/" TargetMode="External"/><Relationship Id="rId172" Type="http://schemas.openxmlformats.org/officeDocument/2006/relationships/hyperlink" Target="../../../../../../../../data/exploreeconomies/georgia/" TargetMode="External"/><Relationship Id="rId193" Type="http://schemas.openxmlformats.org/officeDocument/2006/relationships/hyperlink" Target="../../../../../../../../Rankings%3fsortcolumn=2&amp;sortorder=desc&amp;regionID=0&amp;incomeID=0&amp;tercile=&amp;ajax=1" TargetMode="External"/><Relationship Id="rId13" Type="http://schemas.openxmlformats.org/officeDocument/2006/relationships/hyperlink" Target="../../../../../../../../data/exploreeconomies/lao-pdr/" TargetMode="External"/><Relationship Id="rId18" Type="http://schemas.openxmlformats.org/officeDocument/2006/relationships/hyperlink" Target="../../../../../../../../data/exploreeconomies/iraq/" TargetMode="External"/><Relationship Id="rId39" Type="http://schemas.openxmlformats.org/officeDocument/2006/relationships/hyperlink" Target="../../../../../../../../data/exploreeconomies/ukraine/" TargetMode="External"/><Relationship Id="rId109" Type="http://schemas.openxmlformats.org/officeDocument/2006/relationships/hyperlink" Target="../../../../../../../../data/exploreeconomies/st~-vincent-and-the-grenadines/" TargetMode="External"/><Relationship Id="rId34" Type="http://schemas.openxmlformats.org/officeDocument/2006/relationships/hyperlink" Target="../../../../../../../../data/exploreeconomies/uzbekistan/" TargetMode="External"/><Relationship Id="rId50" Type="http://schemas.openxmlformats.org/officeDocument/2006/relationships/hyperlink" Target="../../../../../../../../data/exploreeconomies/india/" TargetMode="External"/><Relationship Id="rId55" Type="http://schemas.openxmlformats.org/officeDocument/2006/relationships/hyperlink" Target="../../../../../../../../data/exploreeconomies/iran/" TargetMode="External"/><Relationship Id="rId76" Type="http://schemas.openxmlformats.org/officeDocument/2006/relationships/hyperlink" Target="../../../../../../../../data/exploreeconomies/marshall-islands/" TargetMode="External"/><Relationship Id="rId97" Type="http://schemas.openxmlformats.org/officeDocument/2006/relationships/hyperlink" Target="../../../../../../../../data/exploreeconomies/st~-kitts-and-nevis/" TargetMode="External"/><Relationship Id="rId104" Type="http://schemas.openxmlformats.org/officeDocument/2006/relationships/hyperlink" Target="../../../../../../../../data/exploreeconomies/italy/" TargetMode="External"/><Relationship Id="rId120" Type="http://schemas.openxmlformats.org/officeDocument/2006/relationships/hyperlink" Target="../../../../../../../../data/exploreeconomies/antigua-and-barbuda/" TargetMode="External"/><Relationship Id="rId125" Type="http://schemas.openxmlformats.org/officeDocument/2006/relationships/hyperlink" Target="../../../../../../../../data/exploreeconomies/kazakhstan/" TargetMode="External"/><Relationship Id="rId141" Type="http://schemas.openxmlformats.org/officeDocument/2006/relationships/hyperlink" Target="../../../../../../../../data/exploreeconomies/chile/" TargetMode="External"/><Relationship Id="rId146" Type="http://schemas.openxmlformats.org/officeDocument/2006/relationships/hyperlink" Target="../../../../../../../../data/exploreeconomies/macedonia,-fyr/" TargetMode="External"/><Relationship Id="rId167" Type="http://schemas.openxmlformats.org/officeDocument/2006/relationships/hyperlink" Target="../../../../../../../../data/exploreeconomies/estonia/" TargetMode="External"/><Relationship Id="rId188" Type="http://schemas.openxmlformats.org/officeDocument/2006/relationships/hyperlink" Target="../../../../../../../../Rankings%3fsortcolumn=12&amp;sortorder=asc&amp;regionID=0&amp;incomeID=0&amp;tercile=&amp;ajax=1" TargetMode="External"/><Relationship Id="rId7" Type="http://schemas.openxmlformats.org/officeDocument/2006/relationships/hyperlink" Target="../../../../../../../../data/exploreeconomies/congo,-rep~/" TargetMode="External"/><Relationship Id="rId71" Type="http://schemas.openxmlformats.org/officeDocument/2006/relationships/hyperlink" Target="../../../../../../../../data/exploreeconomies/lebanon/" TargetMode="External"/><Relationship Id="rId92" Type="http://schemas.openxmlformats.org/officeDocument/2006/relationships/hyperlink" Target="../../../../../../../../data/exploreeconomies/grenada/" TargetMode="External"/><Relationship Id="rId162" Type="http://schemas.openxmlformats.org/officeDocument/2006/relationships/hyperlink" Target="../../../../../../../../data/exploreeconomies/germany/" TargetMode="External"/><Relationship Id="rId183" Type="http://schemas.openxmlformats.org/officeDocument/2006/relationships/hyperlink" Target="../../../../../../../../Rankings%3fsortcolumn=1&amp;sortorder=asc&amp;regionID=0&amp;incomeID=0&amp;tercile=&amp;ajax=1" TargetMode="External"/><Relationship Id="rId2" Type="http://schemas.openxmlformats.org/officeDocument/2006/relationships/hyperlink" Target="../../../../../../../../data/exploreeconomies/central-african-republic/" TargetMode="External"/><Relationship Id="rId29" Type="http://schemas.openxmlformats.org/officeDocument/2006/relationships/hyperlink" Target="../../../../../../../../data/exploreeconomies/liberia/" TargetMode="External"/><Relationship Id="rId24" Type="http://schemas.openxmlformats.org/officeDocument/2006/relationships/hyperlink" Target="../../../../../../../../data/exploreeconomies/togo/" TargetMode="External"/><Relationship Id="rId40" Type="http://schemas.openxmlformats.org/officeDocument/2006/relationships/hyperlink" Target="../../../../../../../../data/exploreeconomies/syria/" TargetMode="External"/><Relationship Id="rId45" Type="http://schemas.openxmlformats.org/officeDocument/2006/relationships/hyperlink" Target="../../../../../../../../data/exploreeconomies/tajikistan/" TargetMode="External"/><Relationship Id="rId66" Type="http://schemas.openxmlformats.org/officeDocument/2006/relationships/hyperlink" Target="../../../../../../../../data/exploreeconomies/swaziland/" TargetMode="External"/><Relationship Id="rId87" Type="http://schemas.openxmlformats.org/officeDocument/2006/relationships/hyperlink" Target="../../../../../../../../data/exploreeconomies/trinidad-and-tobago/" TargetMode="External"/><Relationship Id="rId110" Type="http://schemas.openxmlformats.org/officeDocument/2006/relationships/hyperlink" Target="../../../../../../../../data/exploreeconomies/kuwait/" TargetMode="External"/><Relationship Id="rId115" Type="http://schemas.openxmlformats.org/officeDocument/2006/relationships/hyperlink" Target="../../../../../../../../data/exploreeconomies/namibia/" TargetMode="External"/><Relationship Id="rId131" Type="http://schemas.openxmlformats.org/officeDocument/2006/relationships/hyperlink" Target="../../../../../../../../data/exploreeconomies/st~-lucia/" TargetMode="External"/><Relationship Id="rId136" Type="http://schemas.openxmlformats.org/officeDocument/2006/relationships/hyperlink" Target="../../../../../../../../data/exploreeconomies/armenia/" TargetMode="External"/><Relationship Id="rId157" Type="http://schemas.openxmlformats.org/officeDocument/2006/relationships/hyperlink" Target="../../../../../../../../data/exploreeconomies/switzerland/" TargetMode="External"/><Relationship Id="rId178" Type="http://schemas.openxmlformats.org/officeDocument/2006/relationships/hyperlink" Target="../../../../../../../../data/exploreeconomies/denmark/" TargetMode="External"/><Relationship Id="rId61" Type="http://schemas.openxmlformats.org/officeDocument/2006/relationships/hyperlink" Target="../../../../../../../../data/exploreeconomies/russia/" TargetMode="External"/><Relationship Id="rId82" Type="http://schemas.openxmlformats.org/officeDocument/2006/relationships/hyperlink" Target="../../../../../../../../data/exploreeconomies/sri-lanka/" TargetMode="External"/><Relationship Id="rId152" Type="http://schemas.openxmlformats.org/officeDocument/2006/relationships/hyperlink" Target="../../../../../../../../data/exploreeconomies/austria/" TargetMode="External"/><Relationship Id="rId173" Type="http://schemas.openxmlformats.org/officeDocument/2006/relationships/hyperlink" Target="../../../../../../../../data/exploreeconomies/saudi-arabia/" TargetMode="External"/><Relationship Id="rId19" Type="http://schemas.openxmlformats.org/officeDocument/2006/relationships/hyperlink" Target="../../../../../../../../data/exploreeconomies/mauritania/" TargetMode="External"/><Relationship Id="rId14" Type="http://schemas.openxmlformats.org/officeDocument/2006/relationships/hyperlink" Target="../../../../../../../../data/exploreeconomies/benin/" TargetMode="External"/><Relationship Id="rId30" Type="http://schemas.openxmlformats.org/officeDocument/2006/relationships/hyperlink" Target="../../../../../../../../data/exploreeconomies/sudan/" TargetMode="External"/><Relationship Id="rId35" Type="http://schemas.openxmlformats.org/officeDocument/2006/relationships/hyperlink" Target="../../../../../../../../data/exploreeconomies/bolivia/" TargetMode="External"/><Relationship Id="rId56" Type="http://schemas.openxmlformats.org/officeDocument/2006/relationships/hyperlink" Target="../../../../../../../../data/exploreeconomies/tanzania/" TargetMode="External"/><Relationship Id="rId77" Type="http://schemas.openxmlformats.org/officeDocument/2006/relationships/hyperlink" Target="../../../../../../../../data/exploreeconomies/bangladesh/" TargetMode="External"/><Relationship Id="rId100" Type="http://schemas.openxmlformats.org/officeDocument/2006/relationships/hyperlink" Target="../../../../../../../../data/exploreeconomies/croatia/" TargetMode="External"/><Relationship Id="rId105" Type="http://schemas.openxmlformats.org/officeDocument/2006/relationships/hyperlink" Target="../../../../../../../../data/exploreeconomies/china/" TargetMode="External"/><Relationship Id="rId126" Type="http://schemas.openxmlformats.org/officeDocument/2006/relationships/hyperlink" Target="../../../../../../../../data/exploreeconomies/rwanda/" TargetMode="External"/><Relationship Id="rId147" Type="http://schemas.openxmlformats.org/officeDocument/2006/relationships/hyperlink" Target="../../../../../../../../data/exploreeconomies/cyprus/" TargetMode="External"/><Relationship Id="rId168" Type="http://schemas.openxmlformats.org/officeDocument/2006/relationships/hyperlink" Target="../../../../../../../../data/exploreeconomies/korea/" TargetMode="External"/><Relationship Id="rId8" Type="http://schemas.openxmlformats.org/officeDocument/2006/relationships/hyperlink" Target="../../../../../../../../data/exploreeconomies/guinea_bissau/" TargetMode="External"/><Relationship Id="rId51" Type="http://schemas.openxmlformats.org/officeDocument/2006/relationships/hyperlink" Target="../../../../../../../../data/exploreeconomies/malawi/" TargetMode="External"/><Relationship Id="rId72" Type="http://schemas.openxmlformats.org/officeDocument/2006/relationships/hyperlink" Target="../../../../../../../../data/exploreeconomies/brunei/" TargetMode="External"/><Relationship Id="rId93" Type="http://schemas.openxmlformats.org/officeDocument/2006/relationships/hyperlink" Target="../../../../../../../../data/exploreeconomies/dominican-republic/" TargetMode="External"/><Relationship Id="rId98" Type="http://schemas.openxmlformats.org/officeDocument/2006/relationships/hyperlink" Target="../../../../../../../../data/exploreeconomies/el-salvador/" TargetMode="External"/><Relationship Id="rId121" Type="http://schemas.openxmlformats.org/officeDocument/2006/relationships/hyperlink" Target="../../../../../../../../data/exploreeconomies/czech-republic/" TargetMode="External"/><Relationship Id="rId142" Type="http://schemas.openxmlformats.org/officeDocument/2006/relationships/hyperlink" Target="../../../../../../../../data/exploreeconomies/slovenia/" TargetMode="External"/><Relationship Id="rId163" Type="http://schemas.openxmlformats.org/officeDocument/2006/relationships/hyperlink" Target="../../../../../../../../data/exploreeconomies/malaysia/" TargetMode="External"/><Relationship Id="rId184" Type="http://schemas.openxmlformats.org/officeDocument/2006/relationships/hyperlink" Target="../../../../../../../../Rankings%3fsortcolumn=16&amp;sortorder=asc&amp;regionID=0&amp;incomeID=0&amp;tercile=&amp;ajax=1" TargetMode="External"/><Relationship Id="rId189" Type="http://schemas.openxmlformats.org/officeDocument/2006/relationships/hyperlink" Target="../../../../../../../../Rankings%3fsortcolumn=11&amp;sortorder=asc&amp;regionID=0&amp;incomeID=0&amp;tercile=&amp;ajax=1" TargetMode="External"/><Relationship Id="rId3" Type="http://schemas.openxmlformats.org/officeDocument/2006/relationships/hyperlink" Target="../../../../../../../../data/exploreeconomies/burundi/" TargetMode="External"/><Relationship Id="rId25" Type="http://schemas.openxmlformats.org/officeDocument/2006/relationships/hyperlink" Target="../../../../../../../../data/exploreeconomies/comoros/" TargetMode="External"/><Relationship Id="rId46" Type="http://schemas.openxmlformats.org/officeDocument/2006/relationships/hyperlink" Target="../../../../../../../../data/exploreeconomies/lesotho/" TargetMode="External"/><Relationship Id="rId67" Type="http://schemas.openxmlformats.org/officeDocument/2006/relationships/hyperlink" Target="../../../../../../../../data/exploreeconomies/nicaragua/" TargetMode="External"/><Relationship Id="rId116" Type="http://schemas.openxmlformats.org/officeDocument/2006/relationships/hyperlink" Target="../../../../../../../../data/exploreeconomies/belarus/" TargetMode="External"/><Relationship Id="rId137" Type="http://schemas.openxmlformats.org/officeDocument/2006/relationships/hyperlink" Target="../../../../../../../../data/exploreeconomies/puerto-rico/" TargetMode="External"/><Relationship Id="rId158" Type="http://schemas.openxmlformats.org/officeDocument/2006/relationships/hyperlink" Target="../../../../../../../../data/exploreeconomies/france/" TargetMode="External"/><Relationship Id="rId20" Type="http://schemas.openxmlformats.org/officeDocument/2006/relationships/hyperlink" Target="../../../../../../../../data/exploreeconomies/equatorial-guinea/" TargetMode="External"/><Relationship Id="rId41" Type="http://schemas.openxmlformats.org/officeDocument/2006/relationships/hyperlink" Target="../../../../../../../../data/exploreeconomies/sierra-leone/" TargetMode="External"/><Relationship Id="rId62" Type="http://schemas.openxmlformats.org/officeDocument/2006/relationships/hyperlink" Target="../../../../../../../../data/exploreeconomies/uganda/" TargetMode="External"/><Relationship Id="rId83" Type="http://schemas.openxmlformats.org/officeDocument/2006/relationships/hyperlink" Target="../../../../../../../../data/exploreeconomies/guatemala/" TargetMode="External"/><Relationship Id="rId88" Type="http://schemas.openxmlformats.org/officeDocument/2006/relationships/hyperlink" Target="../../../../../../../../data/exploreeconomies/solomon-islands/" TargetMode="External"/><Relationship Id="rId111" Type="http://schemas.openxmlformats.org/officeDocument/2006/relationships/hyperlink" Target="../../../../../../../../data/exploreeconomies/mongolia/" TargetMode="External"/><Relationship Id="rId132" Type="http://schemas.openxmlformats.org/officeDocument/2006/relationships/hyperlink" Target="../../../../../../../../data/exploreeconomies/botswana/" TargetMode="External"/><Relationship Id="rId153" Type="http://schemas.openxmlformats.org/officeDocument/2006/relationships/hyperlink" Target="../../../../../../../../data/exploreeconomies/portugal/" TargetMode="External"/><Relationship Id="rId174" Type="http://schemas.openxmlformats.org/officeDocument/2006/relationships/hyperlink" Target="../../../../../../../../data/exploreeconomies/australia/" TargetMode="External"/><Relationship Id="rId179" Type="http://schemas.openxmlformats.org/officeDocument/2006/relationships/hyperlink" Target="../../../../../../../../data/exploreeconomies/united-states/" TargetMode="External"/><Relationship Id="rId190" Type="http://schemas.openxmlformats.org/officeDocument/2006/relationships/hyperlink" Target="../../../../../../../../Rankings%3fsortcolumn=10&amp;sortorder=asc&amp;regionID=0&amp;incomeID=0&amp;tercile=&amp;ajax=1" TargetMode="External"/><Relationship Id="rId15" Type="http://schemas.openxmlformats.org/officeDocument/2006/relationships/hyperlink" Target="../../../../../../../../data/exploreeconomies/c&#244;te-d'ivoire/" TargetMode="External"/><Relationship Id="rId36" Type="http://schemas.openxmlformats.org/officeDocument/2006/relationships/hyperlink" Target="../../../../../../../../data/exploreeconomies/philippines/" TargetMode="External"/><Relationship Id="rId57" Type="http://schemas.openxmlformats.org/officeDocument/2006/relationships/hyperlink" Target="../../../../../../../../data/exploreeconomies/brazil/" TargetMode="External"/><Relationship Id="rId106" Type="http://schemas.openxmlformats.org/officeDocument/2006/relationships/hyperlink" Target="../../../../../../../../data/exploreeconomies/vietnam/" TargetMode="External"/><Relationship Id="rId127" Type="http://schemas.openxmlformats.org/officeDocument/2006/relationships/hyperlink" Target="../../../../../../../../data/exploreeconomies/oman/" TargetMode="External"/><Relationship Id="rId10" Type="http://schemas.openxmlformats.org/officeDocument/2006/relationships/hyperlink" Target="../../../../../../../../data/exploreeconomies/timor_leste/" TargetMode="External"/><Relationship Id="rId31" Type="http://schemas.openxmlformats.org/officeDocument/2006/relationships/hyperlink" Target="../../../../../../../../data/exploreeconomies/mali/" TargetMode="External"/><Relationship Id="rId52" Type="http://schemas.openxmlformats.org/officeDocument/2006/relationships/hyperlink" Target="../../../../../../../../data/exploreeconomies/cape-verde/" TargetMode="External"/><Relationship Id="rId73" Type="http://schemas.openxmlformats.org/officeDocument/2006/relationships/hyperlink" Target="../../../../../../../../data/exploreeconomies/jordan/" TargetMode="External"/><Relationship Id="rId78" Type="http://schemas.openxmlformats.org/officeDocument/2006/relationships/hyperlink" Target="../../../../../../../../data/exploreeconomies/paraguay/" TargetMode="External"/><Relationship Id="rId94" Type="http://schemas.openxmlformats.org/officeDocument/2006/relationships/hyperlink" Target="../../../../../../../../data/exploreeconomies/moldova/" TargetMode="External"/><Relationship Id="rId99" Type="http://schemas.openxmlformats.org/officeDocument/2006/relationships/hyperlink" Target="../../../../../../../../data/exploreeconomies/maldives/" TargetMode="External"/><Relationship Id="rId101" Type="http://schemas.openxmlformats.org/officeDocument/2006/relationships/hyperlink" Target="../../../../../../../../data/exploreeconomies/pakistan/" TargetMode="External"/><Relationship Id="rId122" Type="http://schemas.openxmlformats.org/officeDocument/2006/relationships/hyperlink" Target="../../../../../../../../data/exploreeconomies/fiji/" TargetMode="External"/><Relationship Id="rId143" Type="http://schemas.openxmlformats.org/officeDocument/2006/relationships/hyperlink" Target="../../../../../../../../data/exploreeconomies/slovakia/" TargetMode="External"/><Relationship Id="rId148" Type="http://schemas.openxmlformats.org/officeDocument/2006/relationships/hyperlink" Target="../../../../../../../../data/exploreeconomies/peru/" TargetMode="External"/><Relationship Id="rId164" Type="http://schemas.openxmlformats.org/officeDocument/2006/relationships/hyperlink" Target="../../../../../../../../data/exploreeconomies/mauritius/" TargetMode="External"/><Relationship Id="rId169" Type="http://schemas.openxmlformats.org/officeDocument/2006/relationships/hyperlink" Target="../../../../../../../../data/exploreeconomies/iceland/" TargetMode="External"/><Relationship Id="rId185" Type="http://schemas.openxmlformats.org/officeDocument/2006/relationships/hyperlink" Target="../../../../../../../../Rankings%3fsortcolumn=15&amp;sortorder=asc&amp;regionID=0&amp;incomeID=0&amp;tercile=&amp;ajax=1" TargetMode="External"/><Relationship Id="rId4" Type="http://schemas.openxmlformats.org/officeDocument/2006/relationships/hyperlink" Target="../../../../../../../../data/exploreeconomies/eritrea/" TargetMode="External"/><Relationship Id="rId9" Type="http://schemas.openxmlformats.org/officeDocument/2006/relationships/hyperlink" Target="../../../../../../../../data/exploreeconomies/congo,-dem~-rep~/" TargetMode="External"/><Relationship Id="rId180" Type="http://schemas.openxmlformats.org/officeDocument/2006/relationships/hyperlink" Target="../../../../../../../../data/exploreeconomies/united-kingdom/" TargetMode="External"/><Relationship Id="rId26" Type="http://schemas.openxmlformats.org/officeDocument/2006/relationships/hyperlink" Target="../../../../../../../../data/exploreeconomies/djibouti/" TargetMode="Externa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2.vml"/><Relationship Id="rId1" Type="http://schemas.openxmlformats.org/officeDocument/2006/relationships/drawing" Target="../drawings/drawing1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V4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defaultRowHeight="12.75" x14ac:dyDescent="0.2"/>
  <cols>
    <col min="1" max="1" width="13.5703125" customWidth="1"/>
    <col min="3" max="3" width="3.7109375" customWidth="1"/>
    <col min="5" max="5" width="3.7109375" customWidth="1"/>
    <col min="6" max="6" width="9.5703125" customWidth="1"/>
    <col min="7" max="7" width="3.7109375" customWidth="1"/>
    <col min="9" max="9" width="3.7109375" customWidth="1"/>
    <col min="11" max="11" width="3.7109375" customWidth="1"/>
    <col min="13" max="13" width="3.7109375" customWidth="1"/>
    <col min="15" max="15" width="3.7109375" customWidth="1"/>
    <col min="17" max="17" width="3.7109375" customWidth="1"/>
    <col min="19" max="19" width="3.7109375" customWidth="1"/>
  </cols>
  <sheetData>
    <row r="1" spans="1:22" ht="25.5" x14ac:dyDescent="0.2">
      <c r="B1" s="15" t="s">
        <v>164</v>
      </c>
      <c r="C1" s="15"/>
      <c r="D1" s="15" t="s">
        <v>182</v>
      </c>
      <c r="F1" s="15" t="s">
        <v>189</v>
      </c>
      <c r="G1" s="15"/>
      <c r="H1" s="15" t="s">
        <v>183</v>
      </c>
      <c r="J1" s="15" t="s">
        <v>184</v>
      </c>
      <c r="L1" s="15" t="s">
        <v>185</v>
      </c>
      <c r="N1" s="15" t="s">
        <v>186</v>
      </c>
      <c r="P1" s="15" t="s">
        <v>187</v>
      </c>
      <c r="R1" s="15" t="s">
        <v>188</v>
      </c>
      <c r="T1" s="15" t="s">
        <v>190</v>
      </c>
      <c r="V1" s="16" t="s">
        <v>191</v>
      </c>
    </row>
    <row r="2" spans="1:22" x14ac:dyDescent="0.2">
      <c r="A2" t="s">
        <v>10</v>
      </c>
      <c r="B2" s="4">
        <v>1.5524196151464189</v>
      </c>
      <c r="C2" s="4"/>
      <c r="D2" s="4">
        <v>-1.2412288598417955</v>
      </c>
      <c r="F2" s="4">
        <v>0.48381463285775367</v>
      </c>
      <c r="G2" s="4"/>
      <c r="H2" s="4">
        <v>1.4028775233981328</v>
      </c>
      <c r="J2" s="4">
        <v>0.24519252413914722</v>
      </c>
      <c r="L2" s="4">
        <v>-0.73633462753139323</v>
      </c>
      <c r="N2" s="4">
        <v>6.2978215507204213E-2</v>
      </c>
      <c r="P2" s="4">
        <v>-0.34852557233190623</v>
      </c>
      <c r="R2" s="4">
        <v>1.1261736049441857</v>
      </c>
      <c r="T2" s="4">
        <v>-0.50011468939920301</v>
      </c>
      <c r="V2" s="7">
        <f t="shared" ref="V2:V26" si="0">(B$35*B2+B$36)+(D$35*D2+D$36)+(F$35*F2+F$36)+(H$35*H2+H$36)+(J$35*J2+J$36)+(L$35*L2+L$36)+(N$35*N2+N$36)+(P$35*P2+P$36)+(R$35*R2+R$36)+(T$35*T2+T$36)</f>
        <v>3.9308749454310341</v>
      </c>
    </row>
    <row r="3" spans="1:22" x14ac:dyDescent="0.2">
      <c r="A3" t="s">
        <v>9</v>
      </c>
      <c r="B3" s="4">
        <v>-0.10650695904330944</v>
      </c>
      <c r="C3" s="4"/>
      <c r="D3" s="4">
        <v>-0.26833139700751846</v>
      </c>
      <c r="F3" s="4">
        <v>-0.21131590589855501</v>
      </c>
      <c r="G3" s="4"/>
      <c r="H3" s="4">
        <v>0.51741695703816959</v>
      </c>
      <c r="J3" s="4">
        <v>-0.72471461248722635</v>
      </c>
      <c r="L3" s="4">
        <v>-0.43740474889178282</v>
      </c>
      <c r="N3" s="4">
        <v>-0.93680095566966315</v>
      </c>
      <c r="P3" s="4">
        <v>0.28464860529587538</v>
      </c>
      <c r="R3" s="4">
        <v>-0.64480638915973232</v>
      </c>
      <c r="T3" s="4">
        <v>0.47383499057018719</v>
      </c>
      <c r="V3" s="7">
        <f t="shared" si="0"/>
        <v>-1.5054511746585795</v>
      </c>
    </row>
    <row r="4" spans="1:22" x14ac:dyDescent="0.2">
      <c r="A4" t="s">
        <v>36</v>
      </c>
      <c r="B4" s="4">
        <v>-0.50348744275019008</v>
      </c>
      <c r="C4" s="4"/>
      <c r="D4" s="4">
        <v>-0.71555039202004911</v>
      </c>
      <c r="F4" s="4">
        <v>-0.27790110016801106</v>
      </c>
      <c r="G4" s="4"/>
      <c r="H4" s="4">
        <v>1.046768382579452</v>
      </c>
      <c r="J4" s="4">
        <v>-0.48085224670688109</v>
      </c>
      <c r="L4" s="4">
        <v>0.75831476566665867</v>
      </c>
      <c r="N4" s="4">
        <v>-0.38967770845082639</v>
      </c>
      <c r="P4" s="4">
        <v>-0.31171312014424446</v>
      </c>
      <c r="R4" s="4">
        <v>-1.1560093310573216</v>
      </c>
      <c r="T4" s="4">
        <v>1.9037189857347672</v>
      </c>
      <c r="V4" s="7">
        <f t="shared" si="0"/>
        <v>-2.815873439392333</v>
      </c>
    </row>
    <row r="5" spans="1:22" x14ac:dyDescent="0.2">
      <c r="A5" t="s">
        <v>0</v>
      </c>
      <c r="B5" s="4">
        <v>-0.29692849187831727</v>
      </c>
      <c r="C5" s="4"/>
      <c r="D5" s="4">
        <v>1.6303878449755065</v>
      </c>
      <c r="F5" s="4">
        <v>-1.4721844782350662</v>
      </c>
      <c r="G5" s="4"/>
      <c r="H5" s="4">
        <v>0.52704152841164753</v>
      </c>
      <c r="J5" s="4">
        <v>3.1992525459783305</v>
      </c>
      <c r="L5" s="4">
        <v>-0.49894913567052612</v>
      </c>
      <c r="N5" s="4">
        <v>0.54318710874963672</v>
      </c>
      <c r="P5" s="4">
        <v>4.6321992086587249</v>
      </c>
      <c r="R5" s="4">
        <v>-0.71717375505673508</v>
      </c>
      <c r="T5" s="4">
        <v>2.027621325151316</v>
      </c>
      <c r="V5" s="7">
        <f>(B$35*B5+B$36)+(D$35*D5+D$36)+(F$35*F5+F$36)+(H$35*H5+H$36)+(J$35*J5+J$36)+(L$35*L5+L$36)+(N$35*N5+N$36)+(P$35*P5+P$36)+(R$35*R5+R$36)+(T$35*T5+T$36)</f>
        <v>-13.973996789491409</v>
      </c>
    </row>
    <row r="6" spans="1:22" x14ac:dyDescent="0.2">
      <c r="A6" t="s">
        <v>37</v>
      </c>
      <c r="B6" s="4">
        <v>-0.32597584434467436</v>
      </c>
      <c r="C6" s="4"/>
      <c r="D6" s="4">
        <v>-1.7433694858207773</v>
      </c>
      <c r="F6" s="4">
        <v>-9.5145992492269668E-2</v>
      </c>
      <c r="G6" s="4"/>
      <c r="H6" s="4">
        <v>4.5812959737754698E-2</v>
      </c>
      <c r="J6" s="4">
        <v>-0.2148205749465045</v>
      </c>
      <c r="L6" s="4">
        <v>0.28354378194492452</v>
      </c>
      <c r="N6" s="4">
        <v>-0.85414204781645764</v>
      </c>
      <c r="P6" s="4">
        <v>-0.2454507062064534</v>
      </c>
      <c r="R6" s="4">
        <v>-0.73408918495265774</v>
      </c>
      <c r="T6" s="4">
        <v>-5.8343149501661182E-2</v>
      </c>
      <c r="V6" s="7">
        <f t="shared" si="0"/>
        <v>0.23226311867609251</v>
      </c>
    </row>
    <row r="7" spans="1:22" x14ac:dyDescent="0.2">
      <c r="A7" t="s">
        <v>39</v>
      </c>
      <c r="B7" s="4">
        <v>-0.22673072341795425</v>
      </c>
      <c r="C7" s="4"/>
      <c r="D7" s="4">
        <v>-2.2878782271167357</v>
      </c>
      <c r="F7" s="4">
        <v>-0.54872811373916819</v>
      </c>
      <c r="G7" s="4"/>
      <c r="H7" s="4">
        <v>0.36342381506252375</v>
      </c>
      <c r="J7" s="4">
        <v>-0.62495273557708519</v>
      </c>
      <c r="L7" s="4">
        <v>-0.87114614142768809</v>
      </c>
      <c r="N7" s="4">
        <v>-0.98895479038656686</v>
      </c>
      <c r="P7" s="4">
        <v>-0.47957790211998191</v>
      </c>
      <c r="R7" s="4">
        <v>1.5870196328858548</v>
      </c>
      <c r="T7" s="4">
        <v>-1.5771388997922948</v>
      </c>
      <c r="V7" s="7">
        <f t="shared" si="0"/>
        <v>4.9040531895293888</v>
      </c>
    </row>
    <row r="8" spans="1:22" x14ac:dyDescent="0.2">
      <c r="A8" s="6" t="s">
        <v>65</v>
      </c>
      <c r="B8" s="4">
        <v>1.0812070084699592</v>
      </c>
      <c r="C8" s="4"/>
      <c r="D8" s="4">
        <v>-0.72496552875715525</v>
      </c>
      <c r="F8" s="42">
        <v>-0.70173238993281217</v>
      </c>
      <c r="G8" s="4"/>
      <c r="H8" s="42">
        <v>-2.5624458824747456</v>
      </c>
      <c r="J8" s="4">
        <v>-0.38109036979673994</v>
      </c>
      <c r="L8" s="4">
        <v>0.35974159414717816</v>
      </c>
      <c r="N8" s="4">
        <v>-0.76361086302485159</v>
      </c>
      <c r="P8" s="42">
        <v>0.10794883479509913</v>
      </c>
      <c r="R8" s="4">
        <v>-0.45520717384921222</v>
      </c>
      <c r="T8" s="4">
        <v>-8.552136818260897E-2</v>
      </c>
      <c r="V8" s="7">
        <f>(B$35*B8+B$36)+(D$35*D8+D$36)+(F$35*F8+F$36)+(H$35*H8+H$36)+(J$35*J8+J$36)+(L$35*L8+L$36)+(N$35*N8+N$36)+(P$35*P8+P$36)+(R$35*R8+R$36)+(T$35*T8+T$36)</f>
        <v>0.57427618009964321</v>
      </c>
    </row>
    <row r="9" spans="1:22" x14ac:dyDescent="0.2">
      <c r="A9" t="s">
        <v>43</v>
      </c>
      <c r="B9" s="4">
        <v>-0.34211326238153944</v>
      </c>
      <c r="C9" s="4"/>
      <c r="D9" s="4">
        <v>-3.0928724181392906</v>
      </c>
      <c r="F9" s="4">
        <v>0.47200874734898512</v>
      </c>
      <c r="G9" s="4"/>
      <c r="H9" s="4">
        <v>-0.18517675322571414</v>
      </c>
      <c r="J9" s="4">
        <v>-0.56952947062700676</v>
      </c>
      <c r="L9" s="4">
        <v>-0.56708756388984904</v>
      </c>
      <c r="N9" s="4">
        <v>-0.86201432475485817</v>
      </c>
      <c r="P9" s="4">
        <v>-0.4644847967230406</v>
      </c>
      <c r="R9" s="4">
        <v>-0.84513741427953171</v>
      </c>
      <c r="T9" s="4">
        <v>0.43781708014259418</v>
      </c>
      <c r="V9" s="7">
        <f t="shared" si="0"/>
        <v>1.7952121429358807</v>
      </c>
    </row>
    <row r="10" spans="1:22" x14ac:dyDescent="0.2">
      <c r="A10" t="s">
        <v>2</v>
      </c>
      <c r="B10" s="4">
        <v>3.8729803288476042E-2</v>
      </c>
      <c r="C10" s="4"/>
      <c r="D10" s="4">
        <v>-0.29971518613120512</v>
      </c>
      <c r="F10" s="4">
        <v>-0.22973308729223435</v>
      </c>
      <c r="G10" s="4"/>
      <c r="H10" s="4">
        <v>0.9216489547242398</v>
      </c>
      <c r="J10" s="4">
        <v>0.89364472405506523</v>
      </c>
      <c r="L10" s="4">
        <v>-0.56049352244926942</v>
      </c>
      <c r="N10" s="4">
        <v>-0.25191286202881708</v>
      </c>
      <c r="P10" s="4">
        <v>-0.29330689405041366</v>
      </c>
      <c r="R10" s="4">
        <v>-2.6914375090033239E-2</v>
      </c>
      <c r="T10" s="4">
        <v>0.57728461635782402</v>
      </c>
      <c r="V10" s="7">
        <f t="shared" si="0"/>
        <v>-0.32998813748472128</v>
      </c>
    </row>
    <row r="11" spans="1:22" x14ac:dyDescent="0.2">
      <c r="A11" t="s">
        <v>45</v>
      </c>
      <c r="B11" s="4">
        <v>0.18719404922763475</v>
      </c>
      <c r="C11" s="4"/>
      <c r="D11" s="4">
        <v>-1.7041397494161694</v>
      </c>
      <c r="F11" s="42">
        <v>0.8233519000899453</v>
      </c>
      <c r="G11" s="4"/>
      <c r="H11" s="42">
        <v>0.89036909776043682</v>
      </c>
      <c r="J11" s="4">
        <v>1.1485917428254264</v>
      </c>
      <c r="L11" s="4">
        <v>1.1803334178637552</v>
      </c>
      <c r="N11" s="4">
        <v>7.8722769384005215E-2</v>
      </c>
      <c r="P11" s="42">
        <v>-0.2417694609876872</v>
      </c>
      <c r="R11" s="4">
        <v>0.12237206144299384</v>
      </c>
      <c r="T11" s="4">
        <v>8.3074393126038489E-3</v>
      </c>
      <c r="V11" s="7">
        <f t="shared" si="0"/>
        <v>0.77542904660025902</v>
      </c>
    </row>
    <row r="12" spans="1:22" x14ac:dyDescent="0.2">
      <c r="A12" t="s">
        <v>3</v>
      </c>
      <c r="B12" s="4">
        <v>-0.43248280338798378</v>
      </c>
      <c r="C12" s="4"/>
      <c r="D12" s="4">
        <v>-0.23694760788383223</v>
      </c>
      <c r="F12" s="4">
        <v>-1.2658175995417871</v>
      </c>
      <c r="G12" s="4"/>
      <c r="H12" s="4">
        <v>-0.89739503486307559</v>
      </c>
      <c r="J12" s="4">
        <v>2.0963295734717682</v>
      </c>
      <c r="L12" s="4">
        <v>-1.2990261637941891</v>
      </c>
      <c r="N12" s="4">
        <v>2.6647657436485797</v>
      </c>
      <c r="P12" s="4">
        <v>0.53497328017197521</v>
      </c>
      <c r="R12" s="4">
        <v>-0.86534856761673729</v>
      </c>
      <c r="T12" s="4">
        <v>2.4466733117515886</v>
      </c>
      <c r="V12" s="7">
        <f t="shared" si="0"/>
        <v>-5.0602811858949837</v>
      </c>
    </row>
    <row r="13" spans="1:22" x14ac:dyDescent="0.2">
      <c r="A13" t="s">
        <v>11</v>
      </c>
      <c r="B13" s="4">
        <v>-5.4867221325341192E-2</v>
      </c>
      <c r="C13" s="4"/>
      <c r="D13" s="4">
        <v>-0.97446665229046148</v>
      </c>
      <c r="F13" s="4">
        <v>-0.89794620708855011</v>
      </c>
      <c r="G13" s="4"/>
      <c r="H13" s="4">
        <v>0.52704152841164775</v>
      </c>
      <c r="J13" s="4">
        <v>-0.13722800401639468</v>
      </c>
      <c r="L13" s="4">
        <v>-0.30552392008019014</v>
      </c>
      <c r="N13" s="4">
        <v>-0.63765443201044303</v>
      </c>
      <c r="P13" s="4">
        <v>-0.2123194992375578</v>
      </c>
      <c r="R13" s="4">
        <v>-1.0225051861073082</v>
      </c>
      <c r="T13" s="4">
        <v>0.35492654942236879</v>
      </c>
      <c r="V13" s="7">
        <f t="shared" si="0"/>
        <v>-0.98974425366045948</v>
      </c>
    </row>
    <row r="14" spans="1:22" x14ac:dyDescent="0.2">
      <c r="A14" t="s">
        <v>70</v>
      </c>
      <c r="B14" s="4">
        <v>0.73748000428473315</v>
      </c>
      <c r="C14" s="4"/>
      <c r="D14" s="4">
        <v>-1.7825992222253855</v>
      </c>
      <c r="F14" s="4">
        <v>2.9115769288809763</v>
      </c>
      <c r="G14" s="4"/>
      <c r="H14" s="42">
        <v>-0.63753160777917339</v>
      </c>
      <c r="J14" s="4">
        <v>-0.4254289817568026</v>
      </c>
      <c r="L14" s="4">
        <v>-0.38025638974009268</v>
      </c>
      <c r="N14" s="4">
        <v>-1.3579677718740917</v>
      </c>
      <c r="P14" s="42">
        <v>-0.48841289064502075</v>
      </c>
      <c r="R14" s="4">
        <v>1.3058424790876784</v>
      </c>
      <c r="T14" s="4">
        <v>-1.5000663060397659</v>
      </c>
      <c r="V14" s="7">
        <f t="shared" si="0"/>
        <v>6.6816227902138374</v>
      </c>
    </row>
    <row r="15" spans="1:22" x14ac:dyDescent="0.2">
      <c r="A15" t="s">
        <v>71</v>
      </c>
      <c r="B15" s="4">
        <v>-0.35179571320365838</v>
      </c>
      <c r="C15" s="4"/>
      <c r="D15" s="4">
        <v>-0.99800449413322623</v>
      </c>
      <c r="F15" s="4">
        <v>-0.79924900423524281</v>
      </c>
      <c r="G15" s="4"/>
      <c r="H15" s="4">
        <v>1.2031676673984673</v>
      </c>
      <c r="J15" s="4">
        <v>-0.95749232527755612</v>
      </c>
      <c r="L15" s="4">
        <v>2.2500334737800078</v>
      </c>
      <c r="N15" s="4">
        <v>-2.2107977735341495</v>
      </c>
      <c r="P15" s="42">
        <v>-0.32643810101930915</v>
      </c>
      <c r="R15" s="4">
        <v>-1.0575033427139644</v>
      </c>
      <c r="T15" s="4">
        <v>0.41274851842803589</v>
      </c>
      <c r="V15" s="7">
        <f t="shared" si="0"/>
        <v>-1.8256108320220807</v>
      </c>
    </row>
    <row r="16" spans="1:22" x14ac:dyDescent="0.2">
      <c r="A16" t="s">
        <v>47</v>
      </c>
      <c r="B16" s="4">
        <v>-0.5260798280018012</v>
      </c>
      <c r="C16" s="4"/>
      <c r="D16" s="4">
        <v>-0.73908823386281386</v>
      </c>
      <c r="F16" s="4">
        <v>-0.35487547368518391</v>
      </c>
      <c r="G16" s="4"/>
      <c r="H16" s="4">
        <v>1.1237649535672749</v>
      </c>
      <c r="J16" s="4">
        <v>-0.18156661597645732</v>
      </c>
      <c r="L16" s="4">
        <v>0.69677037888791549</v>
      </c>
      <c r="N16" s="4">
        <v>-0.75967472455565133</v>
      </c>
      <c r="P16" s="4">
        <v>9.6905099138800604E-2</v>
      </c>
      <c r="R16" s="4">
        <v>-0.5770970255670218</v>
      </c>
      <c r="T16" s="4">
        <v>-0.17789345960427974</v>
      </c>
      <c r="V16" s="7">
        <f t="shared" si="0"/>
        <v>-1.5049548004049749</v>
      </c>
    </row>
    <row r="17" spans="1:22" x14ac:dyDescent="0.2">
      <c r="A17" t="s">
        <v>4</v>
      </c>
      <c r="B17" s="4">
        <v>-8.7142057399071632E-2</v>
      </c>
      <c r="C17" s="4"/>
      <c r="D17" s="4">
        <v>-1.1156937033470504</v>
      </c>
      <c r="F17" s="4">
        <v>-1.6754912714044667E-2</v>
      </c>
      <c r="G17" s="4"/>
      <c r="H17" s="4">
        <v>0.16130781621948892</v>
      </c>
      <c r="J17" s="4">
        <v>-0.68037600052716374</v>
      </c>
      <c r="L17" s="4">
        <v>-0.72754257227728703</v>
      </c>
      <c r="N17" s="4">
        <v>0.27552969284401857</v>
      </c>
      <c r="P17" s="4">
        <v>5.6411401732372676E-2</v>
      </c>
      <c r="R17" s="4">
        <v>-0.27063712266924422</v>
      </c>
      <c r="T17" s="4">
        <v>-0.51328961508704452</v>
      </c>
      <c r="V17" s="7">
        <f t="shared" si="0"/>
        <v>0.66505786070483219</v>
      </c>
    </row>
    <row r="18" spans="1:22" x14ac:dyDescent="0.2">
      <c r="A18" t="s">
        <v>48</v>
      </c>
      <c r="B18" s="4">
        <v>-0.50025995914281707</v>
      </c>
      <c r="C18" s="4"/>
      <c r="D18" s="4">
        <v>-1.7198316439780126</v>
      </c>
      <c r="F18" s="4">
        <v>0.25478045398763849</v>
      </c>
      <c r="G18" s="4"/>
      <c r="H18" s="4">
        <v>-1.3497498894165352</v>
      </c>
      <c r="J18" s="4">
        <v>-1.2346086500279485</v>
      </c>
      <c r="L18" s="4">
        <v>-0.24397953330144687</v>
      </c>
      <c r="N18" s="4">
        <v>-0.92105640179286208</v>
      </c>
      <c r="P18" s="4">
        <v>-0.42215047670722966</v>
      </c>
      <c r="R18" s="4">
        <v>-0.95993429362367888</v>
      </c>
      <c r="T18" s="4">
        <v>0.78374100823128123</v>
      </c>
      <c r="V18" s="7">
        <f t="shared" si="0"/>
        <v>0.54167761636439593</v>
      </c>
    </row>
    <row r="19" spans="1:22" x14ac:dyDescent="0.2">
      <c r="A19" t="s">
        <v>13</v>
      </c>
      <c r="B19" s="4">
        <v>0.27433610662670593</v>
      </c>
      <c r="C19" s="4"/>
      <c r="D19" s="4">
        <v>-0.85677744307663772</v>
      </c>
      <c r="F19" s="4">
        <v>-9.797940501437423E-2</v>
      </c>
      <c r="G19" s="4"/>
      <c r="H19" s="4">
        <v>-0.3487944665748377</v>
      </c>
      <c r="J19" s="4">
        <v>7.8922729288911739E-2</v>
      </c>
      <c r="L19" s="4">
        <v>-0.77150284854781792</v>
      </c>
      <c r="N19" s="4">
        <v>0.48808117018083275</v>
      </c>
      <c r="P19" s="4">
        <v>-1.3532257424184577E-2</v>
      </c>
      <c r="R19" s="4">
        <v>-0.14564802090181411</v>
      </c>
      <c r="T19" s="4">
        <v>0.24472666473023383</v>
      </c>
      <c r="V19" s="7">
        <f t="shared" si="0"/>
        <v>0.33284829065922827</v>
      </c>
    </row>
    <row r="20" spans="1:22" x14ac:dyDescent="0.2">
      <c r="A20" t="s">
        <v>23</v>
      </c>
      <c r="B20" s="4">
        <v>1.6137418036865005E-2</v>
      </c>
      <c r="C20" s="4"/>
      <c r="D20" s="4">
        <v>-1.7904451695063071</v>
      </c>
      <c r="F20" s="4">
        <v>-0.65899508439106902</v>
      </c>
      <c r="G20" s="4"/>
      <c r="H20" s="4">
        <v>-1.1476338905735006</v>
      </c>
      <c r="J20" s="4">
        <v>-0.68037600052716374</v>
      </c>
      <c r="L20" s="4">
        <v>-0.43740474889178282</v>
      </c>
      <c r="N20" s="4">
        <v>-1.3461593564664909</v>
      </c>
      <c r="P20" s="4">
        <v>5.2730156513606581E-2</v>
      </c>
      <c r="R20" s="4">
        <v>-0.72997155721704998</v>
      </c>
      <c r="T20" s="4">
        <v>0.81658766388208026</v>
      </c>
      <c r="V20" s="7">
        <f t="shared" si="0"/>
        <v>-0.16672668425044401</v>
      </c>
    </row>
    <row r="21" spans="1:22" x14ac:dyDescent="0.2">
      <c r="A21" t="s">
        <v>77</v>
      </c>
      <c r="B21" s="4">
        <v>0.30983842630780906</v>
      </c>
      <c r="C21" s="4"/>
      <c r="D21" s="4">
        <v>-9.4151367371061237E-3</v>
      </c>
      <c r="F21" s="42">
        <v>2.1394720166074945</v>
      </c>
      <c r="G21" s="4"/>
      <c r="H21" s="42">
        <v>-1.3593744607900129</v>
      </c>
      <c r="J21" s="4">
        <v>0.48351256342448456</v>
      </c>
      <c r="L21" s="4">
        <v>-0.31431597533429623</v>
      </c>
      <c r="N21" s="4">
        <v>-0.71506515523804826</v>
      </c>
      <c r="P21" s="42">
        <v>-0.43319421236352817</v>
      </c>
      <c r="R21" s="4">
        <v>0.36397728818981007</v>
      </c>
      <c r="T21" s="4">
        <v>-0.1937968055290272</v>
      </c>
      <c r="V21" s="7">
        <f t="shared" si="0"/>
        <v>2.6246931760647589</v>
      </c>
    </row>
    <row r="22" spans="1:22" x14ac:dyDescent="0.2">
      <c r="A22" t="s">
        <v>14</v>
      </c>
      <c r="B22" s="4">
        <v>0.37761558206264245</v>
      </c>
      <c r="C22" s="4"/>
      <c r="D22" s="4">
        <v>-0.88031528491940236</v>
      </c>
      <c r="F22" s="4">
        <v>0.71237657630751816</v>
      </c>
      <c r="G22" s="4"/>
      <c r="H22" s="4">
        <v>-0.59903332228526229</v>
      </c>
      <c r="J22" s="4">
        <v>-0.34783641082669275</v>
      </c>
      <c r="L22" s="4">
        <v>-0.56049352244926953</v>
      </c>
      <c r="N22" s="4">
        <v>-1.2871172794284871</v>
      </c>
      <c r="P22" s="4">
        <v>-0.43687545758229435</v>
      </c>
      <c r="R22" s="4">
        <v>-0.62170902728836241</v>
      </c>
      <c r="T22" s="4">
        <v>0.26882118877641054</v>
      </c>
      <c r="V22" s="7">
        <f t="shared" si="0"/>
        <v>1.4603511274031129</v>
      </c>
    </row>
    <row r="23" spans="1:22" x14ac:dyDescent="0.2">
      <c r="A23" t="s">
        <v>58</v>
      </c>
      <c r="B23" s="4">
        <v>0.81009838545062607</v>
      </c>
      <c r="C23" s="4"/>
      <c r="D23" s="4">
        <v>-0.85677744307663772</v>
      </c>
      <c r="F23" s="4">
        <v>0.9928844159958653</v>
      </c>
      <c r="G23" s="4"/>
      <c r="H23" s="4">
        <v>-0.40654189481570491</v>
      </c>
      <c r="J23" s="4">
        <v>-0.56952947062700676</v>
      </c>
      <c r="L23" s="4">
        <v>0.56488955007632236</v>
      </c>
      <c r="N23" s="4">
        <v>-0.24404058509041651</v>
      </c>
      <c r="P23" s="42">
        <v>-0.43319421236352817</v>
      </c>
      <c r="R23" s="4">
        <v>2.0121552542590395</v>
      </c>
      <c r="T23" s="4">
        <v>-0.36938888321728075</v>
      </c>
      <c r="V23" s="7">
        <f t="shared" si="0"/>
        <v>4.3975033227944831</v>
      </c>
    </row>
    <row r="24" spans="1:22" x14ac:dyDescent="0.2">
      <c r="A24" t="s">
        <v>72</v>
      </c>
      <c r="B24" s="4">
        <v>0.18073908201288857</v>
      </c>
      <c r="C24" s="4"/>
      <c r="D24" s="4">
        <v>-0.5743233409634606</v>
      </c>
      <c r="F24" s="4">
        <v>0.36858919029217002</v>
      </c>
      <c r="G24" s="4"/>
      <c r="H24" s="4">
        <v>1.1911369531816201</v>
      </c>
      <c r="J24" s="4">
        <v>-0.51410620567692822</v>
      </c>
      <c r="L24" s="4">
        <v>0.78469093142897706</v>
      </c>
      <c r="N24" s="4">
        <v>-0.64290261663604342</v>
      </c>
      <c r="P24" s="42">
        <v>-0.12396961398716969</v>
      </c>
      <c r="R24" s="4">
        <v>0.14317465271644969</v>
      </c>
      <c r="T24" s="4">
        <v>8.035034154947418E-2</v>
      </c>
      <c r="V24" s="7">
        <f t="shared" si="0"/>
        <v>0.24892258494091679</v>
      </c>
    </row>
    <row r="25" spans="1:22" x14ac:dyDescent="0.2">
      <c r="A25" t="s">
        <v>12</v>
      </c>
      <c r="B25" s="4">
        <v>4.3119180994503443</v>
      </c>
      <c r="C25" s="4"/>
      <c r="D25" s="4">
        <v>-2.9359534725208589</v>
      </c>
      <c r="F25" s="4">
        <v>-0.46254514952515574</v>
      </c>
      <c r="G25" s="4"/>
      <c r="H25" s="4">
        <v>0.35379924368904608</v>
      </c>
      <c r="J25" s="4">
        <v>-0.34783641082669275</v>
      </c>
      <c r="L25" s="4">
        <v>-1.0286704647304239</v>
      </c>
      <c r="N25" s="4">
        <v>0.8226529400628555</v>
      </c>
      <c r="P25" s="4">
        <v>-0.31171312014424446</v>
      </c>
      <c r="R25" s="4">
        <v>1.4734646215777658</v>
      </c>
      <c r="T25" s="4">
        <v>-1.8232063609428768</v>
      </c>
      <c r="V25" s="7">
        <f t="shared" si="0"/>
        <v>8.3054257889380576</v>
      </c>
    </row>
    <row r="26" spans="1:22" x14ac:dyDescent="0.2">
      <c r="A26" t="s">
        <v>64</v>
      </c>
      <c r="B26" s="4">
        <v>0.84237322152435645</v>
      </c>
      <c r="C26" s="4"/>
      <c r="D26" s="4">
        <v>0.17888759800501219</v>
      </c>
      <c r="F26" s="42">
        <v>-1.0679509584148215</v>
      </c>
      <c r="G26" s="4"/>
      <c r="H26" s="42">
        <v>-0.78190017838134118</v>
      </c>
      <c r="J26" s="4">
        <v>0.92689868302511247</v>
      </c>
      <c r="L26" s="4">
        <v>2.8618139852115636</v>
      </c>
      <c r="N26" s="4">
        <v>-2.1412593272449447</v>
      </c>
      <c r="P26" s="42">
        <v>-0.17918829226866231</v>
      </c>
      <c r="R26" s="4">
        <v>-0.35016724315948228</v>
      </c>
      <c r="T26" s="4">
        <v>-0.14245726456564614</v>
      </c>
      <c r="V26" s="7">
        <f t="shared" si="0"/>
        <v>-1.2847959990251361</v>
      </c>
    </row>
    <row r="28" spans="1:22" x14ac:dyDescent="0.2">
      <c r="A28" t="s">
        <v>144</v>
      </c>
    </row>
    <row r="29" spans="1:22" x14ac:dyDescent="0.2">
      <c r="A29" t="s">
        <v>124</v>
      </c>
    </row>
    <row r="30" spans="1:22" x14ac:dyDescent="0.2">
      <c r="A30" t="s">
        <v>169</v>
      </c>
    </row>
    <row r="32" spans="1:22" x14ac:dyDescent="0.2">
      <c r="A32" t="s">
        <v>32</v>
      </c>
    </row>
    <row r="34" spans="1:22" x14ac:dyDescent="0.2">
      <c r="A34" t="s">
        <v>181</v>
      </c>
    </row>
    <row r="35" spans="1:22" x14ac:dyDescent="0.2">
      <c r="A35" t="s">
        <v>196</v>
      </c>
      <c r="B35">
        <v>0.76800000000000002</v>
      </c>
      <c r="D35">
        <v>-0.63200000000000001</v>
      </c>
      <c r="F35">
        <v>0.48499999999999999</v>
      </c>
      <c r="H35">
        <v>-0.21299999999999999</v>
      </c>
      <c r="J35">
        <v>-0.2631</v>
      </c>
      <c r="L35">
        <v>-0.441</v>
      </c>
      <c r="N35">
        <v>-0.15970000000000001</v>
      </c>
      <c r="P35">
        <v>-1.8520000000000001</v>
      </c>
      <c r="R35">
        <v>1.0125999999999999</v>
      </c>
      <c r="T35">
        <v>-0.73509999999999998</v>
      </c>
      <c r="V35" s="7">
        <f>AVERAGE(V2:V26)</f>
        <v>0.32051151540283207</v>
      </c>
    </row>
    <row r="36" spans="1:22" x14ac:dyDescent="0.2">
      <c r="B36">
        <v>-0.21</v>
      </c>
      <c r="D36">
        <v>-0.46</v>
      </c>
      <c r="F36">
        <v>-0.12</v>
      </c>
      <c r="H36">
        <v>-0.17</v>
      </c>
      <c r="J36">
        <v>0.2</v>
      </c>
      <c r="L36">
        <v>0.13</v>
      </c>
      <c r="N36">
        <v>-3.5000000000000003E-2</v>
      </c>
      <c r="P36">
        <v>-0.19600000000000001</v>
      </c>
      <c r="R36">
        <v>0.30170000000000002</v>
      </c>
      <c r="T36">
        <v>0.17399999999999999</v>
      </c>
      <c r="V36" s="7">
        <f>STDEV(V2:V26)</f>
        <v>4.2005592405045284</v>
      </c>
    </row>
    <row r="40" spans="1:22" x14ac:dyDescent="0.2">
      <c r="A40" t="s">
        <v>197</v>
      </c>
      <c r="B40">
        <v>-5.9900000000000002E-2</v>
      </c>
      <c r="D40">
        <v>0.2419</v>
      </c>
      <c r="F40">
        <v>1.18E-2</v>
      </c>
      <c r="H40">
        <v>-0.19270000000000001</v>
      </c>
      <c r="J40">
        <v>-9.74E-2</v>
      </c>
      <c r="L40">
        <v>0.4078</v>
      </c>
      <c r="N40">
        <v>-4.4200000000000003E-2</v>
      </c>
      <c r="P40">
        <v>2.7136</v>
      </c>
      <c r="R40">
        <v>0.2054</v>
      </c>
      <c r="T40">
        <v>0.28739999999999999</v>
      </c>
    </row>
    <row r="41" spans="1:22" x14ac:dyDescent="0.2">
      <c r="B41">
        <v>0.96599999999999997</v>
      </c>
      <c r="D41">
        <v>-0.26600000000000001</v>
      </c>
      <c r="F41">
        <v>0.4708</v>
      </c>
      <c r="H41">
        <v>-0.23419999999999999</v>
      </c>
      <c r="J41">
        <v>-7.6300000000000007E-2</v>
      </c>
      <c r="L41">
        <v>-0.77669999999999995</v>
      </c>
      <c r="N41">
        <v>-0.1207</v>
      </c>
      <c r="P41">
        <v>-1.5427</v>
      </c>
      <c r="R41">
        <v>0.89190000000000003</v>
      </c>
      <c r="T41">
        <v>-0.88500000000000001</v>
      </c>
    </row>
    <row r="42" spans="1:22" x14ac:dyDescent="0.2">
      <c r="B42">
        <v>-0.2</v>
      </c>
      <c r="D42">
        <v>-0.52</v>
      </c>
      <c r="F42">
        <v>-0.13</v>
      </c>
      <c r="H42">
        <v>-0.04</v>
      </c>
      <c r="J42">
        <v>0.27</v>
      </c>
      <c r="L42">
        <v>-0.14699999999999999</v>
      </c>
      <c r="N42">
        <v>0.02</v>
      </c>
      <c r="P42">
        <v>0.42299999999999999</v>
      </c>
      <c r="R42">
        <v>0.14000000000000001</v>
      </c>
      <c r="T42">
        <v>-7.3999999999999996E-2</v>
      </c>
    </row>
  </sheetData>
  <phoneticPr fontId="3" type="noConversion"/>
  <pageMargins left="0.75" right="0.75" top="1" bottom="1" header="0.5" footer="0.5"/>
  <pageSetup paperSize="5" scale="86" orientation="landscape" r:id="rId1"/>
  <headerFooter alignWithMargins="0">
    <oddHeader>&amp;C&amp;"Arial,Bold"&amp;12Relative Sovereign Model Drivers - 2011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BC53"/>
  <sheetViews>
    <sheetView topLeftCell="AM1" workbookViewId="0">
      <selection activeCell="AY1" sqref="AY1"/>
    </sheetView>
  </sheetViews>
  <sheetFormatPr defaultRowHeight="12.75" x14ac:dyDescent="0.2"/>
  <cols>
    <col min="1" max="1" width="23.5703125" customWidth="1"/>
    <col min="2" max="9" width="6.85546875" customWidth="1"/>
    <col min="10" max="10" width="4.5703125" customWidth="1"/>
    <col min="12" max="12" width="18.140625" customWidth="1"/>
    <col min="24" max="24" width="19.7109375" customWidth="1"/>
    <col min="32" max="32" width="16" customWidth="1"/>
    <col min="39" max="39" width="12.28515625" customWidth="1"/>
    <col min="44" max="44" width="11.85546875" customWidth="1"/>
    <col min="51" max="51" width="16.85546875" customWidth="1"/>
    <col min="52" max="52" width="9.5703125" bestFit="1" customWidth="1"/>
  </cols>
  <sheetData>
    <row r="1" spans="1:55" x14ac:dyDescent="0.2">
      <c r="A1" s="1" t="s">
        <v>60</v>
      </c>
      <c r="L1" s="5" t="s">
        <v>97</v>
      </c>
      <c r="X1" s="5" t="s">
        <v>156</v>
      </c>
      <c r="AG1" s="5" t="s">
        <v>121</v>
      </c>
      <c r="AH1" s="3"/>
      <c r="AM1" s="5" t="s">
        <v>149</v>
      </c>
      <c r="AN1" s="3"/>
      <c r="AR1" s="3" t="s">
        <v>166</v>
      </c>
      <c r="AV1" s="10" t="s">
        <v>158</v>
      </c>
      <c r="AW1" s="11"/>
    </row>
    <row r="2" spans="1:55" x14ac:dyDescent="0.2">
      <c r="B2">
        <v>2003</v>
      </c>
      <c r="C2">
        <v>2004</v>
      </c>
      <c r="D2">
        <v>2005</v>
      </c>
      <c r="E2">
        <v>2006</v>
      </c>
      <c r="F2">
        <v>2007</v>
      </c>
      <c r="G2">
        <v>2008</v>
      </c>
      <c r="H2">
        <v>2009</v>
      </c>
      <c r="I2">
        <v>2010</v>
      </c>
      <c r="M2">
        <v>2002</v>
      </c>
      <c r="N2">
        <v>2003</v>
      </c>
      <c r="O2">
        <v>2004</v>
      </c>
      <c r="P2">
        <v>2005</v>
      </c>
      <c r="Q2">
        <v>2006</v>
      </c>
      <c r="R2">
        <v>2007</v>
      </c>
      <c r="S2">
        <v>2008</v>
      </c>
      <c r="T2">
        <v>2009</v>
      </c>
      <c r="U2" s="5">
        <v>2010</v>
      </c>
      <c r="Y2">
        <v>2006</v>
      </c>
      <c r="Z2">
        <v>2007</v>
      </c>
      <c r="AA2">
        <v>2008</v>
      </c>
      <c r="AB2">
        <v>2009</v>
      </c>
      <c r="AC2" s="5">
        <v>2010</v>
      </c>
      <c r="AG2">
        <v>2007</v>
      </c>
      <c r="AH2">
        <v>2008</v>
      </c>
      <c r="AI2" t="s">
        <v>112</v>
      </c>
      <c r="AJ2" s="1" t="s">
        <v>113</v>
      </c>
      <c r="AN2">
        <v>2008</v>
      </c>
      <c r="AO2">
        <v>2009</v>
      </c>
      <c r="AP2" s="5">
        <v>2010</v>
      </c>
      <c r="AS2">
        <v>2009</v>
      </c>
      <c r="AT2" s="5">
        <v>2010</v>
      </c>
      <c r="AV2" s="1">
        <v>2008</v>
      </c>
      <c r="AW2" s="1">
        <v>2009</v>
      </c>
      <c r="AX2" s="10">
        <v>2010</v>
      </c>
    </row>
    <row r="3" spans="1:55" x14ac:dyDescent="0.2">
      <c r="A3" t="s">
        <v>10</v>
      </c>
      <c r="L3" t="s">
        <v>10</v>
      </c>
      <c r="M3">
        <v>170.2</v>
      </c>
      <c r="N3">
        <v>147</v>
      </c>
      <c r="O3">
        <v>130.9</v>
      </c>
      <c r="P3">
        <v>88.5</v>
      </c>
      <c r="Q3">
        <v>81.599999999999994</v>
      </c>
      <c r="R3">
        <v>71.099999999999994</v>
      </c>
      <c r="S3">
        <v>57.4</v>
      </c>
      <c r="T3">
        <v>63.4</v>
      </c>
      <c r="U3">
        <v>54.6</v>
      </c>
      <c r="V3" t="s">
        <v>141</v>
      </c>
      <c r="X3" t="s">
        <v>10</v>
      </c>
      <c r="Y3">
        <v>58.5</v>
      </c>
      <c r="Z3">
        <v>53.2</v>
      </c>
      <c r="AA3">
        <v>43.1</v>
      </c>
      <c r="AB3">
        <v>46.9</v>
      </c>
      <c r="AC3">
        <v>40.200000000000003</v>
      </c>
      <c r="AD3" t="s">
        <v>141</v>
      </c>
      <c r="AF3" t="s">
        <v>10</v>
      </c>
      <c r="AG3">
        <v>47.6</v>
      </c>
      <c r="AH3">
        <v>40.299999999999997</v>
      </c>
      <c r="AI3">
        <v>42.4</v>
      </c>
      <c r="AJ3">
        <v>39.799999999999997</v>
      </c>
      <c r="AK3" t="s">
        <v>141</v>
      </c>
      <c r="AM3" t="s">
        <v>10</v>
      </c>
      <c r="AN3">
        <v>36.4</v>
      </c>
      <c r="AO3">
        <v>42.2</v>
      </c>
      <c r="AP3">
        <v>35.9</v>
      </c>
      <c r="AR3" t="s">
        <v>10</v>
      </c>
      <c r="AS3">
        <v>39.9</v>
      </c>
      <c r="AT3">
        <v>37.299999999999997</v>
      </c>
      <c r="AV3" s="4">
        <f t="shared" ref="AV3:AV27" si="0">AVERAGE(AA3,AH3,AN3)</f>
        <v>39.933333333333337</v>
      </c>
      <c r="AW3" s="4">
        <f t="shared" ref="AW3:AW27" si="1">AVERAGE(AB3,AI3,AO3,AS3)</f>
        <v>42.85</v>
      </c>
      <c r="AX3" s="4">
        <f t="shared" ref="AX3:AX27" si="2">AVERAGE(AC3,AJ3,AP3,AT3)</f>
        <v>38.299999999999997</v>
      </c>
      <c r="AY3" t="str">
        <f>X3</f>
        <v>Argentina</v>
      </c>
      <c r="AZ3" s="7">
        <f>(AX3-AX$32)/AX$33</f>
        <v>0.5950830998444776</v>
      </c>
      <c r="BB3" t="s">
        <v>10</v>
      </c>
      <c r="BC3" s="4">
        <v>2.0020947728582716</v>
      </c>
    </row>
    <row r="4" spans="1:55" x14ac:dyDescent="0.2">
      <c r="A4" t="s">
        <v>9</v>
      </c>
      <c r="B4">
        <v>52.3</v>
      </c>
      <c r="C4">
        <v>47</v>
      </c>
      <c r="D4">
        <v>46.5</v>
      </c>
      <c r="E4">
        <v>46.1</v>
      </c>
      <c r="F4">
        <v>43.9</v>
      </c>
      <c r="G4">
        <v>39.1</v>
      </c>
      <c r="H4">
        <v>42</v>
      </c>
      <c r="I4">
        <v>42.5</v>
      </c>
      <c r="J4" t="s">
        <v>141</v>
      </c>
      <c r="L4" t="s">
        <v>9</v>
      </c>
      <c r="M4">
        <v>57</v>
      </c>
      <c r="N4">
        <v>60.1</v>
      </c>
      <c r="O4">
        <v>54.1</v>
      </c>
      <c r="P4">
        <v>56.5</v>
      </c>
      <c r="Q4">
        <v>56</v>
      </c>
      <c r="R4">
        <v>57.2</v>
      </c>
      <c r="S4">
        <v>58.3</v>
      </c>
      <c r="T4">
        <v>64.7</v>
      </c>
      <c r="U4">
        <v>60.6</v>
      </c>
      <c r="V4" t="s">
        <v>141</v>
      </c>
      <c r="X4" t="s">
        <v>9</v>
      </c>
      <c r="Y4">
        <v>18.3</v>
      </c>
      <c r="Z4">
        <v>18</v>
      </c>
      <c r="AA4">
        <v>16.7</v>
      </c>
      <c r="AB4">
        <v>17.899999999999999</v>
      </c>
      <c r="AC4">
        <v>12.8</v>
      </c>
      <c r="AD4" t="s">
        <v>141</v>
      </c>
      <c r="AF4" t="s">
        <v>9</v>
      </c>
      <c r="AG4">
        <v>14.5</v>
      </c>
      <c r="AH4">
        <v>12.7</v>
      </c>
      <c r="AI4">
        <v>13.3</v>
      </c>
      <c r="AJ4">
        <v>9.8000000000000007</v>
      </c>
      <c r="AK4" t="s">
        <v>141</v>
      </c>
      <c r="AM4" t="s">
        <v>9</v>
      </c>
      <c r="AN4">
        <v>12.6</v>
      </c>
      <c r="AO4">
        <v>14.2</v>
      </c>
      <c r="AP4">
        <v>12</v>
      </c>
      <c r="AR4" t="s">
        <v>9</v>
      </c>
      <c r="AS4">
        <v>13</v>
      </c>
      <c r="AT4">
        <v>9.6999999999999993</v>
      </c>
      <c r="AV4" s="4">
        <f t="shared" si="0"/>
        <v>14</v>
      </c>
      <c r="AW4" s="4">
        <f t="shared" si="1"/>
        <v>14.6</v>
      </c>
      <c r="AX4" s="4">
        <f t="shared" si="2"/>
        <v>11.074999999999999</v>
      </c>
      <c r="AY4" t="str">
        <f t="shared" ref="AY4:AY27" si="3">X4</f>
        <v>Brazil</v>
      </c>
      <c r="AZ4" s="7">
        <f t="shared" ref="AZ4:AZ27" si="4">(AX4-AX$32)/AX$33</f>
        <v>-0.45693880880915244</v>
      </c>
      <c r="BB4" t="s">
        <v>9</v>
      </c>
      <c r="BC4" s="4">
        <v>-0.39635974693114312</v>
      </c>
    </row>
    <row r="5" spans="1:55" x14ac:dyDescent="0.2">
      <c r="A5" t="s">
        <v>36</v>
      </c>
      <c r="B5">
        <v>13</v>
      </c>
      <c r="C5">
        <v>10.7</v>
      </c>
      <c r="D5">
        <v>7.3</v>
      </c>
      <c r="E5">
        <v>5.2</v>
      </c>
      <c r="F5">
        <v>4.3</v>
      </c>
      <c r="G5">
        <v>4.0999999999999996</v>
      </c>
      <c r="H5">
        <v>4.8</v>
      </c>
      <c r="I5">
        <v>5.0999999999999996</v>
      </c>
      <c r="J5" t="s">
        <v>141</v>
      </c>
      <c r="L5" t="s">
        <v>36</v>
      </c>
      <c r="M5">
        <v>15.7</v>
      </c>
      <c r="N5">
        <v>13</v>
      </c>
      <c r="O5">
        <v>10.7</v>
      </c>
      <c r="P5">
        <v>7.3</v>
      </c>
      <c r="Q5">
        <v>5.3</v>
      </c>
      <c r="R5">
        <v>4.0999999999999996</v>
      </c>
      <c r="S5">
        <v>5.3</v>
      </c>
      <c r="T5">
        <v>5.2</v>
      </c>
      <c r="U5">
        <v>6.4</v>
      </c>
      <c r="V5" t="s">
        <v>141</v>
      </c>
      <c r="X5" t="s">
        <v>36</v>
      </c>
      <c r="Y5">
        <v>33.700000000000003</v>
      </c>
      <c r="Z5">
        <v>33.9</v>
      </c>
      <c r="AA5">
        <v>38.299999999999997</v>
      </c>
      <c r="AB5">
        <v>40.9</v>
      </c>
      <c r="AC5">
        <v>41.8</v>
      </c>
      <c r="AD5" t="s">
        <v>141</v>
      </c>
      <c r="AF5" t="s">
        <v>36</v>
      </c>
      <c r="AG5">
        <v>34.200000000000003</v>
      </c>
      <c r="AH5">
        <v>38.1</v>
      </c>
      <c r="AI5">
        <v>46.7</v>
      </c>
      <c r="AJ5">
        <v>44.5</v>
      </c>
      <c r="AK5" t="s">
        <v>141</v>
      </c>
      <c r="AM5" t="s">
        <v>36</v>
      </c>
      <c r="AN5">
        <v>32.700000000000003</v>
      </c>
      <c r="AO5">
        <v>35.799999999999997</v>
      </c>
      <c r="AP5">
        <v>34.299999999999997</v>
      </c>
      <c r="AR5" t="s">
        <v>36</v>
      </c>
      <c r="AS5">
        <v>46</v>
      </c>
      <c r="AT5">
        <v>41</v>
      </c>
      <c r="AV5" s="4">
        <f t="shared" si="0"/>
        <v>36.366666666666667</v>
      </c>
      <c r="AW5" s="4">
        <f t="shared" si="1"/>
        <v>42.349999999999994</v>
      </c>
      <c r="AX5" s="4">
        <f t="shared" si="2"/>
        <v>40.4</v>
      </c>
      <c r="AY5" t="str">
        <f t="shared" si="3"/>
        <v>Chile</v>
      </c>
      <c r="AZ5" s="7">
        <f t="shared" si="4"/>
        <v>0.67623079527781549</v>
      </c>
      <c r="BB5" t="s">
        <v>36</v>
      </c>
      <c r="BC5" s="4">
        <v>-0.6294262154227982</v>
      </c>
    </row>
    <row r="6" spans="1:55" x14ac:dyDescent="0.2">
      <c r="A6" t="s">
        <v>0</v>
      </c>
      <c r="L6" t="s">
        <v>0</v>
      </c>
      <c r="M6">
        <v>20.9</v>
      </c>
      <c r="N6">
        <v>19.8</v>
      </c>
      <c r="O6">
        <v>18.399999999999999</v>
      </c>
      <c r="P6">
        <v>17.7</v>
      </c>
      <c r="Q6">
        <v>16.600000000000001</v>
      </c>
      <c r="R6">
        <v>20.9</v>
      </c>
      <c r="S6">
        <v>18.2</v>
      </c>
      <c r="T6">
        <v>19.8</v>
      </c>
      <c r="U6">
        <v>19.100000000000001</v>
      </c>
      <c r="V6" t="s">
        <v>141</v>
      </c>
      <c r="X6" t="s">
        <v>0</v>
      </c>
      <c r="Y6">
        <v>11.6</v>
      </c>
      <c r="Z6">
        <v>10.8</v>
      </c>
      <c r="AA6">
        <v>9.4</v>
      </c>
      <c r="AB6">
        <v>8.1999999999999993</v>
      </c>
      <c r="AC6">
        <v>7.5</v>
      </c>
      <c r="AD6" t="s">
        <v>141</v>
      </c>
      <c r="AF6" t="s">
        <v>0</v>
      </c>
      <c r="AG6">
        <v>11</v>
      </c>
      <c r="AH6">
        <v>8.5</v>
      </c>
      <c r="AI6">
        <v>7.4</v>
      </c>
      <c r="AJ6">
        <v>6.2</v>
      </c>
      <c r="AK6" t="s">
        <v>141</v>
      </c>
      <c r="AM6" t="s">
        <v>0</v>
      </c>
      <c r="AN6">
        <v>9.1999999999999993</v>
      </c>
      <c r="AO6">
        <v>8.1</v>
      </c>
      <c r="AP6">
        <v>7.3</v>
      </c>
      <c r="AR6" t="s">
        <v>0</v>
      </c>
      <c r="AS6">
        <v>8</v>
      </c>
      <c r="AT6">
        <v>7.3</v>
      </c>
      <c r="AV6" s="4">
        <f t="shared" si="0"/>
        <v>9.0333333333333332</v>
      </c>
      <c r="AW6" s="4">
        <f t="shared" si="1"/>
        <v>7.9249999999999998</v>
      </c>
      <c r="AX6" s="4">
        <f t="shared" si="2"/>
        <v>7.0750000000000002</v>
      </c>
      <c r="AY6" t="str">
        <f t="shared" si="3"/>
        <v>China</v>
      </c>
      <c r="AZ6" s="7">
        <f t="shared" si="4"/>
        <v>-0.61150584772979599</v>
      </c>
      <c r="BB6" t="s">
        <v>0</v>
      </c>
      <c r="BC6" s="4">
        <v>-0.83168842084935712</v>
      </c>
    </row>
    <row r="7" spans="1:55" x14ac:dyDescent="0.2">
      <c r="A7" t="s">
        <v>37</v>
      </c>
      <c r="B7">
        <v>53.7</v>
      </c>
      <c r="C7">
        <v>48.2</v>
      </c>
      <c r="D7">
        <v>46.4</v>
      </c>
      <c r="E7">
        <v>43</v>
      </c>
      <c r="F7">
        <v>40</v>
      </c>
      <c r="G7">
        <v>41</v>
      </c>
      <c r="H7">
        <v>43</v>
      </c>
      <c r="I7">
        <v>44.5</v>
      </c>
      <c r="J7" t="s">
        <v>141</v>
      </c>
      <c r="L7" t="s">
        <v>37</v>
      </c>
      <c r="M7">
        <v>62.3</v>
      </c>
      <c r="N7">
        <v>58.6</v>
      </c>
      <c r="O7">
        <v>53.2</v>
      </c>
      <c r="P7">
        <v>50.8</v>
      </c>
      <c r="Q7">
        <v>47.5</v>
      </c>
      <c r="R7">
        <v>43.7</v>
      </c>
      <c r="S7">
        <v>42.8</v>
      </c>
      <c r="T7">
        <v>45.8</v>
      </c>
      <c r="U7">
        <v>44.7</v>
      </c>
      <c r="V7" t="s">
        <v>141</v>
      </c>
      <c r="X7" t="s">
        <v>37</v>
      </c>
      <c r="Y7">
        <v>24.7</v>
      </c>
      <c r="Z7">
        <v>21.4</v>
      </c>
      <c r="AA7">
        <v>19.2</v>
      </c>
      <c r="AB7">
        <v>22.2</v>
      </c>
      <c r="AC7">
        <v>19.899999999999999</v>
      </c>
      <c r="AD7" t="s">
        <v>141</v>
      </c>
      <c r="AF7" t="s">
        <v>37</v>
      </c>
      <c r="AG7">
        <v>21.7</v>
      </c>
      <c r="AH7">
        <v>18.8</v>
      </c>
      <c r="AI7">
        <v>23.5</v>
      </c>
      <c r="AJ7">
        <v>16.899999999999999</v>
      </c>
      <c r="AK7" t="s">
        <v>141</v>
      </c>
      <c r="AM7" t="s">
        <v>37</v>
      </c>
      <c r="AN7">
        <v>19.2</v>
      </c>
      <c r="AO7">
        <v>21.2</v>
      </c>
      <c r="AP7">
        <v>20</v>
      </c>
      <c r="AR7" t="s">
        <v>37</v>
      </c>
      <c r="AS7">
        <v>20.5</v>
      </c>
      <c r="AT7">
        <v>20.100000000000001</v>
      </c>
      <c r="AV7" s="4">
        <f t="shared" si="0"/>
        <v>19.066666666666666</v>
      </c>
      <c r="AW7" s="4">
        <f t="shared" si="1"/>
        <v>21.85</v>
      </c>
      <c r="AX7" s="4">
        <f t="shared" si="2"/>
        <v>19.225000000000001</v>
      </c>
      <c r="AY7" t="str">
        <f t="shared" si="3"/>
        <v>Colombia</v>
      </c>
      <c r="AZ7" s="7">
        <f t="shared" si="4"/>
        <v>-0.14200846700834113</v>
      </c>
      <c r="BB7" t="s">
        <v>37</v>
      </c>
      <c r="BC7" s="4">
        <v>-0.38120442304983121</v>
      </c>
    </row>
    <row r="8" spans="1:55" x14ac:dyDescent="0.2">
      <c r="A8" t="s">
        <v>39</v>
      </c>
      <c r="B8">
        <v>60</v>
      </c>
      <c r="C8">
        <v>48.1</v>
      </c>
      <c r="D8">
        <v>45.1</v>
      </c>
      <c r="E8">
        <v>43.4</v>
      </c>
      <c r="F8">
        <v>41.6</v>
      </c>
      <c r="G8" t="s">
        <v>57</v>
      </c>
      <c r="H8" t="s">
        <v>57</v>
      </c>
      <c r="I8" t="s">
        <v>57</v>
      </c>
      <c r="J8" t="s">
        <v>141</v>
      </c>
      <c r="L8" t="s">
        <v>39</v>
      </c>
      <c r="M8">
        <v>56.7</v>
      </c>
      <c r="N8">
        <v>50.6</v>
      </c>
      <c r="O8">
        <v>44.6</v>
      </c>
      <c r="P8">
        <v>39.1</v>
      </c>
      <c r="Q8">
        <v>32.299999999999997</v>
      </c>
      <c r="R8">
        <v>30.2</v>
      </c>
      <c r="S8">
        <v>25.9</v>
      </c>
      <c r="T8">
        <v>20.9</v>
      </c>
      <c r="U8">
        <v>18.399999999999999</v>
      </c>
      <c r="V8" t="s">
        <v>141</v>
      </c>
      <c r="X8" t="s">
        <v>39</v>
      </c>
      <c r="Y8">
        <v>40.9</v>
      </c>
      <c r="Z8">
        <v>38.299999999999997</v>
      </c>
      <c r="AA8">
        <v>31.9</v>
      </c>
      <c r="AB8">
        <v>26.9</v>
      </c>
      <c r="AC8">
        <v>25.5</v>
      </c>
      <c r="AD8" t="s">
        <v>141</v>
      </c>
      <c r="AF8" t="s">
        <v>39</v>
      </c>
      <c r="AK8" t="s">
        <v>141</v>
      </c>
      <c r="AM8" t="s">
        <v>39</v>
      </c>
      <c r="AN8">
        <v>31.9</v>
      </c>
      <c r="AO8">
        <v>25.3</v>
      </c>
      <c r="AP8">
        <v>23.4</v>
      </c>
      <c r="AR8" t="s">
        <v>39</v>
      </c>
      <c r="AV8" s="4">
        <f t="shared" si="0"/>
        <v>31.9</v>
      </c>
      <c r="AW8" s="4">
        <f t="shared" si="1"/>
        <v>26.1</v>
      </c>
      <c r="AX8" s="4">
        <f t="shared" si="2"/>
        <v>24.45</v>
      </c>
      <c r="AY8" t="str">
        <f t="shared" si="3"/>
        <v>Ecuador</v>
      </c>
      <c r="AZ8" s="7">
        <f t="shared" si="4"/>
        <v>5.98947275817494E-2</v>
      </c>
      <c r="BB8" t="s">
        <v>39</v>
      </c>
      <c r="BC8" s="4">
        <v>2.464536712534807</v>
      </c>
    </row>
    <row r="9" spans="1:55" x14ac:dyDescent="0.2">
      <c r="A9" t="s">
        <v>65</v>
      </c>
      <c r="L9" t="s">
        <v>65</v>
      </c>
      <c r="N9">
        <v>110.7</v>
      </c>
      <c r="O9">
        <v>115.3</v>
      </c>
      <c r="P9">
        <v>117.3</v>
      </c>
      <c r="Q9">
        <v>102.1</v>
      </c>
      <c r="R9">
        <v>88.1</v>
      </c>
      <c r="S9">
        <v>79.3</v>
      </c>
      <c r="T9">
        <v>77.3</v>
      </c>
      <c r="U9">
        <v>76.099999999999994</v>
      </c>
      <c r="V9" t="s">
        <v>141</v>
      </c>
      <c r="X9" t="s">
        <v>65</v>
      </c>
      <c r="Y9">
        <v>27.6</v>
      </c>
      <c r="Z9">
        <v>22.9</v>
      </c>
      <c r="AA9">
        <v>20.9</v>
      </c>
      <c r="AB9">
        <v>16.7</v>
      </c>
      <c r="AC9">
        <v>14.5</v>
      </c>
      <c r="AF9" t="s">
        <v>65</v>
      </c>
      <c r="AI9">
        <v>16.8</v>
      </c>
      <c r="AJ9">
        <v>15.4</v>
      </c>
      <c r="AM9" t="s">
        <v>65</v>
      </c>
      <c r="AR9" t="s">
        <v>65</v>
      </c>
      <c r="AS9">
        <v>20.6</v>
      </c>
      <c r="AT9">
        <v>18.8</v>
      </c>
      <c r="AV9" s="4">
        <f t="shared" si="0"/>
        <v>20.9</v>
      </c>
      <c r="AW9" s="4">
        <f t="shared" si="1"/>
        <v>18.033333333333335</v>
      </c>
      <c r="AX9" s="4">
        <f t="shared" si="2"/>
        <v>16.233333333333334</v>
      </c>
      <c r="AY9" t="str">
        <f t="shared" si="3"/>
        <v>Egypt</v>
      </c>
      <c r="AZ9" s="7">
        <f t="shared" si="4"/>
        <v>-0.25761173153440581</v>
      </c>
      <c r="BB9" t="s">
        <v>65</v>
      </c>
      <c r="BC9" s="4">
        <v>-0.79112747333719569</v>
      </c>
    </row>
    <row r="10" spans="1:55" x14ac:dyDescent="0.2">
      <c r="A10" t="s">
        <v>43</v>
      </c>
      <c r="B10">
        <v>58</v>
      </c>
      <c r="C10">
        <v>59.4</v>
      </c>
      <c r="D10">
        <v>61.7</v>
      </c>
      <c r="E10">
        <v>65.599999999999994</v>
      </c>
      <c r="F10">
        <v>65.8</v>
      </c>
      <c r="G10">
        <v>72.8</v>
      </c>
      <c r="H10">
        <v>79.3</v>
      </c>
      <c r="I10" t="s">
        <v>57</v>
      </c>
      <c r="J10" t="s">
        <v>141</v>
      </c>
      <c r="L10" t="s">
        <v>43</v>
      </c>
      <c r="M10">
        <v>55.8</v>
      </c>
      <c r="N10">
        <v>58.1</v>
      </c>
      <c r="O10">
        <v>59.4</v>
      </c>
      <c r="P10">
        <v>61.7</v>
      </c>
      <c r="Q10">
        <v>65.599999999999994</v>
      </c>
      <c r="R10">
        <v>65.8</v>
      </c>
      <c r="S10">
        <v>73</v>
      </c>
      <c r="T10">
        <v>80.599999999999994</v>
      </c>
      <c r="U10">
        <v>83.3</v>
      </c>
      <c r="V10" t="s">
        <v>141</v>
      </c>
      <c r="X10" t="s">
        <v>43</v>
      </c>
      <c r="Y10">
        <v>95</v>
      </c>
      <c r="Z10">
        <v>103.2</v>
      </c>
      <c r="AA10">
        <v>107.7</v>
      </c>
      <c r="AB10">
        <v>112.9</v>
      </c>
      <c r="AC10">
        <v>133.9</v>
      </c>
      <c r="AD10" t="s">
        <v>141</v>
      </c>
      <c r="AF10" t="s">
        <v>43</v>
      </c>
      <c r="AG10">
        <v>106.7</v>
      </c>
      <c r="AH10">
        <v>127.5</v>
      </c>
      <c r="AI10">
        <v>125</v>
      </c>
      <c r="AJ10">
        <v>115</v>
      </c>
      <c r="AK10" t="s">
        <v>141</v>
      </c>
      <c r="AM10" t="s">
        <v>43</v>
      </c>
      <c r="AN10">
        <v>100.8</v>
      </c>
      <c r="AO10">
        <v>128.69999999999999</v>
      </c>
      <c r="AP10">
        <v>116.8</v>
      </c>
      <c r="AR10" t="s">
        <v>43</v>
      </c>
      <c r="AV10" s="4">
        <f t="shared" si="0"/>
        <v>112</v>
      </c>
      <c r="AW10" s="4">
        <f t="shared" si="1"/>
        <v>122.2</v>
      </c>
      <c r="AX10" s="4">
        <f t="shared" si="2"/>
        <v>121.89999999999999</v>
      </c>
      <c r="AY10" t="str">
        <f t="shared" si="3"/>
        <v>Hungary</v>
      </c>
      <c r="AZ10" s="7">
        <f t="shared" si="4"/>
        <v>3.8255342132859274</v>
      </c>
      <c r="BB10" t="s">
        <v>43</v>
      </c>
      <c r="BC10" s="4">
        <v>-0.33267892592750836</v>
      </c>
    </row>
    <row r="11" spans="1:55" x14ac:dyDescent="0.2">
      <c r="A11" t="s">
        <v>2</v>
      </c>
      <c r="B11">
        <v>60.3</v>
      </c>
      <c r="C11">
        <v>55.4</v>
      </c>
      <c r="D11">
        <v>46.3</v>
      </c>
      <c r="E11">
        <v>46</v>
      </c>
      <c r="F11">
        <v>42.5</v>
      </c>
      <c r="G11">
        <v>38.200000000000003</v>
      </c>
      <c r="H11">
        <v>34</v>
      </c>
      <c r="I11">
        <v>29.8</v>
      </c>
      <c r="J11" t="s">
        <v>141</v>
      </c>
      <c r="L11" t="s">
        <v>2</v>
      </c>
      <c r="M11">
        <v>72.8</v>
      </c>
      <c r="N11">
        <v>66.599999999999994</v>
      </c>
      <c r="O11">
        <v>61.9</v>
      </c>
      <c r="P11">
        <v>52.1</v>
      </c>
      <c r="Q11">
        <v>41.2</v>
      </c>
      <c r="R11">
        <v>37.799999999999997</v>
      </c>
      <c r="S11">
        <v>31.9</v>
      </c>
      <c r="T11">
        <v>31.6</v>
      </c>
      <c r="U11">
        <v>29.1</v>
      </c>
      <c r="V11" t="s">
        <v>141</v>
      </c>
      <c r="X11" t="s">
        <v>2</v>
      </c>
      <c r="Y11">
        <v>35.200000000000003</v>
      </c>
      <c r="Z11">
        <v>31.7</v>
      </c>
      <c r="AA11">
        <v>27.9</v>
      </c>
      <c r="AB11">
        <v>31.6</v>
      </c>
      <c r="AC11">
        <v>23.8</v>
      </c>
      <c r="AD11" t="s">
        <v>141</v>
      </c>
      <c r="AF11" t="s">
        <v>2</v>
      </c>
      <c r="AG11">
        <v>31.6</v>
      </c>
      <c r="AH11">
        <v>28.8</v>
      </c>
      <c r="AI11">
        <v>28.2</v>
      </c>
      <c r="AJ11">
        <v>21.5</v>
      </c>
      <c r="AK11" t="s">
        <v>141</v>
      </c>
      <c r="AM11" t="s">
        <v>2</v>
      </c>
      <c r="AN11">
        <v>29</v>
      </c>
      <c r="AO11">
        <v>28.5</v>
      </c>
      <c r="AP11">
        <v>28.7</v>
      </c>
      <c r="AR11" t="s">
        <v>2</v>
      </c>
      <c r="AS11">
        <v>28.7</v>
      </c>
      <c r="AT11">
        <v>23.2</v>
      </c>
      <c r="AV11" s="4">
        <f t="shared" si="0"/>
        <v>28.566666666666666</v>
      </c>
      <c r="AW11" s="4">
        <f t="shared" si="1"/>
        <v>29.25</v>
      </c>
      <c r="AX11" s="4">
        <f t="shared" si="2"/>
        <v>24.3</v>
      </c>
      <c r="AY11" t="str">
        <f t="shared" si="3"/>
        <v>Indonesia</v>
      </c>
      <c r="AZ11" s="7">
        <f t="shared" si="4"/>
        <v>5.4098463622225319E-2</v>
      </c>
      <c r="BB11" t="s">
        <v>2</v>
      </c>
      <c r="BC11" s="4">
        <v>-0.25805852254475747</v>
      </c>
    </row>
    <row r="12" spans="1:55" x14ac:dyDescent="0.2">
      <c r="A12" t="s">
        <v>45</v>
      </c>
      <c r="L12" t="s">
        <v>45</v>
      </c>
      <c r="M12">
        <v>17.7</v>
      </c>
      <c r="N12">
        <v>15</v>
      </c>
      <c r="O12">
        <v>11.4</v>
      </c>
      <c r="P12">
        <v>8.1</v>
      </c>
      <c r="Q12">
        <v>6.7</v>
      </c>
      <c r="R12">
        <v>5.9</v>
      </c>
      <c r="S12">
        <v>6.8</v>
      </c>
      <c r="T12">
        <v>10.4</v>
      </c>
      <c r="U12">
        <v>13</v>
      </c>
      <c r="V12" t="s">
        <v>141</v>
      </c>
      <c r="X12" t="s">
        <v>45</v>
      </c>
      <c r="Y12">
        <v>91.3</v>
      </c>
      <c r="Z12">
        <v>92.8</v>
      </c>
      <c r="AA12">
        <v>67.2</v>
      </c>
      <c r="AB12">
        <v>82.7</v>
      </c>
      <c r="AC12">
        <v>83.9</v>
      </c>
      <c r="AD12" t="s">
        <v>141</v>
      </c>
      <c r="AF12" t="s">
        <v>45</v>
      </c>
      <c r="AI12">
        <v>95.2</v>
      </c>
      <c r="AJ12">
        <v>97.2</v>
      </c>
      <c r="AK12" t="s">
        <v>141</v>
      </c>
      <c r="AM12" t="s">
        <v>45</v>
      </c>
      <c r="AR12" t="s">
        <v>45</v>
      </c>
      <c r="AS12">
        <v>92.8</v>
      </c>
      <c r="AT12">
        <v>78.8</v>
      </c>
      <c r="AV12" s="4">
        <f t="shared" si="0"/>
        <v>67.2</v>
      </c>
      <c r="AW12" s="4">
        <f t="shared" si="1"/>
        <v>90.233333333333334</v>
      </c>
      <c r="AX12" s="4">
        <f t="shared" si="2"/>
        <v>86.63333333333334</v>
      </c>
      <c r="AY12" t="str">
        <f t="shared" si="3"/>
        <v>Kazakhstan</v>
      </c>
      <c r="AZ12" s="7">
        <f t="shared" si="4"/>
        <v>2.4627681534689208</v>
      </c>
      <c r="BB12" t="s">
        <v>45</v>
      </c>
      <c r="BC12" s="4">
        <v>0.13131945839646217</v>
      </c>
    </row>
    <row r="13" spans="1:55" x14ac:dyDescent="0.2">
      <c r="A13" t="s">
        <v>3</v>
      </c>
      <c r="B13">
        <v>63</v>
      </c>
      <c r="C13">
        <v>62</v>
      </c>
      <c r="D13">
        <v>57.6</v>
      </c>
      <c r="E13">
        <v>51.2</v>
      </c>
      <c r="F13">
        <v>48.1</v>
      </c>
      <c r="G13">
        <v>49.4</v>
      </c>
      <c r="H13">
        <v>50</v>
      </c>
      <c r="I13">
        <v>49</v>
      </c>
      <c r="J13" t="s">
        <v>141</v>
      </c>
      <c r="L13" t="s">
        <v>3</v>
      </c>
      <c r="M13">
        <v>45.6</v>
      </c>
      <c r="N13">
        <v>47.8</v>
      </c>
      <c r="O13">
        <v>48.1</v>
      </c>
      <c r="P13">
        <v>46.2</v>
      </c>
      <c r="Q13">
        <v>42.3</v>
      </c>
      <c r="R13">
        <v>41.6</v>
      </c>
      <c r="S13">
        <v>41.4</v>
      </c>
      <c r="T13">
        <v>51.2</v>
      </c>
      <c r="U13">
        <v>55</v>
      </c>
      <c r="V13" t="s">
        <v>141</v>
      </c>
      <c r="X13" t="s">
        <v>3</v>
      </c>
      <c r="Y13">
        <v>33.4</v>
      </c>
      <c r="Z13">
        <v>30.5</v>
      </c>
      <c r="AA13">
        <v>30.7</v>
      </c>
      <c r="AB13">
        <v>33.6</v>
      </c>
      <c r="AC13">
        <v>32.200000000000003</v>
      </c>
      <c r="AD13" t="s">
        <v>141</v>
      </c>
      <c r="AF13" t="s">
        <v>3</v>
      </c>
      <c r="AG13">
        <v>29.9</v>
      </c>
      <c r="AH13">
        <v>24.4</v>
      </c>
      <c r="AI13">
        <v>25.6</v>
      </c>
      <c r="AJ13">
        <v>23.8</v>
      </c>
      <c r="AK13" t="s">
        <v>141</v>
      </c>
      <c r="AM13" t="s">
        <v>3</v>
      </c>
      <c r="AN13">
        <v>31.8</v>
      </c>
      <c r="AO13">
        <v>32.200000000000003</v>
      </c>
      <c r="AP13">
        <v>31.4</v>
      </c>
      <c r="AR13" t="s">
        <v>3</v>
      </c>
      <c r="AS13">
        <v>32.700000000000003</v>
      </c>
      <c r="AT13">
        <v>29.5</v>
      </c>
      <c r="AV13" s="4">
        <f t="shared" si="0"/>
        <v>28.966666666666665</v>
      </c>
      <c r="AW13" s="4">
        <f t="shared" si="1"/>
        <v>31.025000000000002</v>
      </c>
      <c r="AX13" s="4">
        <f t="shared" si="2"/>
        <v>29.225000000000001</v>
      </c>
      <c r="AY13" t="str">
        <f t="shared" si="3"/>
        <v>Malaysia</v>
      </c>
      <c r="AZ13" s="7">
        <f t="shared" si="4"/>
        <v>0.24440913029326769</v>
      </c>
      <c r="BB13" t="s">
        <v>3</v>
      </c>
      <c r="BC13" s="4">
        <v>-0.59725228106795902</v>
      </c>
    </row>
    <row r="14" spans="1:55" x14ac:dyDescent="0.2">
      <c r="A14" t="s">
        <v>11</v>
      </c>
      <c r="B14">
        <v>27.6</v>
      </c>
      <c r="C14">
        <v>25.8</v>
      </c>
      <c r="D14">
        <v>24</v>
      </c>
      <c r="E14">
        <v>24.7</v>
      </c>
      <c r="F14">
        <v>25.8</v>
      </c>
      <c r="G14">
        <v>25.5</v>
      </c>
      <c r="H14">
        <v>25</v>
      </c>
      <c r="I14">
        <v>25</v>
      </c>
      <c r="J14" t="s">
        <v>141</v>
      </c>
      <c r="L14" t="s">
        <v>11</v>
      </c>
      <c r="M14">
        <v>37.4</v>
      </c>
      <c r="N14">
        <v>38.1</v>
      </c>
      <c r="O14">
        <v>34.9</v>
      </c>
      <c r="P14">
        <v>33.6</v>
      </c>
      <c r="Q14">
        <v>31.5</v>
      </c>
      <c r="R14">
        <v>29.8</v>
      </c>
      <c r="S14">
        <v>34.4</v>
      </c>
      <c r="T14">
        <v>36.299999999999997</v>
      </c>
      <c r="U14">
        <v>41.3</v>
      </c>
      <c r="V14" t="s">
        <v>141</v>
      </c>
      <c r="X14" t="s">
        <v>11</v>
      </c>
      <c r="Y14">
        <v>16.3</v>
      </c>
      <c r="Z14">
        <v>16.8</v>
      </c>
      <c r="AA14">
        <v>16.600000000000001</v>
      </c>
      <c r="AB14">
        <v>21.1</v>
      </c>
      <c r="AC14">
        <v>16</v>
      </c>
      <c r="AD14" t="s">
        <v>141</v>
      </c>
      <c r="AF14" t="s">
        <v>11</v>
      </c>
      <c r="AG14">
        <v>12.4</v>
      </c>
      <c r="AH14">
        <v>15.4</v>
      </c>
      <c r="AI14">
        <v>17.100000000000001</v>
      </c>
      <c r="AJ14">
        <v>16.5</v>
      </c>
      <c r="AK14" t="s">
        <v>141</v>
      </c>
      <c r="AM14" t="s">
        <v>11</v>
      </c>
      <c r="AN14">
        <v>13.8</v>
      </c>
      <c r="AO14">
        <v>18</v>
      </c>
      <c r="AP14">
        <v>16.7</v>
      </c>
      <c r="AR14" t="s">
        <v>11</v>
      </c>
      <c r="AS14">
        <v>21.2</v>
      </c>
      <c r="AT14">
        <v>20.100000000000001</v>
      </c>
      <c r="AV14" s="4">
        <f t="shared" si="0"/>
        <v>15.266666666666666</v>
      </c>
      <c r="AW14" s="4">
        <f t="shared" si="1"/>
        <v>19.350000000000001</v>
      </c>
      <c r="AX14" s="4">
        <f t="shared" si="2"/>
        <v>17.325000000000003</v>
      </c>
      <c r="AY14" t="str">
        <f t="shared" si="3"/>
        <v>Mexico</v>
      </c>
      <c r="AZ14" s="7">
        <f t="shared" si="4"/>
        <v>-0.21542781049564677</v>
      </c>
      <c r="BB14" t="s">
        <v>11</v>
      </c>
      <c r="BC14" s="4">
        <v>-0.4830003499768008</v>
      </c>
    </row>
    <row r="15" spans="1:55" x14ac:dyDescent="0.2">
      <c r="A15" t="s">
        <v>70</v>
      </c>
      <c r="L15" t="s">
        <v>70</v>
      </c>
      <c r="X15" t="s">
        <v>70</v>
      </c>
      <c r="AF15" t="s">
        <v>70</v>
      </c>
      <c r="AI15">
        <v>33</v>
      </c>
      <c r="AJ15">
        <v>35.6</v>
      </c>
      <c r="AM15" t="s">
        <v>70</v>
      </c>
      <c r="AN15">
        <v>31.7</v>
      </c>
      <c r="AO15">
        <v>35.6</v>
      </c>
      <c r="AP15">
        <v>33.9</v>
      </c>
      <c r="AR15" t="s">
        <v>70</v>
      </c>
      <c r="AS15">
        <v>33.4</v>
      </c>
      <c r="AT15">
        <v>31.6</v>
      </c>
      <c r="AV15" s="4">
        <f t="shared" si="0"/>
        <v>31.7</v>
      </c>
      <c r="AW15" s="4">
        <f t="shared" si="1"/>
        <v>34</v>
      </c>
      <c r="AX15" s="4">
        <f t="shared" si="2"/>
        <v>33.699999999999996</v>
      </c>
      <c r="AY15" t="str">
        <f t="shared" si="3"/>
        <v>Pakistan</v>
      </c>
      <c r="AZ15" s="7">
        <f t="shared" si="4"/>
        <v>0.41733100508573745</v>
      </c>
      <c r="BB15" t="s">
        <v>70</v>
      </c>
      <c r="BC15" s="4">
        <v>1.3677813212425267</v>
      </c>
    </row>
    <row r="16" spans="1:55" x14ac:dyDescent="0.2">
      <c r="A16" t="s">
        <v>71</v>
      </c>
      <c r="L16" t="s">
        <v>71</v>
      </c>
      <c r="N16">
        <v>67</v>
      </c>
      <c r="O16">
        <v>70.400000000000006</v>
      </c>
      <c r="P16">
        <v>66.2</v>
      </c>
      <c r="Q16">
        <v>61</v>
      </c>
      <c r="R16">
        <v>53.7</v>
      </c>
      <c r="S16">
        <v>44.2</v>
      </c>
      <c r="T16">
        <v>45.1</v>
      </c>
      <c r="U16">
        <v>43.1</v>
      </c>
      <c r="V16" t="s">
        <v>141</v>
      </c>
      <c r="X16" t="s">
        <v>71</v>
      </c>
      <c r="Y16">
        <v>45.4</v>
      </c>
      <c r="Z16">
        <v>42.5</v>
      </c>
      <c r="AA16">
        <v>35.9</v>
      </c>
      <c r="AB16">
        <v>40.6</v>
      </c>
      <c r="AC16">
        <v>39.6</v>
      </c>
      <c r="AD16" t="s">
        <v>141</v>
      </c>
      <c r="AF16" t="s">
        <v>71</v>
      </c>
      <c r="AM16" t="s">
        <v>71</v>
      </c>
      <c r="AN16">
        <v>44</v>
      </c>
      <c r="AO16">
        <v>46.4</v>
      </c>
      <c r="AP16">
        <v>44.6</v>
      </c>
      <c r="AR16" t="s">
        <v>71</v>
      </c>
      <c r="AS16">
        <v>45</v>
      </c>
      <c r="AT16">
        <v>44.5</v>
      </c>
      <c r="AV16" s="4">
        <f t="shared" si="0"/>
        <v>39.950000000000003</v>
      </c>
      <c r="AW16" s="4">
        <f t="shared" si="1"/>
        <v>44</v>
      </c>
      <c r="AX16" s="4">
        <f t="shared" si="2"/>
        <v>42.9</v>
      </c>
      <c r="AY16" t="str">
        <f t="shared" si="3"/>
        <v>Panama</v>
      </c>
      <c r="AZ16" s="7">
        <f t="shared" si="4"/>
        <v>0.7728351946032177</v>
      </c>
      <c r="BB16" t="s">
        <v>71</v>
      </c>
      <c r="BC16" s="4">
        <v>-0.44259059994467587</v>
      </c>
    </row>
    <row r="17" spans="1:55" x14ac:dyDescent="0.2">
      <c r="A17" t="s">
        <v>47</v>
      </c>
      <c r="B17">
        <v>47.1</v>
      </c>
      <c r="C17">
        <v>44.3</v>
      </c>
      <c r="D17">
        <v>37.799999999999997</v>
      </c>
      <c r="E17">
        <v>33</v>
      </c>
      <c r="F17">
        <v>29.7</v>
      </c>
      <c r="G17">
        <v>24</v>
      </c>
      <c r="H17">
        <v>27.1</v>
      </c>
      <c r="I17">
        <v>28.1</v>
      </c>
      <c r="J17" t="s">
        <v>141</v>
      </c>
      <c r="L17" t="s">
        <v>47</v>
      </c>
      <c r="M17">
        <v>46.7</v>
      </c>
      <c r="N17">
        <v>47.1</v>
      </c>
      <c r="O17">
        <v>44.4</v>
      </c>
      <c r="P17">
        <v>37.799999999999997</v>
      </c>
      <c r="Q17">
        <v>33</v>
      </c>
      <c r="R17">
        <v>29.7</v>
      </c>
      <c r="S17">
        <v>23.8</v>
      </c>
      <c r="T17">
        <v>25.6</v>
      </c>
      <c r="U17">
        <v>25.3</v>
      </c>
      <c r="V17" t="s">
        <v>141</v>
      </c>
      <c r="X17" t="s">
        <v>47</v>
      </c>
      <c r="Y17">
        <v>31.1</v>
      </c>
      <c r="Z17">
        <v>30.9</v>
      </c>
      <c r="AA17">
        <v>27.1</v>
      </c>
      <c r="AB17">
        <v>27.3</v>
      </c>
      <c r="AC17">
        <v>25.7</v>
      </c>
      <c r="AD17" t="s">
        <v>141</v>
      </c>
      <c r="AF17" t="s">
        <v>47</v>
      </c>
      <c r="AG17">
        <v>29.6</v>
      </c>
      <c r="AH17">
        <v>24</v>
      </c>
      <c r="AI17">
        <v>26.1</v>
      </c>
      <c r="AJ17">
        <v>26</v>
      </c>
      <c r="AK17" t="s">
        <v>141</v>
      </c>
      <c r="AM17" t="s">
        <v>47</v>
      </c>
      <c r="AN17">
        <v>24.6</v>
      </c>
      <c r="AO17">
        <v>27.6</v>
      </c>
      <c r="AP17">
        <v>25.8</v>
      </c>
      <c r="AR17" t="s">
        <v>47</v>
      </c>
      <c r="AS17">
        <v>28</v>
      </c>
      <c r="AT17">
        <v>24.3</v>
      </c>
      <c r="AV17" s="4">
        <f t="shared" si="0"/>
        <v>25.233333333333334</v>
      </c>
      <c r="AW17" s="4">
        <f t="shared" si="1"/>
        <v>27.25</v>
      </c>
      <c r="AX17" s="4">
        <f t="shared" si="2"/>
        <v>25.45</v>
      </c>
      <c r="AY17" t="str">
        <f t="shared" si="3"/>
        <v>Peru</v>
      </c>
      <c r="AZ17" s="7">
        <f t="shared" si="4"/>
        <v>9.8536487311910281E-2</v>
      </c>
      <c r="BB17" t="s">
        <v>47</v>
      </c>
      <c r="BC17" s="4">
        <v>-0.50917974894666096</v>
      </c>
    </row>
    <row r="18" spans="1:55" x14ac:dyDescent="0.2">
      <c r="A18" t="s">
        <v>4</v>
      </c>
      <c r="B18">
        <v>94.5</v>
      </c>
      <c r="C18">
        <v>96.3</v>
      </c>
      <c r="D18">
        <v>83.2</v>
      </c>
      <c r="E18">
        <v>73.3</v>
      </c>
      <c r="F18">
        <v>63.1</v>
      </c>
      <c r="G18">
        <v>70</v>
      </c>
      <c r="H18">
        <v>68</v>
      </c>
      <c r="I18">
        <v>69</v>
      </c>
      <c r="J18" t="s">
        <v>141</v>
      </c>
      <c r="L18" t="s">
        <v>4</v>
      </c>
      <c r="M18">
        <v>71</v>
      </c>
      <c r="N18">
        <v>77.7</v>
      </c>
      <c r="O18">
        <v>80.5</v>
      </c>
      <c r="P18">
        <v>71.8</v>
      </c>
      <c r="Q18">
        <v>66.400000000000006</v>
      </c>
      <c r="R18">
        <v>55.8</v>
      </c>
      <c r="S18">
        <v>56.3</v>
      </c>
      <c r="T18">
        <v>57.4</v>
      </c>
      <c r="U18">
        <v>57.8</v>
      </c>
      <c r="V18" t="s">
        <v>141</v>
      </c>
      <c r="X18" t="s">
        <v>4</v>
      </c>
      <c r="Y18">
        <v>45.3</v>
      </c>
      <c r="Z18">
        <v>37.700000000000003</v>
      </c>
      <c r="AA18">
        <v>32.1</v>
      </c>
      <c r="AB18">
        <v>31.6</v>
      </c>
      <c r="AC18">
        <v>32.4</v>
      </c>
      <c r="AD18" t="s">
        <v>141</v>
      </c>
      <c r="AF18" t="s">
        <v>4</v>
      </c>
      <c r="AG18">
        <v>37.299999999999997</v>
      </c>
      <c r="AH18">
        <v>32.200000000000003</v>
      </c>
      <c r="AI18">
        <v>32.299999999999997</v>
      </c>
      <c r="AJ18">
        <v>26.7</v>
      </c>
      <c r="AK18" t="s">
        <v>141</v>
      </c>
      <c r="AM18" t="s">
        <v>4</v>
      </c>
      <c r="AN18">
        <v>36.5</v>
      </c>
      <c r="AO18">
        <v>40.200000000000003</v>
      </c>
      <c r="AP18">
        <v>39.799999999999997</v>
      </c>
      <c r="AR18" t="s">
        <v>4</v>
      </c>
      <c r="AS18">
        <v>41.7</v>
      </c>
      <c r="AT18">
        <v>36</v>
      </c>
      <c r="AV18" s="4">
        <f t="shared" si="0"/>
        <v>33.6</v>
      </c>
      <c r="AW18" s="4">
        <f t="shared" si="1"/>
        <v>36.450000000000003</v>
      </c>
      <c r="AX18" s="4">
        <f t="shared" si="2"/>
        <v>33.724999999999994</v>
      </c>
      <c r="AY18" t="str">
        <f t="shared" si="3"/>
        <v>Philippines</v>
      </c>
      <c r="AZ18" s="7">
        <f t="shared" si="4"/>
        <v>0.4182970490789914</v>
      </c>
      <c r="BB18" t="s">
        <v>4</v>
      </c>
      <c r="BC18" s="4">
        <v>-0.22688515974898377</v>
      </c>
    </row>
    <row r="19" spans="1:55" x14ac:dyDescent="0.2">
      <c r="A19" t="s">
        <v>48</v>
      </c>
      <c r="B19">
        <v>47.1</v>
      </c>
      <c r="C19">
        <v>45.7</v>
      </c>
      <c r="D19">
        <v>47.1</v>
      </c>
      <c r="E19">
        <v>47.8</v>
      </c>
      <c r="F19">
        <v>44.9</v>
      </c>
      <c r="G19">
        <v>47.1</v>
      </c>
      <c r="H19">
        <v>53.3</v>
      </c>
      <c r="I19">
        <v>57.1</v>
      </c>
      <c r="J19" t="s">
        <v>141</v>
      </c>
      <c r="L19" t="s">
        <v>48</v>
      </c>
      <c r="M19">
        <v>42.2</v>
      </c>
      <c r="N19">
        <v>47.1</v>
      </c>
      <c r="O19">
        <v>45.7</v>
      </c>
      <c r="P19">
        <v>47.1</v>
      </c>
      <c r="Q19">
        <v>47.7</v>
      </c>
      <c r="R19">
        <v>45.2</v>
      </c>
      <c r="S19">
        <v>46.8</v>
      </c>
      <c r="T19">
        <v>50.2</v>
      </c>
      <c r="U19">
        <v>53.5</v>
      </c>
      <c r="V19" t="s">
        <v>141</v>
      </c>
      <c r="X19" t="s">
        <v>48</v>
      </c>
      <c r="Y19">
        <v>49.6</v>
      </c>
      <c r="Z19">
        <v>55.1</v>
      </c>
      <c r="AA19">
        <v>44.9</v>
      </c>
      <c r="AB19">
        <v>50.4</v>
      </c>
      <c r="AC19">
        <v>55.7</v>
      </c>
      <c r="AD19" t="s">
        <v>141</v>
      </c>
      <c r="AF19" t="s">
        <v>48</v>
      </c>
      <c r="AG19">
        <v>48.6</v>
      </c>
      <c r="AH19">
        <v>47.7</v>
      </c>
      <c r="AI19">
        <v>55</v>
      </c>
      <c r="AJ19">
        <v>51.9</v>
      </c>
      <c r="AK19" t="s">
        <v>141</v>
      </c>
      <c r="AM19" t="s">
        <v>48</v>
      </c>
      <c r="AN19">
        <v>46</v>
      </c>
      <c r="AO19">
        <v>58.6</v>
      </c>
      <c r="AP19">
        <v>52.3</v>
      </c>
      <c r="AR19" t="s">
        <v>48</v>
      </c>
      <c r="AS19">
        <v>65.599999999999994</v>
      </c>
      <c r="AT19">
        <v>61.7</v>
      </c>
      <c r="AV19" s="4">
        <f t="shared" si="0"/>
        <v>46.199999999999996</v>
      </c>
      <c r="AW19" s="4">
        <f t="shared" si="1"/>
        <v>57.4</v>
      </c>
      <c r="AX19" s="4">
        <f t="shared" si="2"/>
        <v>55.399999999999991</v>
      </c>
      <c r="AY19" t="str">
        <f t="shared" si="3"/>
        <v>Poland</v>
      </c>
      <c r="AZ19" s="7">
        <f t="shared" si="4"/>
        <v>1.2558571912302285</v>
      </c>
      <c r="BB19" t="s">
        <v>48</v>
      </c>
      <c r="BC19" s="4">
        <v>-0.56641688910991406</v>
      </c>
    </row>
    <row r="20" spans="1:55" x14ac:dyDescent="0.2">
      <c r="A20" t="s">
        <v>13</v>
      </c>
      <c r="B20">
        <v>32</v>
      </c>
      <c r="C20">
        <v>24.4</v>
      </c>
      <c r="D20">
        <v>15.7</v>
      </c>
      <c r="E20">
        <v>10.199999999999999</v>
      </c>
      <c r="F20">
        <v>9</v>
      </c>
      <c r="G20">
        <v>7.7</v>
      </c>
      <c r="H20">
        <v>8.3000000000000007</v>
      </c>
      <c r="I20">
        <v>7.5</v>
      </c>
      <c r="J20" t="s">
        <v>141</v>
      </c>
      <c r="L20" t="s">
        <v>13</v>
      </c>
      <c r="M20">
        <v>38</v>
      </c>
      <c r="N20">
        <v>29.4</v>
      </c>
      <c r="O20">
        <v>22.6</v>
      </c>
      <c r="P20">
        <v>15.2</v>
      </c>
      <c r="Q20">
        <v>9</v>
      </c>
      <c r="R20">
        <v>7.3</v>
      </c>
      <c r="S20">
        <v>5.9</v>
      </c>
      <c r="T20">
        <v>6.9</v>
      </c>
      <c r="U20">
        <v>8.8000000000000007</v>
      </c>
      <c r="V20" t="s">
        <v>141</v>
      </c>
      <c r="X20" t="s">
        <v>13</v>
      </c>
      <c r="Y20">
        <v>31.5</v>
      </c>
      <c r="Z20">
        <v>35.5</v>
      </c>
      <c r="AA20">
        <v>28.2</v>
      </c>
      <c r="AB20">
        <v>32.6</v>
      </c>
      <c r="AC20">
        <v>33</v>
      </c>
      <c r="AD20" t="s">
        <v>141</v>
      </c>
      <c r="AF20" t="s">
        <v>13</v>
      </c>
      <c r="AG20">
        <v>35.5</v>
      </c>
      <c r="AH20">
        <v>28.8</v>
      </c>
      <c r="AI20">
        <v>39.5</v>
      </c>
      <c r="AJ20">
        <v>37.6</v>
      </c>
      <c r="AK20" t="s">
        <v>141</v>
      </c>
      <c r="AM20" t="s">
        <v>13</v>
      </c>
      <c r="AN20">
        <v>28.9</v>
      </c>
      <c r="AO20">
        <v>38.700000000000003</v>
      </c>
      <c r="AP20">
        <v>32.700000000000003</v>
      </c>
      <c r="AR20" t="s">
        <v>13</v>
      </c>
      <c r="AS20">
        <v>37.4</v>
      </c>
      <c r="AT20">
        <v>32.700000000000003</v>
      </c>
      <c r="AV20" s="4">
        <f t="shared" si="0"/>
        <v>28.633333333333336</v>
      </c>
      <c r="AW20" s="4">
        <f t="shared" si="1"/>
        <v>37.049999999999997</v>
      </c>
      <c r="AX20" s="4">
        <f t="shared" si="2"/>
        <v>34</v>
      </c>
      <c r="AY20" t="str">
        <f t="shared" si="3"/>
        <v>Russia</v>
      </c>
      <c r="AZ20" s="7">
        <f t="shared" si="4"/>
        <v>0.42892353300478586</v>
      </c>
      <c r="BB20" t="s">
        <v>13</v>
      </c>
      <c r="BC20" s="4">
        <v>-0.39635974693114312</v>
      </c>
    </row>
    <row r="21" spans="1:55" x14ac:dyDescent="0.2">
      <c r="A21" t="s">
        <v>23</v>
      </c>
      <c r="B21">
        <v>-2.1</v>
      </c>
      <c r="C21">
        <v>-1.3</v>
      </c>
      <c r="D21">
        <v>-0.1</v>
      </c>
      <c r="E21">
        <v>0.8</v>
      </c>
      <c r="F21">
        <v>0.9</v>
      </c>
      <c r="G21">
        <v>-1.2</v>
      </c>
      <c r="H21">
        <v>-5.5</v>
      </c>
      <c r="I21">
        <v>-6.7</v>
      </c>
      <c r="J21" t="s">
        <v>141</v>
      </c>
      <c r="L21" t="s">
        <v>23</v>
      </c>
      <c r="M21">
        <v>35.6</v>
      </c>
      <c r="N21">
        <v>35.299999999999997</v>
      </c>
      <c r="O21">
        <v>35.1</v>
      </c>
      <c r="P21">
        <v>33.299999999999997</v>
      </c>
      <c r="Q21">
        <v>30.6</v>
      </c>
      <c r="R21">
        <v>27.9</v>
      </c>
      <c r="S21">
        <v>27.3</v>
      </c>
      <c r="T21">
        <v>30.4</v>
      </c>
      <c r="U21">
        <v>35.5</v>
      </c>
      <c r="V21" t="s">
        <v>141</v>
      </c>
      <c r="X21" t="s">
        <v>23</v>
      </c>
      <c r="Y21">
        <v>23.1</v>
      </c>
      <c r="Z21">
        <v>30.5</v>
      </c>
      <c r="AA21">
        <v>26</v>
      </c>
      <c r="AB21">
        <v>28.5</v>
      </c>
      <c r="AC21">
        <v>23.2</v>
      </c>
      <c r="AD21" t="s">
        <v>141</v>
      </c>
      <c r="AF21" t="s">
        <v>23</v>
      </c>
      <c r="AG21">
        <v>26.5</v>
      </c>
      <c r="AH21">
        <v>25.3</v>
      </c>
      <c r="AI21">
        <v>28.5</v>
      </c>
      <c r="AJ21">
        <v>28.3</v>
      </c>
      <c r="AK21" t="s">
        <v>141</v>
      </c>
      <c r="AM21" t="s">
        <v>23</v>
      </c>
      <c r="AN21">
        <v>28</v>
      </c>
      <c r="AO21">
        <v>25.3</v>
      </c>
      <c r="AP21">
        <v>22</v>
      </c>
      <c r="AR21" t="s">
        <v>23</v>
      </c>
      <c r="AS21">
        <v>21.3</v>
      </c>
      <c r="AT21">
        <v>19</v>
      </c>
      <c r="AV21" s="4">
        <f t="shared" si="0"/>
        <v>26.433333333333334</v>
      </c>
      <c r="AW21" s="4">
        <f t="shared" si="1"/>
        <v>25.9</v>
      </c>
      <c r="AX21" s="4">
        <f t="shared" si="2"/>
        <v>23.125</v>
      </c>
      <c r="AY21" t="str">
        <f t="shared" si="3"/>
        <v>South Africa</v>
      </c>
      <c r="AZ21" s="7">
        <f t="shared" si="4"/>
        <v>8.6943959392862535E-3</v>
      </c>
      <c r="BB21" t="s">
        <v>23</v>
      </c>
      <c r="BC21" s="4">
        <v>-0.49784438492862571</v>
      </c>
    </row>
    <row r="22" spans="1:55" x14ac:dyDescent="0.2">
      <c r="A22" t="s">
        <v>77</v>
      </c>
      <c r="L22" t="s">
        <v>77</v>
      </c>
      <c r="X22" t="s">
        <v>77</v>
      </c>
      <c r="AF22" t="s">
        <v>77</v>
      </c>
      <c r="AH22">
        <v>45.9</v>
      </c>
      <c r="AI22">
        <v>44.8</v>
      </c>
      <c r="AJ22">
        <v>38.9</v>
      </c>
      <c r="AM22" t="s">
        <v>77</v>
      </c>
      <c r="AR22" t="s">
        <v>77</v>
      </c>
      <c r="AS22">
        <v>53</v>
      </c>
      <c r="AT22">
        <v>49</v>
      </c>
      <c r="AV22" s="4">
        <f t="shared" si="0"/>
        <v>45.9</v>
      </c>
      <c r="AW22" s="4">
        <f t="shared" si="1"/>
        <v>48.9</v>
      </c>
      <c r="AX22" s="4">
        <f t="shared" si="2"/>
        <v>43.95</v>
      </c>
      <c r="AY22" t="str">
        <f t="shared" si="3"/>
        <v>Sri Lanka</v>
      </c>
      <c r="AZ22" s="7">
        <f t="shared" si="4"/>
        <v>0.81340904231988675</v>
      </c>
      <c r="BB22" t="s">
        <v>77</v>
      </c>
      <c r="BC22" s="4">
        <v>0.4803721820149891</v>
      </c>
    </row>
    <row r="23" spans="1:55" x14ac:dyDescent="0.2">
      <c r="A23" t="s">
        <v>14</v>
      </c>
      <c r="B23">
        <v>86.6</v>
      </c>
      <c r="C23">
        <v>79.599999999999994</v>
      </c>
      <c r="D23">
        <v>68.5</v>
      </c>
      <c r="E23">
        <v>60.4</v>
      </c>
      <c r="F23">
        <v>61.3</v>
      </c>
      <c r="G23">
        <v>57.3</v>
      </c>
      <c r="H23" t="s">
        <v>57</v>
      </c>
      <c r="I23" t="s">
        <v>57</v>
      </c>
      <c r="J23" t="s">
        <v>141</v>
      </c>
      <c r="L23" t="s">
        <v>14</v>
      </c>
      <c r="M23">
        <v>69.3</v>
      </c>
      <c r="N23">
        <v>62.2</v>
      </c>
      <c r="O23">
        <v>56.6</v>
      </c>
      <c r="P23">
        <v>51.1</v>
      </c>
      <c r="Q23">
        <v>45.6</v>
      </c>
      <c r="R23">
        <v>39.6</v>
      </c>
      <c r="S23">
        <v>40</v>
      </c>
      <c r="T23">
        <v>45.2</v>
      </c>
      <c r="U23">
        <v>47.6</v>
      </c>
      <c r="V23" t="s">
        <v>141</v>
      </c>
      <c r="X23" t="s">
        <v>14</v>
      </c>
      <c r="Y23">
        <v>39.1</v>
      </c>
      <c r="Z23">
        <v>38.4</v>
      </c>
      <c r="AA23">
        <v>37.700000000000003</v>
      </c>
      <c r="AB23">
        <v>45.3</v>
      </c>
      <c r="AC23">
        <v>40.799999999999997</v>
      </c>
      <c r="AD23" t="s">
        <v>141</v>
      </c>
      <c r="AF23" t="s">
        <v>14</v>
      </c>
      <c r="AG23">
        <v>37.5</v>
      </c>
      <c r="AH23">
        <v>39.700000000000003</v>
      </c>
      <c r="AI23">
        <v>45</v>
      </c>
      <c r="AJ23">
        <v>43</v>
      </c>
      <c r="AK23" t="s">
        <v>141</v>
      </c>
      <c r="AM23" t="s">
        <v>14</v>
      </c>
      <c r="AN23">
        <v>38</v>
      </c>
      <c r="AO23">
        <v>44.2</v>
      </c>
      <c r="AP23">
        <v>39.1</v>
      </c>
      <c r="AR23" t="s">
        <v>14</v>
      </c>
      <c r="AS23">
        <v>43.1</v>
      </c>
      <c r="AT23">
        <v>39.200000000000003</v>
      </c>
      <c r="AV23" s="4">
        <f t="shared" si="0"/>
        <v>38.466666666666669</v>
      </c>
      <c r="AW23" s="4">
        <f t="shared" si="1"/>
        <v>44.4</v>
      </c>
      <c r="AX23" s="4">
        <f t="shared" si="2"/>
        <v>40.525000000000006</v>
      </c>
      <c r="AY23" t="str">
        <f t="shared" si="3"/>
        <v>Turkey</v>
      </c>
      <c r="AZ23" s="7">
        <f t="shared" si="4"/>
        <v>0.6810610152440858</v>
      </c>
      <c r="BB23" t="s">
        <v>14</v>
      </c>
      <c r="BC23" s="4">
        <v>-0.30428492857358325</v>
      </c>
    </row>
    <row r="24" spans="1:55" x14ac:dyDescent="0.2">
      <c r="A24" t="s">
        <v>58</v>
      </c>
      <c r="B24">
        <v>29</v>
      </c>
      <c r="C24">
        <v>24.2</v>
      </c>
      <c r="D24">
        <v>17.399999999999999</v>
      </c>
      <c r="E24">
        <v>12.9</v>
      </c>
      <c r="F24">
        <v>11.2</v>
      </c>
      <c r="G24">
        <v>11.8</v>
      </c>
      <c r="H24">
        <v>20</v>
      </c>
      <c r="I24" t="s">
        <v>57</v>
      </c>
      <c r="J24" t="s">
        <v>141</v>
      </c>
      <c r="L24" t="s">
        <v>58</v>
      </c>
      <c r="M24">
        <v>29.3</v>
      </c>
      <c r="N24">
        <v>26.1</v>
      </c>
      <c r="O24">
        <v>25.7</v>
      </c>
      <c r="P24">
        <v>21</v>
      </c>
      <c r="Q24">
        <v>16</v>
      </c>
      <c r="R24">
        <v>13.6</v>
      </c>
      <c r="S24">
        <v>13.5</v>
      </c>
      <c r="T24">
        <v>22.8</v>
      </c>
      <c r="U24">
        <v>36.299999999999997</v>
      </c>
      <c r="V24" t="s">
        <v>141</v>
      </c>
      <c r="X24" t="s">
        <v>58</v>
      </c>
      <c r="Y24">
        <v>51.2</v>
      </c>
      <c r="Z24">
        <v>58.1</v>
      </c>
      <c r="AA24">
        <v>57.9</v>
      </c>
      <c r="AB24">
        <v>72</v>
      </c>
      <c r="AC24">
        <v>75.599999999999994</v>
      </c>
      <c r="AD24" t="s">
        <v>141</v>
      </c>
      <c r="AF24" t="s">
        <v>58</v>
      </c>
      <c r="AH24">
        <v>57</v>
      </c>
      <c r="AI24">
        <v>96.2</v>
      </c>
      <c r="AJ24">
        <v>99.2</v>
      </c>
      <c r="AM24" t="s">
        <v>58</v>
      </c>
      <c r="AO24">
        <v>91.8</v>
      </c>
      <c r="AP24">
        <v>84.9</v>
      </c>
      <c r="AR24" t="s">
        <v>58</v>
      </c>
      <c r="AS24">
        <v>86.3</v>
      </c>
      <c r="AT24">
        <v>77.2</v>
      </c>
      <c r="AV24" s="4">
        <f t="shared" si="0"/>
        <v>57.45</v>
      </c>
      <c r="AW24" s="4">
        <f t="shared" si="1"/>
        <v>86.575000000000003</v>
      </c>
      <c r="AX24" s="4">
        <f t="shared" si="2"/>
        <v>84.225000000000009</v>
      </c>
      <c r="AY24" t="str">
        <f t="shared" si="3"/>
        <v>Ukraine</v>
      </c>
      <c r="AZ24" s="7">
        <f t="shared" si="4"/>
        <v>2.3697059154521165</v>
      </c>
      <c r="BB24" t="s">
        <v>58</v>
      </c>
      <c r="BC24" s="4">
        <v>1.6147624048822526</v>
      </c>
    </row>
    <row r="25" spans="1:55" x14ac:dyDescent="0.2">
      <c r="A25" t="s">
        <v>72</v>
      </c>
      <c r="L25" t="s">
        <v>72</v>
      </c>
      <c r="X25" t="s">
        <v>72</v>
      </c>
      <c r="AF25" t="s">
        <v>72</v>
      </c>
      <c r="AM25" t="s">
        <v>72</v>
      </c>
      <c r="AN25">
        <v>37.299999999999997</v>
      </c>
      <c r="AO25">
        <v>37.4</v>
      </c>
      <c r="AP25">
        <v>35.799999999999997</v>
      </c>
      <c r="AR25" t="s">
        <v>72</v>
      </c>
      <c r="AV25" s="4">
        <f t="shared" si="0"/>
        <v>37.299999999999997</v>
      </c>
      <c r="AW25" s="4">
        <f t="shared" si="1"/>
        <v>37.4</v>
      </c>
      <c r="AX25" s="4">
        <f t="shared" si="2"/>
        <v>35.799999999999997</v>
      </c>
      <c r="AY25" t="str">
        <f t="shared" si="3"/>
        <v>Uruguay</v>
      </c>
      <c r="AZ25" s="7">
        <f t="shared" si="4"/>
        <v>0.49847870051907534</v>
      </c>
      <c r="BB25" t="s">
        <v>72</v>
      </c>
      <c r="BC25" s="4">
        <v>-0.21316176494331213</v>
      </c>
    </row>
    <row r="26" spans="1:55" x14ac:dyDescent="0.2">
      <c r="A26" t="s">
        <v>12</v>
      </c>
      <c r="B26">
        <v>47.7</v>
      </c>
      <c r="C26">
        <v>38.200000000000003</v>
      </c>
      <c r="D26">
        <v>32.5</v>
      </c>
      <c r="E26">
        <v>23.9</v>
      </c>
      <c r="F26">
        <v>19.3</v>
      </c>
      <c r="G26">
        <v>13.8</v>
      </c>
      <c r="H26">
        <v>14.8</v>
      </c>
      <c r="I26">
        <v>18</v>
      </c>
      <c r="J26" t="s">
        <v>141</v>
      </c>
      <c r="L26" t="s">
        <v>12</v>
      </c>
      <c r="M26">
        <v>36.200000000000003</v>
      </c>
      <c r="N26">
        <v>47.3</v>
      </c>
      <c r="O26">
        <v>37.9</v>
      </c>
      <c r="P26">
        <v>32.5</v>
      </c>
      <c r="Q26">
        <v>23.9</v>
      </c>
      <c r="R26">
        <v>19.3</v>
      </c>
      <c r="S26">
        <v>13.9</v>
      </c>
      <c r="T26">
        <v>15.2</v>
      </c>
      <c r="U26">
        <v>18.600000000000001</v>
      </c>
      <c r="V26" t="s">
        <v>141</v>
      </c>
      <c r="X26" t="s">
        <v>12</v>
      </c>
      <c r="Y26">
        <v>24.4</v>
      </c>
      <c r="Z26">
        <v>23.2</v>
      </c>
      <c r="AA26">
        <v>14.8</v>
      </c>
      <c r="AB26">
        <v>12.6</v>
      </c>
      <c r="AC26">
        <v>25.8</v>
      </c>
      <c r="AD26" t="s">
        <v>141</v>
      </c>
      <c r="AF26" t="s">
        <v>12</v>
      </c>
      <c r="AH26">
        <v>18.2</v>
      </c>
      <c r="AI26">
        <v>19.7</v>
      </c>
      <c r="AJ26">
        <v>19.600000000000001</v>
      </c>
      <c r="AM26" t="s">
        <v>12</v>
      </c>
      <c r="AN26">
        <v>19.100000000000001</v>
      </c>
      <c r="AO26">
        <v>16.399999999999999</v>
      </c>
      <c r="AP26">
        <v>12</v>
      </c>
      <c r="AR26" t="s">
        <v>12</v>
      </c>
      <c r="AS26">
        <v>46</v>
      </c>
      <c r="AT26">
        <v>34.299999999999997</v>
      </c>
      <c r="AV26" s="4">
        <f t="shared" si="0"/>
        <v>17.366666666666667</v>
      </c>
      <c r="AW26" s="4">
        <f t="shared" si="1"/>
        <v>23.674999999999997</v>
      </c>
      <c r="AX26" s="4">
        <f t="shared" si="2"/>
        <v>22.925000000000001</v>
      </c>
      <c r="AY26" t="str">
        <f t="shared" si="3"/>
        <v>Venezuela</v>
      </c>
      <c r="AZ26" s="7">
        <f t="shared" si="4"/>
        <v>9.6604399325410449E-4</v>
      </c>
      <c r="BB26" t="s">
        <v>12</v>
      </c>
      <c r="BC26" s="4">
        <v>2.7913411716644241</v>
      </c>
    </row>
    <row r="27" spans="1:55" x14ac:dyDescent="0.2">
      <c r="A27" t="s">
        <v>64</v>
      </c>
      <c r="L27" t="s">
        <v>64</v>
      </c>
      <c r="M27">
        <v>32.299999999999997</v>
      </c>
      <c r="N27">
        <v>36.6</v>
      </c>
      <c r="O27">
        <v>33.9</v>
      </c>
      <c r="P27">
        <v>35.700000000000003</v>
      </c>
      <c r="Q27">
        <v>33.9</v>
      </c>
      <c r="R27">
        <v>32</v>
      </c>
      <c r="S27">
        <v>31.9</v>
      </c>
      <c r="T27">
        <v>34.700000000000003</v>
      </c>
      <c r="U27">
        <v>38</v>
      </c>
      <c r="V27" t="s">
        <v>141</v>
      </c>
      <c r="X27" t="s">
        <v>64</v>
      </c>
      <c r="Y27">
        <v>25.7</v>
      </c>
      <c r="Z27">
        <v>27.1</v>
      </c>
      <c r="AA27">
        <v>23</v>
      </c>
      <c r="AB27">
        <v>24.3</v>
      </c>
      <c r="AC27">
        <v>25</v>
      </c>
      <c r="AD27" t="s">
        <v>142</v>
      </c>
      <c r="AF27" t="s">
        <v>64</v>
      </c>
      <c r="AG27">
        <v>27.1</v>
      </c>
      <c r="AH27">
        <v>27.4</v>
      </c>
      <c r="AI27">
        <v>24.8</v>
      </c>
      <c r="AJ27">
        <v>23.4</v>
      </c>
      <c r="AM27" t="s">
        <v>64</v>
      </c>
      <c r="AR27" t="s">
        <v>64</v>
      </c>
      <c r="AS27">
        <v>32.6</v>
      </c>
      <c r="AT27">
        <v>33.4</v>
      </c>
      <c r="AV27" s="4">
        <f t="shared" si="0"/>
        <v>25.2</v>
      </c>
      <c r="AW27" s="4">
        <f t="shared" si="1"/>
        <v>27.233333333333334</v>
      </c>
      <c r="AX27" s="4">
        <f t="shared" si="2"/>
        <v>27.266666666666666</v>
      </c>
      <c r="AY27" t="str">
        <f t="shared" si="3"/>
        <v>Vietnam</v>
      </c>
      <c r="AZ27" s="7">
        <f t="shared" si="4"/>
        <v>0.16873568415503587</v>
      </c>
      <c r="BB27" t="s">
        <v>64</v>
      </c>
      <c r="BC27" s="4">
        <v>5.7294950964443578E-2</v>
      </c>
    </row>
    <row r="28" spans="1:55" x14ac:dyDescent="0.2">
      <c r="AV28" s="4"/>
      <c r="AW28" s="4"/>
      <c r="AX28" s="4"/>
      <c r="BC28" s="4"/>
    </row>
    <row r="29" spans="1:55" x14ac:dyDescent="0.2">
      <c r="L29" t="s">
        <v>82</v>
      </c>
      <c r="M29">
        <v>47.1</v>
      </c>
      <c r="N29">
        <v>43</v>
      </c>
      <c r="O29">
        <v>37.200000000000003</v>
      </c>
      <c r="P29">
        <v>30.4</v>
      </c>
      <c r="Q29">
        <v>24.9</v>
      </c>
      <c r="R29">
        <v>22</v>
      </c>
      <c r="S29">
        <v>21.6</v>
      </c>
      <c r="T29">
        <v>24.8</v>
      </c>
      <c r="U29">
        <v>32.200000000000003</v>
      </c>
      <c r="V29" t="s">
        <v>142</v>
      </c>
      <c r="X29" t="s">
        <v>147</v>
      </c>
      <c r="Y29">
        <v>18.3</v>
      </c>
      <c r="Z29">
        <v>18.8</v>
      </c>
      <c r="AA29">
        <v>17.7</v>
      </c>
      <c r="AB29">
        <v>18.2</v>
      </c>
      <c r="AC29">
        <v>15.2</v>
      </c>
      <c r="AD29" t="s">
        <v>142</v>
      </c>
      <c r="AF29" t="s">
        <v>147</v>
      </c>
      <c r="BC29" s="4"/>
    </row>
    <row r="30" spans="1:55" x14ac:dyDescent="0.2">
      <c r="L30" t="s">
        <v>87</v>
      </c>
      <c r="M30">
        <v>43.4</v>
      </c>
      <c r="N30">
        <v>42</v>
      </c>
      <c r="O30">
        <v>38.799999999999997</v>
      </c>
      <c r="P30">
        <v>35.6</v>
      </c>
      <c r="Q30">
        <v>32.700000000000003</v>
      </c>
      <c r="R30">
        <v>32.299999999999997</v>
      </c>
      <c r="S30">
        <v>31.2</v>
      </c>
      <c r="T30">
        <v>34.299999999999997</v>
      </c>
      <c r="U30">
        <v>35.299999999999997</v>
      </c>
      <c r="V30" t="s">
        <v>142</v>
      </c>
      <c r="X30" t="s">
        <v>82</v>
      </c>
      <c r="Y30">
        <v>36.1</v>
      </c>
      <c r="Z30">
        <v>39.200000000000003</v>
      </c>
      <c r="AA30">
        <v>34.299999999999997</v>
      </c>
      <c r="AB30">
        <v>40.200000000000003</v>
      </c>
      <c r="AC30">
        <v>41.3</v>
      </c>
      <c r="AD30" t="s">
        <v>142</v>
      </c>
      <c r="AF30" t="s">
        <v>124</v>
      </c>
      <c r="BC30" s="4"/>
    </row>
    <row r="31" spans="1:55" x14ac:dyDescent="0.2">
      <c r="L31" t="s">
        <v>83</v>
      </c>
      <c r="M31">
        <v>57.5</v>
      </c>
      <c r="N31">
        <v>57.5</v>
      </c>
      <c r="O31">
        <v>51.5</v>
      </c>
      <c r="P31">
        <v>47.5</v>
      </c>
      <c r="Q31">
        <v>44.9</v>
      </c>
      <c r="R31">
        <v>43.3</v>
      </c>
      <c r="S31">
        <v>43.2</v>
      </c>
      <c r="T31">
        <v>47.1</v>
      </c>
      <c r="U31">
        <v>46</v>
      </c>
      <c r="V31" t="s">
        <v>142</v>
      </c>
      <c r="X31" t="s">
        <v>83</v>
      </c>
      <c r="Y31">
        <v>23.4</v>
      </c>
      <c r="Z31">
        <v>22.6</v>
      </c>
      <c r="AA31">
        <v>20.3</v>
      </c>
      <c r="AB31">
        <v>22.5</v>
      </c>
      <c r="AC31">
        <v>19.600000000000001</v>
      </c>
      <c r="AD31" t="s">
        <v>142</v>
      </c>
      <c r="AF31" t="s">
        <v>83</v>
      </c>
      <c r="BC31" s="4"/>
    </row>
    <row r="32" spans="1:55" x14ac:dyDescent="0.2">
      <c r="L32" t="s">
        <v>86</v>
      </c>
      <c r="M32">
        <v>34.799999999999997</v>
      </c>
      <c r="N32">
        <v>34.4</v>
      </c>
      <c r="O32">
        <v>33.9</v>
      </c>
      <c r="P32">
        <v>33.200000000000003</v>
      </c>
      <c r="Q32">
        <v>31.5</v>
      </c>
      <c r="R32">
        <v>33.200000000000003</v>
      </c>
      <c r="S32">
        <v>31.2</v>
      </c>
      <c r="T32">
        <v>33.799999999999997</v>
      </c>
      <c r="U32">
        <v>32.5</v>
      </c>
      <c r="V32" t="s">
        <v>142</v>
      </c>
      <c r="X32" t="s">
        <v>87</v>
      </c>
      <c r="Y32">
        <v>24.4</v>
      </c>
      <c r="Z32">
        <v>25.4</v>
      </c>
      <c r="AA32">
        <v>23</v>
      </c>
      <c r="AB32">
        <v>25.3</v>
      </c>
      <c r="AC32">
        <v>22.9</v>
      </c>
      <c r="AD32" t="s">
        <v>157</v>
      </c>
      <c r="AX32">
        <v>22.9</v>
      </c>
      <c r="BC32" s="4"/>
    </row>
    <row r="33" spans="1:55" x14ac:dyDescent="0.2">
      <c r="AX33" s="4">
        <f>STDEV(AX3:AX27)</f>
        <v>25.878738623269125</v>
      </c>
      <c r="BC33" s="4"/>
    </row>
    <row r="34" spans="1:55" x14ac:dyDescent="0.2">
      <c r="A34" t="s">
        <v>34</v>
      </c>
      <c r="B34">
        <v>60.2</v>
      </c>
      <c r="C34">
        <v>43.6</v>
      </c>
      <c r="D34">
        <v>20.6</v>
      </c>
      <c r="E34">
        <v>10</v>
      </c>
      <c r="F34">
        <v>0</v>
      </c>
      <c r="G34">
        <v>0</v>
      </c>
      <c r="H34">
        <v>0</v>
      </c>
      <c r="I34">
        <v>2</v>
      </c>
      <c r="BC34" s="4"/>
    </row>
    <row r="35" spans="1:55" x14ac:dyDescent="0.2">
      <c r="A35" t="s">
        <v>35</v>
      </c>
      <c r="B35">
        <v>65</v>
      </c>
      <c r="C35">
        <v>61.9</v>
      </c>
      <c r="D35">
        <v>58.5</v>
      </c>
      <c r="E35">
        <v>56</v>
      </c>
      <c r="F35">
        <v>54</v>
      </c>
      <c r="G35">
        <v>52</v>
      </c>
      <c r="H35" t="s">
        <v>57</v>
      </c>
      <c r="I35" t="s">
        <v>57</v>
      </c>
      <c r="BC35" s="4"/>
    </row>
    <row r="36" spans="1:55" x14ac:dyDescent="0.2">
      <c r="A36" t="s">
        <v>55</v>
      </c>
      <c r="B36">
        <v>30.1</v>
      </c>
      <c r="C36">
        <v>30.7</v>
      </c>
      <c r="D36">
        <v>30.4</v>
      </c>
      <c r="E36">
        <v>30.4</v>
      </c>
      <c r="F36">
        <v>28.9</v>
      </c>
      <c r="G36">
        <v>29.8</v>
      </c>
      <c r="H36">
        <v>34.799999999999997</v>
      </c>
      <c r="I36">
        <v>39.9</v>
      </c>
      <c r="AF36" t="s">
        <v>116</v>
      </c>
      <c r="AG36">
        <v>40.1</v>
      </c>
      <c r="AH36">
        <v>22.1</v>
      </c>
      <c r="AI36">
        <v>29.3</v>
      </c>
      <c r="AJ36">
        <v>26</v>
      </c>
      <c r="BC36" s="4"/>
    </row>
    <row r="37" spans="1:55" x14ac:dyDescent="0.2">
      <c r="A37" t="s">
        <v>38</v>
      </c>
      <c r="B37">
        <v>45.8</v>
      </c>
      <c r="C37">
        <v>43.8</v>
      </c>
      <c r="D37">
        <v>36.4</v>
      </c>
      <c r="E37">
        <v>30.5</v>
      </c>
      <c r="F37">
        <v>26.2</v>
      </c>
      <c r="G37">
        <v>23.3</v>
      </c>
      <c r="H37">
        <v>25.1</v>
      </c>
      <c r="I37">
        <v>28.1</v>
      </c>
      <c r="L37" t="s">
        <v>55</v>
      </c>
      <c r="M37">
        <v>28.5</v>
      </c>
      <c r="N37">
        <v>30.1</v>
      </c>
      <c r="O37">
        <v>30.4</v>
      </c>
      <c r="P37">
        <v>30.2</v>
      </c>
      <c r="Q37">
        <v>30.1</v>
      </c>
      <c r="R37">
        <v>28.9</v>
      </c>
      <c r="S37">
        <v>29.8</v>
      </c>
      <c r="T37">
        <v>35.1</v>
      </c>
      <c r="U37">
        <v>38.700000000000003</v>
      </c>
      <c r="AF37" t="s">
        <v>1</v>
      </c>
      <c r="AG37">
        <v>20.2</v>
      </c>
      <c r="AH37">
        <v>19.7</v>
      </c>
      <c r="AI37">
        <v>22.3</v>
      </c>
      <c r="AJ37">
        <v>22.4</v>
      </c>
      <c r="BC37" s="4"/>
    </row>
    <row r="38" spans="1:55" x14ac:dyDescent="0.2">
      <c r="A38" t="s">
        <v>40</v>
      </c>
      <c r="B38">
        <v>69.099999999999994</v>
      </c>
      <c r="C38">
        <v>69.5</v>
      </c>
      <c r="D38">
        <v>70</v>
      </c>
      <c r="E38">
        <v>68.3</v>
      </c>
      <c r="F38">
        <v>66</v>
      </c>
      <c r="G38">
        <v>69.3</v>
      </c>
      <c r="H38">
        <v>79.3</v>
      </c>
      <c r="I38">
        <v>84.4</v>
      </c>
      <c r="L38" t="s">
        <v>62</v>
      </c>
      <c r="M38">
        <v>73.5</v>
      </c>
      <c r="N38">
        <v>68.599999999999994</v>
      </c>
      <c r="O38">
        <v>53.7</v>
      </c>
      <c r="P38">
        <v>34.5</v>
      </c>
      <c r="Q38">
        <v>11.9</v>
      </c>
      <c r="R38">
        <v>11.2</v>
      </c>
      <c r="S38">
        <v>12.8</v>
      </c>
      <c r="T38">
        <v>14.3</v>
      </c>
      <c r="U38">
        <v>14.6</v>
      </c>
      <c r="X38" t="s">
        <v>55</v>
      </c>
      <c r="Y38">
        <v>40.1</v>
      </c>
      <c r="Z38">
        <v>42.9</v>
      </c>
      <c r="AA38">
        <v>40.4</v>
      </c>
      <c r="AB38">
        <v>47.7</v>
      </c>
      <c r="AC38">
        <v>44.3</v>
      </c>
      <c r="AF38" t="s">
        <v>6</v>
      </c>
      <c r="AG38">
        <v>39.5</v>
      </c>
      <c r="AH38">
        <v>40.200000000000003</v>
      </c>
      <c r="AI38">
        <v>45</v>
      </c>
      <c r="AJ38">
        <v>36.6</v>
      </c>
      <c r="BC38" s="4"/>
    </row>
    <row r="39" spans="1:55" x14ac:dyDescent="0.2">
      <c r="A39" t="s">
        <v>41</v>
      </c>
      <c r="B39">
        <v>62.9</v>
      </c>
      <c r="C39">
        <v>65</v>
      </c>
      <c r="D39">
        <v>66.400000000000006</v>
      </c>
      <c r="E39">
        <v>63.6</v>
      </c>
      <c r="F39">
        <v>63.9</v>
      </c>
      <c r="G39">
        <v>68.099999999999994</v>
      </c>
      <c r="H39">
        <v>76.3</v>
      </c>
      <c r="I39">
        <v>83.5</v>
      </c>
      <c r="L39" t="s">
        <v>84</v>
      </c>
      <c r="M39">
        <v>87.5</v>
      </c>
      <c r="N39">
        <v>84</v>
      </c>
      <c r="O39">
        <v>65.400000000000006</v>
      </c>
      <c r="P39">
        <v>40.200000000000003</v>
      </c>
      <c r="Q39">
        <v>27.4</v>
      </c>
      <c r="R39">
        <v>18.600000000000001</v>
      </c>
      <c r="S39">
        <v>13.7</v>
      </c>
      <c r="T39">
        <v>17.8</v>
      </c>
      <c r="U39">
        <v>12.6</v>
      </c>
      <c r="X39" t="s">
        <v>21</v>
      </c>
      <c r="Y39">
        <v>28.5</v>
      </c>
      <c r="Z39">
        <v>41.3</v>
      </c>
      <c r="AA39">
        <v>23.3</v>
      </c>
      <c r="AB39">
        <v>22.3</v>
      </c>
      <c r="AC39">
        <v>21.2</v>
      </c>
      <c r="AF39" t="s">
        <v>5</v>
      </c>
      <c r="AG39" t="s">
        <v>120</v>
      </c>
      <c r="AH39" t="s">
        <v>120</v>
      </c>
      <c r="AI39" t="s">
        <v>120</v>
      </c>
      <c r="AJ39" t="s">
        <v>120</v>
      </c>
      <c r="BC39" s="4"/>
    </row>
    <row r="40" spans="1:55" x14ac:dyDescent="0.2">
      <c r="A40" t="s">
        <v>42</v>
      </c>
      <c r="B40">
        <v>63.7</v>
      </c>
      <c r="C40">
        <v>65.900000000000006</v>
      </c>
      <c r="D40">
        <v>68</v>
      </c>
      <c r="E40">
        <v>67.599999999999994</v>
      </c>
      <c r="F40">
        <v>65</v>
      </c>
      <c r="G40">
        <v>66</v>
      </c>
      <c r="H40">
        <v>75.099999999999994</v>
      </c>
      <c r="I40">
        <v>79</v>
      </c>
      <c r="L40" t="s">
        <v>85</v>
      </c>
      <c r="M40">
        <v>5.3</v>
      </c>
      <c r="N40">
        <v>6.6</v>
      </c>
      <c r="O40">
        <v>8.4</v>
      </c>
      <c r="P40">
        <v>9.3000000000000007</v>
      </c>
      <c r="Q40">
        <v>10.1</v>
      </c>
      <c r="R40">
        <v>10.3</v>
      </c>
      <c r="S40">
        <v>10.5</v>
      </c>
      <c r="T40">
        <v>14</v>
      </c>
      <c r="U40">
        <v>14.5</v>
      </c>
      <c r="X40" t="s">
        <v>1</v>
      </c>
      <c r="Y40">
        <v>18.600000000000001</v>
      </c>
      <c r="Z40">
        <v>18.8</v>
      </c>
      <c r="AA40">
        <v>20.2</v>
      </c>
      <c r="AB40">
        <v>19.3</v>
      </c>
      <c r="AC40">
        <v>16.2</v>
      </c>
      <c r="AF40" t="s">
        <v>7</v>
      </c>
      <c r="AG40">
        <v>24.5</v>
      </c>
      <c r="AH40">
        <v>23</v>
      </c>
      <c r="AI40">
        <v>34.299999999999997</v>
      </c>
      <c r="AJ40">
        <v>32.299999999999997</v>
      </c>
      <c r="BC40" s="4"/>
    </row>
    <row r="41" spans="1:55" x14ac:dyDescent="0.2">
      <c r="A41" t="s">
        <v>44</v>
      </c>
      <c r="B41">
        <v>105.7</v>
      </c>
      <c r="C41">
        <v>104.4</v>
      </c>
      <c r="D41">
        <v>103.8</v>
      </c>
      <c r="E41">
        <v>105.8</v>
      </c>
      <c r="F41">
        <v>106.5</v>
      </c>
      <c r="G41">
        <v>103.5</v>
      </c>
      <c r="H41">
        <v>105.8</v>
      </c>
      <c r="I41">
        <v>114.6</v>
      </c>
      <c r="L41" t="s">
        <v>21</v>
      </c>
      <c r="M41">
        <v>0.1</v>
      </c>
      <c r="N41">
        <v>0.3</v>
      </c>
      <c r="O41">
        <v>2.4</v>
      </c>
      <c r="P41">
        <v>2.2000000000000002</v>
      </c>
      <c r="Q41">
        <v>1.8</v>
      </c>
      <c r="R41">
        <v>1.5</v>
      </c>
      <c r="S41">
        <v>1.3</v>
      </c>
      <c r="T41">
        <v>3.3</v>
      </c>
      <c r="U41">
        <v>2</v>
      </c>
      <c r="X41" t="s">
        <v>6</v>
      </c>
      <c r="Y41">
        <v>27.3</v>
      </c>
      <c r="Z41">
        <v>36.5</v>
      </c>
      <c r="AA41">
        <v>40.799999999999997</v>
      </c>
      <c r="AB41">
        <v>45.9</v>
      </c>
      <c r="AC41">
        <v>40.9</v>
      </c>
      <c r="AF41" t="s">
        <v>8</v>
      </c>
      <c r="AG41">
        <v>26.1</v>
      </c>
      <c r="AH41">
        <v>23.7</v>
      </c>
      <c r="AI41">
        <v>21.4</v>
      </c>
      <c r="AJ41">
        <v>22.5</v>
      </c>
      <c r="BC41" s="4"/>
    </row>
    <row r="42" spans="1:55" x14ac:dyDescent="0.2">
      <c r="A42" t="s">
        <v>17</v>
      </c>
      <c r="B42">
        <v>166</v>
      </c>
      <c r="C42">
        <v>178</v>
      </c>
      <c r="D42">
        <v>191.1</v>
      </c>
      <c r="E42">
        <v>190</v>
      </c>
      <c r="F42">
        <v>187.7</v>
      </c>
      <c r="G42">
        <v>195.9</v>
      </c>
      <c r="H42">
        <v>212.2</v>
      </c>
      <c r="I42">
        <v>221.2</v>
      </c>
      <c r="L42" t="s">
        <v>1</v>
      </c>
      <c r="M42">
        <v>80.3</v>
      </c>
      <c r="N42">
        <v>81.400000000000006</v>
      </c>
      <c r="O42">
        <v>81.3</v>
      </c>
      <c r="P42">
        <v>80.3</v>
      </c>
      <c r="Q42">
        <v>77.3</v>
      </c>
      <c r="R42">
        <v>76.8</v>
      </c>
      <c r="S42">
        <v>75</v>
      </c>
      <c r="T42">
        <v>77</v>
      </c>
      <c r="U42">
        <v>74.5</v>
      </c>
      <c r="X42" t="s">
        <v>62</v>
      </c>
      <c r="Y42">
        <v>2.6</v>
      </c>
      <c r="Z42">
        <v>2.6</v>
      </c>
      <c r="AA42">
        <v>2.2000000000000002</v>
      </c>
      <c r="AB42">
        <v>3.1</v>
      </c>
      <c r="AC42">
        <v>2.7</v>
      </c>
    </row>
    <row r="43" spans="1:55" x14ac:dyDescent="0.2">
      <c r="A43" t="s">
        <v>46</v>
      </c>
      <c r="B43">
        <v>52</v>
      </c>
      <c r="C43">
        <v>52.4</v>
      </c>
      <c r="D43">
        <v>51.8</v>
      </c>
      <c r="E43">
        <v>47.4</v>
      </c>
      <c r="F43">
        <v>45.6</v>
      </c>
      <c r="G43">
        <v>44.2</v>
      </c>
      <c r="H43">
        <v>46.7</v>
      </c>
      <c r="I43">
        <v>47.4</v>
      </c>
      <c r="L43" t="s">
        <v>6</v>
      </c>
      <c r="M43">
        <v>19.7</v>
      </c>
      <c r="N43">
        <v>21.4</v>
      </c>
      <c r="O43">
        <v>25.3</v>
      </c>
      <c r="P43">
        <v>29.8</v>
      </c>
      <c r="Q43">
        <v>33.799999999999997</v>
      </c>
      <c r="R43">
        <v>36.299999999999997</v>
      </c>
      <c r="S43">
        <v>36.299999999999997</v>
      </c>
      <c r="T43">
        <v>41.7</v>
      </c>
      <c r="U43">
        <v>39.299999999999997</v>
      </c>
      <c r="X43" t="s">
        <v>84</v>
      </c>
      <c r="Y43">
        <v>9.1999999999999993</v>
      </c>
      <c r="Z43">
        <v>8.6</v>
      </c>
      <c r="AA43">
        <v>6.7</v>
      </c>
      <c r="AB43">
        <v>8.1999999999999993</v>
      </c>
      <c r="AC43">
        <v>18</v>
      </c>
      <c r="AF43" t="s">
        <v>55</v>
      </c>
      <c r="AG43">
        <v>40.1</v>
      </c>
      <c r="AH43">
        <v>42</v>
      </c>
      <c r="AI43">
        <v>42.5</v>
      </c>
      <c r="AJ43">
        <v>39.700000000000003</v>
      </c>
    </row>
    <row r="44" spans="1:55" x14ac:dyDescent="0.2">
      <c r="A44" t="s">
        <v>59</v>
      </c>
      <c r="B44">
        <v>27.6</v>
      </c>
      <c r="C44">
        <v>25.2</v>
      </c>
      <c r="D44">
        <v>23.3</v>
      </c>
      <c r="E44">
        <v>21.4</v>
      </c>
      <c r="F44">
        <v>18.2</v>
      </c>
      <c r="G44">
        <v>17.399999999999999</v>
      </c>
      <c r="H44">
        <v>27.5</v>
      </c>
      <c r="I44">
        <v>28.4</v>
      </c>
      <c r="L44" t="s">
        <v>5</v>
      </c>
      <c r="M44" t="s">
        <v>96</v>
      </c>
      <c r="N44" t="s">
        <v>96</v>
      </c>
      <c r="O44" t="s">
        <v>96</v>
      </c>
      <c r="P44" t="s">
        <v>96</v>
      </c>
      <c r="Q44" t="s">
        <v>96</v>
      </c>
      <c r="R44" t="s">
        <v>96</v>
      </c>
      <c r="S44" t="s">
        <v>96</v>
      </c>
      <c r="T44" t="s">
        <v>96</v>
      </c>
      <c r="U44" t="s">
        <v>96</v>
      </c>
      <c r="X44" t="s">
        <v>5</v>
      </c>
      <c r="Y44" t="s">
        <v>96</v>
      </c>
      <c r="Z44" t="s">
        <v>96</v>
      </c>
      <c r="AA44" t="s">
        <v>96</v>
      </c>
      <c r="AB44" t="s">
        <v>96</v>
      </c>
      <c r="AC44" t="s">
        <v>96</v>
      </c>
      <c r="AF44" t="s">
        <v>73</v>
      </c>
      <c r="AG44">
        <v>47.3</v>
      </c>
      <c r="AH44">
        <v>53.4</v>
      </c>
      <c r="AI44">
        <v>63.5</v>
      </c>
      <c r="AJ44">
        <v>58.1</v>
      </c>
    </row>
    <row r="45" spans="1:55" x14ac:dyDescent="0.2">
      <c r="A45" t="s">
        <v>49</v>
      </c>
      <c r="B45">
        <v>48.7</v>
      </c>
      <c r="C45">
        <v>46.2</v>
      </c>
      <c r="D45">
        <v>43</v>
      </c>
      <c r="E45">
        <v>39.6</v>
      </c>
      <c r="F45">
        <v>36.200000000000003</v>
      </c>
      <c r="G45">
        <v>39.5</v>
      </c>
      <c r="H45">
        <v>54.6</v>
      </c>
      <c r="I45">
        <v>63.4</v>
      </c>
      <c r="L45" t="s">
        <v>7</v>
      </c>
      <c r="M45">
        <v>45</v>
      </c>
      <c r="N45">
        <v>47.3</v>
      </c>
      <c r="O45">
        <v>48.7</v>
      </c>
      <c r="P45">
        <v>51.9</v>
      </c>
      <c r="Q45">
        <v>49.2</v>
      </c>
      <c r="R45">
        <v>44.4</v>
      </c>
      <c r="S45">
        <v>44.8</v>
      </c>
      <c r="T45">
        <v>52.4</v>
      </c>
      <c r="U45">
        <v>48</v>
      </c>
      <c r="X45" t="s">
        <v>7</v>
      </c>
      <c r="Y45">
        <v>23.4</v>
      </c>
      <c r="Z45">
        <v>24.6</v>
      </c>
      <c r="AA45">
        <v>23.1</v>
      </c>
      <c r="AB45">
        <v>27.6</v>
      </c>
      <c r="AC45">
        <v>24</v>
      </c>
    </row>
    <row r="46" spans="1:55" x14ac:dyDescent="0.2">
      <c r="A46" t="s">
        <v>22</v>
      </c>
      <c r="B46">
        <v>22.9</v>
      </c>
      <c r="C46">
        <v>26.1</v>
      </c>
      <c r="D46">
        <v>30.6</v>
      </c>
      <c r="E46">
        <v>32.200000000000003</v>
      </c>
      <c r="F46">
        <v>29.7</v>
      </c>
      <c r="G46">
        <v>29.1</v>
      </c>
      <c r="H46">
        <v>34.700000000000003</v>
      </c>
      <c r="I46">
        <v>36.9</v>
      </c>
      <c r="L46" t="s">
        <v>8</v>
      </c>
      <c r="M46">
        <v>53.8</v>
      </c>
      <c r="N46">
        <v>49</v>
      </c>
      <c r="O46">
        <v>48</v>
      </c>
      <c r="P46">
        <v>46.4</v>
      </c>
      <c r="Q46">
        <v>40.4</v>
      </c>
      <c r="R46">
        <v>38.700000000000003</v>
      </c>
      <c r="S46">
        <v>38.1</v>
      </c>
      <c r="T46">
        <v>47.3</v>
      </c>
      <c r="U46">
        <v>45.6</v>
      </c>
      <c r="X46" t="s">
        <v>8</v>
      </c>
      <c r="Y46">
        <v>28.6</v>
      </c>
      <c r="Z46">
        <v>25.1</v>
      </c>
      <c r="AA46">
        <v>23.7</v>
      </c>
      <c r="AB46">
        <v>27.4</v>
      </c>
      <c r="AC46">
        <v>22.4</v>
      </c>
    </row>
    <row r="47" spans="1:55" x14ac:dyDescent="0.2">
      <c r="A47" t="s">
        <v>50</v>
      </c>
      <c r="B47">
        <v>48.9</v>
      </c>
      <c r="C47">
        <v>47.9</v>
      </c>
      <c r="D47">
        <v>47.9</v>
      </c>
      <c r="E47">
        <v>43.8</v>
      </c>
      <c r="F47">
        <v>38.1</v>
      </c>
      <c r="G47">
        <v>38</v>
      </c>
      <c r="H47">
        <v>43.4</v>
      </c>
      <c r="I47">
        <v>33.9</v>
      </c>
      <c r="X47" t="s">
        <v>85</v>
      </c>
      <c r="Y47">
        <v>45.1</v>
      </c>
      <c r="Z47">
        <v>48.5</v>
      </c>
      <c r="AA47">
        <v>49</v>
      </c>
      <c r="AB47">
        <v>65</v>
      </c>
      <c r="AC47">
        <v>69.5</v>
      </c>
    </row>
    <row r="48" spans="1:55" x14ac:dyDescent="0.2">
      <c r="A48" t="s">
        <v>51</v>
      </c>
      <c r="B48">
        <v>27.3</v>
      </c>
      <c r="C48">
        <v>27.7</v>
      </c>
      <c r="D48">
        <v>28.1</v>
      </c>
      <c r="E48">
        <v>25.4</v>
      </c>
      <c r="F48">
        <v>23.6</v>
      </c>
      <c r="G48">
        <v>22.7</v>
      </c>
      <c r="H48">
        <v>23.1</v>
      </c>
      <c r="I48">
        <v>22.8</v>
      </c>
    </row>
    <row r="49" spans="1:9" x14ac:dyDescent="0.2">
      <c r="A49" t="s">
        <v>7</v>
      </c>
      <c r="B49">
        <v>48.7</v>
      </c>
      <c r="C49">
        <v>49.7</v>
      </c>
      <c r="D49">
        <v>48.7</v>
      </c>
      <c r="E49">
        <v>46.2</v>
      </c>
      <c r="F49">
        <v>43.7</v>
      </c>
      <c r="G49">
        <v>47.6</v>
      </c>
      <c r="H49">
        <v>53.5</v>
      </c>
      <c r="I49">
        <v>53.7</v>
      </c>
    </row>
    <row r="50" spans="1:9" x14ac:dyDescent="0.2">
      <c r="A50" t="s">
        <v>8</v>
      </c>
      <c r="B50">
        <v>50.5</v>
      </c>
      <c r="C50">
        <v>48</v>
      </c>
      <c r="D50">
        <v>46.4</v>
      </c>
      <c r="E50">
        <v>40.4</v>
      </c>
      <c r="F50">
        <v>37.5</v>
      </c>
      <c r="G50">
        <v>37.4</v>
      </c>
      <c r="H50">
        <v>41.7</v>
      </c>
      <c r="I50">
        <v>42.7</v>
      </c>
    </row>
    <row r="51" spans="1:9" x14ac:dyDescent="0.2">
      <c r="A51" t="s">
        <v>52</v>
      </c>
      <c r="B51">
        <v>38.4</v>
      </c>
      <c r="C51">
        <v>40</v>
      </c>
      <c r="D51">
        <v>41.5</v>
      </c>
      <c r="E51">
        <v>42</v>
      </c>
      <c r="F51">
        <v>41.6</v>
      </c>
      <c r="G51">
        <v>44.8</v>
      </c>
      <c r="H51">
        <v>55</v>
      </c>
      <c r="I51">
        <v>65.099999999999994</v>
      </c>
    </row>
    <row r="52" spans="1:9" x14ac:dyDescent="0.2">
      <c r="A52" t="s">
        <v>53</v>
      </c>
      <c r="B52">
        <v>58.4</v>
      </c>
      <c r="C52">
        <v>59.9</v>
      </c>
      <c r="D52">
        <v>60.3</v>
      </c>
      <c r="E52">
        <v>60</v>
      </c>
      <c r="F52">
        <v>59.7</v>
      </c>
      <c r="G52">
        <v>60.1</v>
      </c>
      <c r="H52" t="s">
        <v>57</v>
      </c>
      <c r="I52" t="s">
        <v>57</v>
      </c>
    </row>
    <row r="53" spans="1:9" x14ac:dyDescent="0.2">
      <c r="A53" t="s">
        <v>56</v>
      </c>
      <c r="B53">
        <v>67</v>
      </c>
      <c r="C53">
        <v>68.099999999999994</v>
      </c>
      <c r="D53">
        <v>68.400000000000006</v>
      </c>
      <c r="E53">
        <v>67.099999999999994</v>
      </c>
      <c r="F53">
        <v>70</v>
      </c>
      <c r="G53">
        <v>71.8</v>
      </c>
      <c r="H53" t="s">
        <v>57</v>
      </c>
      <c r="I53" t="s">
        <v>57</v>
      </c>
    </row>
  </sheetData>
  <phoneticPr fontId="3" type="noConversion"/>
  <pageMargins left="0.75" right="0.75" top="1" bottom="1" header="0.5" footer="0.5"/>
  <pageSetup scale="2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39"/>
  <sheetViews>
    <sheetView workbookViewId="0">
      <selection activeCell="A39" sqref="A39"/>
    </sheetView>
  </sheetViews>
  <sheetFormatPr defaultRowHeight="12.75" x14ac:dyDescent="0.2"/>
  <cols>
    <col min="1" max="1" width="17.5703125" customWidth="1"/>
  </cols>
  <sheetData>
    <row r="1" spans="1:5" x14ac:dyDescent="0.2">
      <c r="A1" s="5" t="s">
        <v>98</v>
      </c>
    </row>
    <row r="2" spans="1:5" x14ac:dyDescent="0.2">
      <c r="B2">
        <v>2007</v>
      </c>
      <c r="C2">
        <v>2008</v>
      </c>
      <c r="D2">
        <v>2009</v>
      </c>
      <c r="E2" s="5">
        <v>2010</v>
      </c>
    </row>
    <row r="3" spans="1:5" x14ac:dyDescent="0.2">
      <c r="A3" t="s">
        <v>83</v>
      </c>
      <c r="B3">
        <v>22.6</v>
      </c>
      <c r="C3">
        <v>22.9</v>
      </c>
      <c r="D3">
        <v>19.600000000000001</v>
      </c>
      <c r="E3">
        <v>20.6</v>
      </c>
    </row>
    <row r="4" spans="1:5" x14ac:dyDescent="0.2">
      <c r="A4" t="s">
        <v>10</v>
      </c>
      <c r="B4">
        <v>25.4</v>
      </c>
      <c r="C4">
        <v>25.5</v>
      </c>
      <c r="D4">
        <v>20.6</v>
      </c>
      <c r="E4">
        <v>24</v>
      </c>
    </row>
    <row r="5" spans="1:5" x14ac:dyDescent="0.2">
      <c r="A5" t="s">
        <v>9</v>
      </c>
      <c r="B5">
        <v>13.9</v>
      </c>
      <c r="C5">
        <v>14.5</v>
      </c>
      <c r="D5">
        <v>12.6</v>
      </c>
      <c r="E5">
        <v>10.7</v>
      </c>
    </row>
    <row r="6" spans="1:5" x14ac:dyDescent="0.2">
      <c r="A6" t="s">
        <v>36</v>
      </c>
      <c r="B6">
        <v>46.7</v>
      </c>
      <c r="C6">
        <v>45.7</v>
      </c>
      <c r="D6">
        <v>39.4</v>
      </c>
      <c r="E6">
        <v>37.6</v>
      </c>
    </row>
    <row r="7" spans="1:5" x14ac:dyDescent="0.2">
      <c r="A7" t="s">
        <v>37</v>
      </c>
      <c r="B7">
        <v>16.5</v>
      </c>
      <c r="C7">
        <v>17.600000000000001</v>
      </c>
      <c r="D7">
        <v>15.3</v>
      </c>
      <c r="E7">
        <v>16.2</v>
      </c>
    </row>
    <row r="8" spans="1:5" x14ac:dyDescent="0.2">
      <c r="A8" t="s">
        <v>39</v>
      </c>
      <c r="B8">
        <v>35.1</v>
      </c>
      <c r="C8">
        <v>38.700000000000003</v>
      </c>
      <c r="D8">
        <v>29</v>
      </c>
      <c r="E8">
        <v>30.6</v>
      </c>
    </row>
    <row r="9" spans="1:5" x14ac:dyDescent="0.2">
      <c r="A9" t="s">
        <v>11</v>
      </c>
      <c r="B9">
        <v>28.2</v>
      </c>
      <c r="C9">
        <v>28.5</v>
      </c>
      <c r="D9">
        <v>28.5</v>
      </c>
      <c r="E9">
        <v>27.9</v>
      </c>
    </row>
    <row r="10" spans="1:5" x14ac:dyDescent="0.2">
      <c r="A10" t="s">
        <v>71</v>
      </c>
      <c r="B10">
        <v>71.900000000000006</v>
      </c>
      <c r="C10">
        <v>70</v>
      </c>
      <c r="D10">
        <v>65.3</v>
      </c>
      <c r="E10">
        <v>64.900000000000006</v>
      </c>
    </row>
    <row r="11" spans="1:5" x14ac:dyDescent="0.2">
      <c r="A11" t="s">
        <v>47</v>
      </c>
      <c r="B11">
        <v>28.9</v>
      </c>
      <c r="C11">
        <v>27.6</v>
      </c>
      <c r="D11">
        <v>22.6</v>
      </c>
      <c r="E11">
        <v>26.9</v>
      </c>
    </row>
    <row r="12" spans="1:5" x14ac:dyDescent="0.2">
      <c r="A12" t="s">
        <v>12</v>
      </c>
      <c r="B12">
        <v>31.1</v>
      </c>
      <c r="C12">
        <v>30.4</v>
      </c>
      <c r="D12">
        <v>13</v>
      </c>
      <c r="E12">
        <v>30.5</v>
      </c>
    </row>
    <row r="13" spans="1:5" x14ac:dyDescent="0.2">
      <c r="A13" t="s">
        <v>82</v>
      </c>
      <c r="B13">
        <v>42.1</v>
      </c>
      <c r="C13">
        <v>43.8</v>
      </c>
      <c r="D13">
        <v>36.200000000000003</v>
      </c>
      <c r="E13">
        <v>36.4</v>
      </c>
    </row>
    <row r="14" spans="1:5" x14ac:dyDescent="0.2">
      <c r="A14" t="s">
        <v>55</v>
      </c>
      <c r="B14">
        <v>80.3</v>
      </c>
      <c r="C14">
        <v>76.900000000000006</v>
      </c>
      <c r="D14">
        <v>75.400000000000006</v>
      </c>
      <c r="E14">
        <v>69.099999999999994</v>
      </c>
    </row>
    <row r="15" spans="1:5" x14ac:dyDescent="0.2">
      <c r="A15" t="s">
        <v>65</v>
      </c>
      <c r="B15">
        <v>30.3</v>
      </c>
      <c r="C15">
        <v>32.799999999999997</v>
      </c>
      <c r="D15">
        <v>25</v>
      </c>
      <c r="E15">
        <v>22.7</v>
      </c>
    </row>
    <row r="16" spans="1:5" x14ac:dyDescent="0.2">
      <c r="A16" t="s">
        <v>43</v>
      </c>
      <c r="B16">
        <v>79.900000000000006</v>
      </c>
      <c r="C16">
        <v>81.8</v>
      </c>
      <c r="D16">
        <v>76.400000000000006</v>
      </c>
      <c r="E16">
        <v>78.8</v>
      </c>
    </row>
    <row r="17" spans="1:5" x14ac:dyDescent="0.2">
      <c r="A17" t="s">
        <v>61</v>
      </c>
      <c r="B17">
        <v>42.8</v>
      </c>
      <c r="C17">
        <v>40.1</v>
      </c>
      <c r="D17">
        <v>34.6</v>
      </c>
      <c r="E17">
        <v>34.799999999999997</v>
      </c>
    </row>
    <row r="18" spans="1:5" x14ac:dyDescent="0.2">
      <c r="A18" t="s">
        <v>45</v>
      </c>
      <c r="B18">
        <v>49.8</v>
      </c>
      <c r="C18">
        <v>57</v>
      </c>
      <c r="D18">
        <v>47</v>
      </c>
      <c r="E18">
        <v>48.3</v>
      </c>
    </row>
    <row r="19" spans="1:5" x14ac:dyDescent="0.2">
      <c r="A19" t="s">
        <v>62</v>
      </c>
      <c r="B19">
        <v>35.9</v>
      </c>
      <c r="C19">
        <v>34.700000000000003</v>
      </c>
      <c r="D19">
        <v>20.6</v>
      </c>
      <c r="E19">
        <v>22.3</v>
      </c>
    </row>
    <row r="20" spans="1:5" x14ac:dyDescent="0.2">
      <c r="A20" t="s">
        <v>48</v>
      </c>
      <c r="B20">
        <v>41.1</v>
      </c>
      <c r="C20">
        <v>39.1</v>
      </c>
      <c r="D20">
        <v>43.1</v>
      </c>
      <c r="E20">
        <v>35.9</v>
      </c>
    </row>
    <row r="21" spans="1:5" x14ac:dyDescent="0.2">
      <c r="A21" t="s">
        <v>13</v>
      </c>
      <c r="B21">
        <v>30.6</v>
      </c>
      <c r="C21">
        <v>31</v>
      </c>
      <c r="D21">
        <v>24.3</v>
      </c>
      <c r="E21">
        <v>27.8</v>
      </c>
    </row>
    <row r="22" spans="1:5" x14ac:dyDescent="0.2">
      <c r="A22" t="s">
        <v>84</v>
      </c>
      <c r="B22">
        <v>63.1</v>
      </c>
      <c r="C22">
        <v>73</v>
      </c>
      <c r="D22">
        <v>43.7</v>
      </c>
      <c r="E22">
        <v>52.6</v>
      </c>
    </row>
    <row r="23" spans="1:5" x14ac:dyDescent="0.2">
      <c r="A23" t="s">
        <v>23</v>
      </c>
      <c r="B23">
        <v>31.5</v>
      </c>
      <c r="C23">
        <v>35.4</v>
      </c>
      <c r="D23">
        <v>31.6</v>
      </c>
      <c r="E23">
        <v>25.8</v>
      </c>
    </row>
    <row r="24" spans="1:5" x14ac:dyDescent="0.2">
      <c r="A24" t="s">
        <v>14</v>
      </c>
      <c r="B24">
        <v>22.2</v>
      </c>
      <c r="C24">
        <v>23.9</v>
      </c>
      <c r="D24">
        <v>22.3</v>
      </c>
      <c r="E24">
        <v>22.3</v>
      </c>
    </row>
    <row r="25" spans="1:5" x14ac:dyDescent="0.2">
      <c r="A25" t="s">
        <v>58</v>
      </c>
      <c r="B25">
        <v>45.2</v>
      </c>
      <c r="C25">
        <v>48</v>
      </c>
      <c r="D25">
        <v>45.5</v>
      </c>
      <c r="E25">
        <v>48.9</v>
      </c>
    </row>
    <row r="26" spans="1:5" x14ac:dyDescent="0.2">
      <c r="A26" t="s">
        <v>85</v>
      </c>
      <c r="B26">
        <v>94.5</v>
      </c>
      <c r="C26">
        <v>98.3</v>
      </c>
      <c r="D26">
        <v>70.8</v>
      </c>
      <c r="E26">
        <v>86.5</v>
      </c>
    </row>
    <row r="27" spans="1:5" x14ac:dyDescent="0.2">
      <c r="A27" t="s">
        <v>86</v>
      </c>
      <c r="B27">
        <v>49.5</v>
      </c>
      <c r="C27">
        <v>49.6</v>
      </c>
      <c r="D27">
        <v>42.3</v>
      </c>
      <c r="E27">
        <v>39.4</v>
      </c>
    </row>
    <row r="28" spans="1:5" x14ac:dyDescent="0.2">
      <c r="A28" t="s">
        <v>0</v>
      </c>
      <c r="B28">
        <v>38.799999999999997</v>
      </c>
      <c r="C28">
        <v>35.799999999999997</v>
      </c>
      <c r="D28">
        <v>28.6</v>
      </c>
      <c r="E28">
        <v>25.7</v>
      </c>
    </row>
    <row r="29" spans="1:5" x14ac:dyDescent="0.2">
      <c r="A29" t="s">
        <v>21</v>
      </c>
      <c r="B29">
        <v>207.3</v>
      </c>
      <c r="C29">
        <v>212.5</v>
      </c>
      <c r="D29">
        <v>191.9</v>
      </c>
      <c r="E29">
        <v>200.7</v>
      </c>
    </row>
    <row r="30" spans="1:5" x14ac:dyDescent="0.2">
      <c r="A30" t="s">
        <v>1</v>
      </c>
      <c r="B30">
        <v>21.8</v>
      </c>
      <c r="C30">
        <v>23.8</v>
      </c>
      <c r="D30">
        <v>20.7</v>
      </c>
      <c r="E30">
        <v>20.6</v>
      </c>
    </row>
    <row r="31" spans="1:5" x14ac:dyDescent="0.2">
      <c r="A31" t="s">
        <v>2</v>
      </c>
      <c r="B31">
        <v>28.1</v>
      </c>
      <c r="C31">
        <v>28.2</v>
      </c>
      <c r="D31">
        <v>22.7</v>
      </c>
      <c r="E31">
        <v>22.7</v>
      </c>
    </row>
    <row r="32" spans="1:5" x14ac:dyDescent="0.2">
      <c r="A32" t="s">
        <v>6</v>
      </c>
      <c r="B32">
        <v>42.1</v>
      </c>
      <c r="C32">
        <v>54.7</v>
      </c>
      <c r="D32">
        <v>49.8</v>
      </c>
      <c r="E32">
        <v>45.8</v>
      </c>
    </row>
    <row r="33" spans="1:5" x14ac:dyDescent="0.2">
      <c r="A33" t="s">
        <v>3</v>
      </c>
      <c r="B33">
        <v>110.2</v>
      </c>
      <c r="C33">
        <v>103.4</v>
      </c>
      <c r="D33">
        <v>83.7</v>
      </c>
      <c r="E33">
        <v>101</v>
      </c>
    </row>
    <row r="34" spans="1:5" x14ac:dyDescent="0.2">
      <c r="A34" t="s">
        <v>4</v>
      </c>
      <c r="B34">
        <v>40.700000000000003</v>
      </c>
      <c r="C34">
        <v>34.799999999999997</v>
      </c>
      <c r="D34">
        <v>28.9</v>
      </c>
      <c r="E34">
        <v>29.2</v>
      </c>
    </row>
    <row r="35" spans="1:5" x14ac:dyDescent="0.2">
      <c r="A35" t="s">
        <v>5</v>
      </c>
      <c r="B35">
        <v>230.7</v>
      </c>
      <c r="C35">
        <v>234.9</v>
      </c>
      <c r="D35">
        <v>217.5</v>
      </c>
      <c r="E35">
        <v>219.1</v>
      </c>
    </row>
    <row r="36" spans="1:5" x14ac:dyDescent="0.2">
      <c r="A36" t="s">
        <v>7</v>
      </c>
      <c r="B36">
        <v>72.2</v>
      </c>
      <c r="C36">
        <v>73.8</v>
      </c>
      <c r="D36">
        <v>63.4</v>
      </c>
      <c r="E36">
        <v>63.4</v>
      </c>
    </row>
    <row r="37" spans="1:5" x14ac:dyDescent="0.2">
      <c r="A37" t="s">
        <v>8</v>
      </c>
      <c r="B37">
        <v>73.3</v>
      </c>
      <c r="C37">
        <v>76.400000000000006</v>
      </c>
      <c r="D37">
        <v>71.2</v>
      </c>
      <c r="E37">
        <v>69.599999999999994</v>
      </c>
    </row>
    <row r="38" spans="1:5" x14ac:dyDescent="0.2">
      <c r="A38" t="s">
        <v>64</v>
      </c>
      <c r="B38">
        <v>76.7</v>
      </c>
      <c r="C38">
        <v>77.7</v>
      </c>
      <c r="D38">
        <v>62.8</v>
      </c>
      <c r="E38">
        <v>70.5</v>
      </c>
    </row>
    <row r="39" spans="1:5" x14ac:dyDescent="0.2">
      <c r="A39" t="s">
        <v>87</v>
      </c>
      <c r="B39">
        <v>41.4</v>
      </c>
      <c r="C39">
        <v>42</v>
      </c>
      <c r="D39">
        <v>35.5</v>
      </c>
      <c r="E39">
        <v>34.5</v>
      </c>
    </row>
  </sheetData>
  <phoneticPr fontId="3"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48"/>
  <sheetViews>
    <sheetView topLeftCell="A7" workbookViewId="0">
      <selection activeCell="D49" sqref="D49"/>
    </sheetView>
  </sheetViews>
  <sheetFormatPr defaultRowHeight="12.75" x14ac:dyDescent="0.2"/>
  <cols>
    <col min="1" max="1" width="16.42578125" bestFit="1" customWidth="1"/>
  </cols>
  <sheetData>
    <row r="1" spans="1:4" x14ac:dyDescent="0.2">
      <c r="A1" t="s">
        <v>152</v>
      </c>
    </row>
    <row r="2" spans="1:4" x14ac:dyDescent="0.2">
      <c r="B2">
        <v>2008</v>
      </c>
      <c r="C2">
        <v>2009</v>
      </c>
      <c r="D2">
        <v>2010</v>
      </c>
    </row>
    <row r="3" spans="1:4" x14ac:dyDescent="0.2">
      <c r="A3" t="s">
        <v>10</v>
      </c>
      <c r="B3">
        <v>4.0999999999999996</v>
      </c>
      <c r="C3">
        <v>5.5</v>
      </c>
      <c r="D3">
        <v>4.5</v>
      </c>
    </row>
    <row r="4" spans="1:4" x14ac:dyDescent="0.2">
      <c r="A4" t="s">
        <v>9</v>
      </c>
    </row>
    <row r="5" spans="1:4" x14ac:dyDescent="0.2">
      <c r="A5" t="s">
        <v>36</v>
      </c>
    </row>
    <row r="6" spans="1:4" x14ac:dyDescent="0.2">
      <c r="A6" t="s">
        <v>0</v>
      </c>
    </row>
    <row r="7" spans="1:4" x14ac:dyDescent="0.2">
      <c r="A7" t="s">
        <v>37</v>
      </c>
    </row>
    <row r="8" spans="1:4" x14ac:dyDescent="0.2">
      <c r="A8" t="s">
        <v>39</v>
      </c>
    </row>
    <row r="9" spans="1:4" x14ac:dyDescent="0.2">
      <c r="A9" t="s">
        <v>43</v>
      </c>
    </row>
    <row r="10" spans="1:4" x14ac:dyDescent="0.2">
      <c r="A10" t="s">
        <v>2</v>
      </c>
    </row>
    <row r="11" spans="1:4" x14ac:dyDescent="0.2">
      <c r="A11" t="s">
        <v>45</v>
      </c>
    </row>
    <row r="12" spans="1:4" x14ac:dyDescent="0.2">
      <c r="A12" t="s">
        <v>3</v>
      </c>
    </row>
    <row r="13" spans="1:4" x14ac:dyDescent="0.2">
      <c r="A13" t="s">
        <v>11</v>
      </c>
    </row>
    <row r="14" spans="1:4" x14ac:dyDescent="0.2">
      <c r="A14" t="s">
        <v>71</v>
      </c>
    </row>
    <row r="15" spans="1:4" x14ac:dyDescent="0.2">
      <c r="A15" t="s">
        <v>47</v>
      </c>
    </row>
    <row r="16" spans="1:4" x14ac:dyDescent="0.2">
      <c r="A16" t="s">
        <v>4</v>
      </c>
    </row>
    <row r="17" spans="1:4" x14ac:dyDescent="0.2">
      <c r="A17" t="s">
        <v>48</v>
      </c>
    </row>
    <row r="18" spans="1:4" x14ac:dyDescent="0.2">
      <c r="A18" t="s">
        <v>13</v>
      </c>
    </row>
    <row r="19" spans="1:4" x14ac:dyDescent="0.2">
      <c r="A19" t="s">
        <v>23</v>
      </c>
    </row>
    <row r="20" spans="1:4" x14ac:dyDescent="0.2">
      <c r="A20" t="s">
        <v>14</v>
      </c>
    </row>
    <row r="21" spans="1:4" x14ac:dyDescent="0.2">
      <c r="A21" t="s">
        <v>58</v>
      </c>
    </row>
    <row r="22" spans="1:4" x14ac:dyDescent="0.2">
      <c r="A22" t="s">
        <v>12</v>
      </c>
    </row>
    <row r="27" spans="1:4" x14ac:dyDescent="0.2">
      <c r="A27" t="s">
        <v>153</v>
      </c>
    </row>
    <row r="28" spans="1:4" x14ac:dyDescent="0.2">
      <c r="B28">
        <v>2008</v>
      </c>
      <c r="C28">
        <v>2009</v>
      </c>
      <c r="D28">
        <v>2010</v>
      </c>
    </row>
    <row r="29" spans="1:4" x14ac:dyDescent="0.2">
      <c r="A29" t="s">
        <v>10</v>
      </c>
      <c r="B29">
        <v>10.7</v>
      </c>
      <c r="C29">
        <v>11</v>
      </c>
      <c r="D29">
        <v>6.8</v>
      </c>
    </row>
    <row r="30" spans="1:4" x14ac:dyDescent="0.2">
      <c r="A30" t="s">
        <v>9</v>
      </c>
      <c r="B30">
        <v>3</v>
      </c>
      <c r="C30">
        <v>5.0999999999999996</v>
      </c>
      <c r="D30">
        <v>4.3</v>
      </c>
    </row>
    <row r="31" spans="1:4" x14ac:dyDescent="0.2">
      <c r="A31" t="s">
        <v>36</v>
      </c>
      <c r="B31">
        <v>4.7</v>
      </c>
      <c r="C31">
        <v>2.7</v>
      </c>
      <c r="D31">
        <v>1.8</v>
      </c>
    </row>
    <row r="32" spans="1:4" x14ac:dyDescent="0.2">
      <c r="A32" t="s">
        <v>0</v>
      </c>
      <c r="B32">
        <v>0.5</v>
      </c>
      <c r="C32">
        <v>0.5</v>
      </c>
      <c r="D32">
        <v>0.5</v>
      </c>
    </row>
    <row r="33" spans="1:4" x14ac:dyDescent="0.2">
      <c r="A33" t="s">
        <v>37</v>
      </c>
      <c r="B33">
        <v>10.4</v>
      </c>
      <c r="C33">
        <v>10</v>
      </c>
      <c r="D33">
        <v>11</v>
      </c>
    </row>
    <row r="34" spans="1:4" x14ac:dyDescent="0.2">
      <c r="A34" t="s">
        <v>39</v>
      </c>
      <c r="B34">
        <v>8</v>
      </c>
      <c r="C34">
        <v>8.5</v>
      </c>
      <c r="D34">
        <v>9.3000000000000007</v>
      </c>
    </row>
    <row r="35" spans="1:4" x14ac:dyDescent="0.2">
      <c r="A35" t="s">
        <v>43</v>
      </c>
      <c r="B35">
        <v>4.0999999999999996</v>
      </c>
      <c r="C35">
        <v>4.7</v>
      </c>
      <c r="D35">
        <v>5.2</v>
      </c>
    </row>
    <row r="36" spans="1:4" x14ac:dyDescent="0.2">
      <c r="A36" t="s">
        <v>2</v>
      </c>
      <c r="B36">
        <v>6</v>
      </c>
      <c r="C36">
        <v>6.8</v>
      </c>
      <c r="D36">
        <v>6.5</v>
      </c>
    </row>
    <row r="37" spans="1:4" x14ac:dyDescent="0.2">
      <c r="A37" t="s">
        <v>45</v>
      </c>
    </row>
    <row r="38" spans="1:4" x14ac:dyDescent="0.2">
      <c r="A38" t="s">
        <v>3</v>
      </c>
      <c r="B38">
        <v>0.3</v>
      </c>
      <c r="C38">
        <v>0.4</v>
      </c>
      <c r="D38">
        <v>0.5</v>
      </c>
    </row>
    <row r="39" spans="1:4" x14ac:dyDescent="0.2">
      <c r="A39" t="s">
        <v>11</v>
      </c>
      <c r="B39">
        <v>8.1</v>
      </c>
      <c r="C39">
        <v>7.8</v>
      </c>
      <c r="D39">
        <v>5.5</v>
      </c>
    </row>
    <row r="40" spans="1:4" x14ac:dyDescent="0.2">
      <c r="A40" t="s">
        <v>71</v>
      </c>
      <c r="B40">
        <v>9.6</v>
      </c>
      <c r="C40">
        <v>6</v>
      </c>
      <c r="D40">
        <v>6.1</v>
      </c>
    </row>
    <row r="41" spans="1:4" x14ac:dyDescent="0.2">
      <c r="A41" t="s">
        <v>47</v>
      </c>
      <c r="B41">
        <v>3.5</v>
      </c>
      <c r="C41">
        <v>7.5</v>
      </c>
      <c r="D41">
        <v>7.2</v>
      </c>
    </row>
    <row r="42" spans="1:4" x14ac:dyDescent="0.2">
      <c r="A42" t="s">
        <v>4</v>
      </c>
      <c r="B42">
        <v>6</v>
      </c>
      <c r="C42">
        <v>7.2</v>
      </c>
      <c r="D42">
        <v>7.1</v>
      </c>
    </row>
    <row r="43" spans="1:4" x14ac:dyDescent="0.2">
      <c r="A43" t="s">
        <v>48</v>
      </c>
      <c r="B43">
        <v>9.3000000000000007</v>
      </c>
      <c r="C43">
        <v>4.4000000000000004</v>
      </c>
      <c r="D43">
        <v>3.5</v>
      </c>
    </row>
    <row r="44" spans="1:4" x14ac:dyDescent="0.2">
      <c r="A44" t="s">
        <v>13</v>
      </c>
      <c r="B44">
        <v>1.2</v>
      </c>
      <c r="C44">
        <v>1.4</v>
      </c>
      <c r="D44">
        <v>1.2</v>
      </c>
    </row>
    <row r="45" spans="1:4" x14ac:dyDescent="0.2">
      <c r="A45" t="s">
        <v>23</v>
      </c>
      <c r="B45">
        <v>1.6</v>
      </c>
      <c r="C45">
        <v>1.8</v>
      </c>
      <c r="D45">
        <v>1</v>
      </c>
    </row>
    <row r="46" spans="1:4" x14ac:dyDescent="0.2">
      <c r="A46" t="s">
        <v>14</v>
      </c>
      <c r="B46">
        <v>7.2</v>
      </c>
      <c r="C46">
        <v>6.3</v>
      </c>
      <c r="D46">
        <v>6.7</v>
      </c>
    </row>
    <row r="47" spans="1:4" x14ac:dyDescent="0.2">
      <c r="A47" t="s">
        <v>58</v>
      </c>
    </row>
    <row r="48" spans="1:4" x14ac:dyDescent="0.2">
      <c r="A48" t="s">
        <v>12</v>
      </c>
      <c r="B48">
        <v>8.1</v>
      </c>
      <c r="C48">
        <v>10.5</v>
      </c>
      <c r="D48">
        <v>9.5</v>
      </c>
    </row>
  </sheetData>
  <phoneticPr fontId="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2"/>
  <sheetViews>
    <sheetView workbookViewId="0">
      <selection activeCell="E27" sqref="E27"/>
    </sheetView>
  </sheetViews>
  <sheetFormatPr defaultRowHeight="12.75" x14ac:dyDescent="0.2"/>
  <cols>
    <col min="1" max="1" width="11.140625" bestFit="1" customWidth="1"/>
  </cols>
  <sheetData>
    <row r="1" spans="1:4" x14ac:dyDescent="0.2">
      <c r="B1" t="s">
        <v>160</v>
      </c>
    </row>
    <row r="2" spans="1:4" x14ac:dyDescent="0.2">
      <c r="B2">
        <v>2008</v>
      </c>
      <c r="C2">
        <v>2009</v>
      </c>
      <c r="D2">
        <v>2010</v>
      </c>
    </row>
    <row r="3" spans="1:4" x14ac:dyDescent="0.2">
      <c r="A3" t="s">
        <v>10</v>
      </c>
      <c r="B3">
        <v>23</v>
      </c>
      <c r="C3">
        <v>20.8</v>
      </c>
      <c r="D3">
        <v>21</v>
      </c>
    </row>
    <row r="4" spans="1:4" x14ac:dyDescent="0.2">
      <c r="A4" t="s">
        <v>9</v>
      </c>
      <c r="B4">
        <v>19</v>
      </c>
      <c r="C4">
        <v>17.7</v>
      </c>
      <c r="D4">
        <v>18</v>
      </c>
    </row>
    <row r="5" spans="1:4" x14ac:dyDescent="0.2">
      <c r="A5" t="s">
        <v>36</v>
      </c>
      <c r="B5">
        <v>29.7</v>
      </c>
      <c r="C5">
        <v>27.1</v>
      </c>
      <c r="D5">
        <v>27</v>
      </c>
    </row>
    <row r="6" spans="1:4" x14ac:dyDescent="0.2">
      <c r="A6" t="s">
        <v>0</v>
      </c>
      <c r="B6">
        <v>41.5</v>
      </c>
      <c r="C6">
        <v>44.2</v>
      </c>
      <c r="D6">
        <v>45.6</v>
      </c>
    </row>
    <row r="7" spans="1:4" x14ac:dyDescent="0.2">
      <c r="A7" t="s">
        <v>37</v>
      </c>
      <c r="B7">
        <v>27.3</v>
      </c>
      <c r="C7">
        <v>25.9</v>
      </c>
      <c r="D7">
        <v>26.2</v>
      </c>
    </row>
    <row r="8" spans="1:4" x14ac:dyDescent="0.2">
      <c r="A8" t="s">
        <v>39</v>
      </c>
      <c r="B8">
        <v>29.2</v>
      </c>
      <c r="C8">
        <v>28</v>
      </c>
      <c r="D8">
        <v>28</v>
      </c>
    </row>
    <row r="9" spans="1:4" x14ac:dyDescent="0.2">
      <c r="A9" t="s">
        <v>43</v>
      </c>
      <c r="B9">
        <v>20.2</v>
      </c>
      <c r="C9">
        <v>19.3</v>
      </c>
      <c r="D9">
        <v>19</v>
      </c>
    </row>
    <row r="10" spans="1:4" x14ac:dyDescent="0.2">
      <c r="A10" t="s">
        <v>2</v>
      </c>
      <c r="B10">
        <v>23.7</v>
      </c>
      <c r="C10">
        <v>23.4</v>
      </c>
      <c r="D10">
        <v>23.5</v>
      </c>
    </row>
    <row r="11" spans="1:4" x14ac:dyDescent="0.2">
      <c r="A11" t="s">
        <v>45</v>
      </c>
    </row>
    <row r="12" spans="1:4" x14ac:dyDescent="0.2">
      <c r="A12" t="s">
        <v>3</v>
      </c>
      <c r="B12">
        <v>22.3</v>
      </c>
      <c r="C12">
        <v>22.3</v>
      </c>
      <c r="D12">
        <v>22.4</v>
      </c>
    </row>
    <row r="13" spans="1:4" x14ac:dyDescent="0.2">
      <c r="A13" t="s">
        <v>11</v>
      </c>
      <c r="B13">
        <v>23</v>
      </c>
      <c r="C13">
        <v>22.6</v>
      </c>
      <c r="D13">
        <v>22.8</v>
      </c>
    </row>
    <row r="14" spans="1:4" x14ac:dyDescent="0.2">
      <c r="A14" t="s">
        <v>71</v>
      </c>
    </row>
    <row r="15" spans="1:4" x14ac:dyDescent="0.2">
      <c r="A15" t="s">
        <v>47</v>
      </c>
      <c r="B15">
        <v>27</v>
      </c>
      <c r="C15">
        <v>28.1</v>
      </c>
      <c r="D15">
        <v>29</v>
      </c>
    </row>
    <row r="16" spans="1:4" x14ac:dyDescent="0.2">
      <c r="A16" t="s">
        <v>4</v>
      </c>
      <c r="B16">
        <v>17.5</v>
      </c>
      <c r="C16">
        <v>16.8</v>
      </c>
      <c r="D16">
        <v>16.600000000000001</v>
      </c>
    </row>
    <row r="17" spans="1:4" x14ac:dyDescent="0.2">
      <c r="A17" t="s">
        <v>48</v>
      </c>
      <c r="B17">
        <v>22.3</v>
      </c>
      <c r="C17">
        <v>21.7</v>
      </c>
      <c r="D17">
        <v>21.9</v>
      </c>
    </row>
    <row r="18" spans="1:4" x14ac:dyDescent="0.2">
      <c r="A18" t="s">
        <v>13</v>
      </c>
      <c r="B18">
        <v>21.9</v>
      </c>
      <c r="C18">
        <v>20.7</v>
      </c>
      <c r="D18">
        <v>20.5</v>
      </c>
    </row>
    <row r="19" spans="1:4" x14ac:dyDescent="0.2">
      <c r="A19" t="s">
        <v>23</v>
      </c>
      <c r="B19">
        <v>20.100000000000001</v>
      </c>
      <c r="C19">
        <v>21.2</v>
      </c>
      <c r="D19">
        <v>22.2</v>
      </c>
    </row>
    <row r="20" spans="1:4" x14ac:dyDescent="0.2">
      <c r="A20" t="s">
        <v>14</v>
      </c>
      <c r="B20">
        <v>21.6</v>
      </c>
      <c r="C20">
        <v>20</v>
      </c>
      <c r="D20">
        <v>21</v>
      </c>
    </row>
    <row r="21" spans="1:4" x14ac:dyDescent="0.2">
      <c r="A21" t="s">
        <v>58</v>
      </c>
      <c r="B21">
        <v>28.8</v>
      </c>
      <c r="C21">
        <v>24</v>
      </c>
      <c r="D21">
        <v>23.6</v>
      </c>
    </row>
    <row r="22" spans="1:4" x14ac:dyDescent="0.2">
      <c r="A22" t="s">
        <v>12</v>
      </c>
      <c r="B22">
        <v>31.5</v>
      </c>
      <c r="C22">
        <v>32.4</v>
      </c>
      <c r="D22">
        <v>30.6</v>
      </c>
    </row>
  </sheetData>
  <phoneticPr fontId="3"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tint="-0.249977111117893"/>
    <pageSetUpPr fitToPage="1"/>
  </sheetPr>
  <dimension ref="A1:V68"/>
  <sheetViews>
    <sheetView zoomScale="90" workbookViewId="0"/>
  </sheetViews>
  <sheetFormatPr defaultRowHeight="12.75" x14ac:dyDescent="0.2"/>
  <cols>
    <col min="1" max="1" width="45.28515625" bestFit="1" customWidth="1"/>
    <col min="2" max="2" width="14.42578125" hidden="1" customWidth="1"/>
    <col min="3" max="3" width="49.5703125" bestFit="1" customWidth="1"/>
    <col min="4" max="4" width="4.7109375" customWidth="1"/>
    <col min="5" max="5" width="14.42578125" bestFit="1" customWidth="1"/>
    <col min="6" max="6" width="6.28515625" customWidth="1"/>
    <col min="7" max="7" width="15.28515625" bestFit="1" customWidth="1"/>
    <col min="9" max="9" width="0" hidden="1" customWidth="1"/>
    <col min="10" max="10" width="37.85546875" hidden="1" customWidth="1"/>
    <col min="11" max="11" width="0" hidden="1" customWidth="1"/>
    <col min="12" max="12" width="14.42578125" hidden="1" customWidth="1"/>
    <col min="13" max="13" width="10.85546875" hidden="1" customWidth="1"/>
    <col min="14" max="14" width="17.140625" customWidth="1"/>
    <col min="15" max="15" width="44.7109375" customWidth="1"/>
    <col min="16" max="16" width="6" hidden="1" customWidth="1"/>
  </cols>
  <sheetData>
    <row r="1" spans="1:22" ht="26.25" x14ac:dyDescent="0.4">
      <c r="A1" s="325"/>
      <c r="B1" s="325"/>
      <c r="C1" s="325"/>
      <c r="D1" s="325"/>
      <c r="E1" s="325"/>
      <c r="F1" s="325"/>
      <c r="G1" s="311">
        <v>2011</v>
      </c>
      <c r="H1" s="265"/>
      <c r="I1" s="265"/>
      <c r="J1" s="308">
        <v>2010</v>
      </c>
      <c r="K1" s="308"/>
      <c r="L1" s="308"/>
      <c r="M1" s="308"/>
      <c r="N1" s="309">
        <v>2010</v>
      </c>
      <c r="O1" s="308"/>
      <c r="Q1" s="312"/>
      <c r="R1" s="312"/>
      <c r="S1" s="312"/>
      <c r="T1" s="312"/>
      <c r="U1" s="312"/>
      <c r="V1" s="312"/>
    </row>
    <row r="2" spans="1:22" ht="55.5" customHeight="1" x14ac:dyDescent="0.25">
      <c r="A2" s="281" t="s">
        <v>192</v>
      </c>
      <c r="B2" s="266" t="s">
        <v>193</v>
      </c>
      <c r="C2" s="266" t="s">
        <v>685</v>
      </c>
      <c r="D2" s="266"/>
      <c r="E2" s="266" t="s">
        <v>193</v>
      </c>
      <c r="F2" s="266"/>
      <c r="G2" s="266" t="s">
        <v>194</v>
      </c>
      <c r="H2" s="267"/>
      <c r="I2" s="267"/>
      <c r="J2" s="281" t="s">
        <v>192</v>
      </c>
      <c r="K2" s="267"/>
      <c r="L2" s="266" t="s">
        <v>193</v>
      </c>
      <c r="M2" s="267"/>
      <c r="N2" s="266" t="s">
        <v>194</v>
      </c>
    </row>
    <row r="3" spans="1:22" ht="16.5" x14ac:dyDescent="0.25">
      <c r="A3" s="268" t="s">
        <v>676</v>
      </c>
      <c r="B3" s="269">
        <v>0.79430763400157911</v>
      </c>
      <c r="C3" s="269"/>
      <c r="D3" s="267"/>
      <c r="E3" s="270">
        <f>ABS(B3)</f>
        <v>0.79430763400157911</v>
      </c>
      <c r="F3" s="267"/>
      <c r="G3" s="274">
        <f>E3/E$45</f>
        <v>0.14532590112936536</v>
      </c>
      <c r="H3" s="267"/>
      <c r="I3" s="267"/>
      <c r="J3" s="268" t="s">
        <v>676</v>
      </c>
      <c r="K3" s="267"/>
      <c r="L3" s="270">
        <v>0.76800000000000002</v>
      </c>
      <c r="M3" s="267"/>
      <c r="N3" s="274">
        <v>0.11704640707155375</v>
      </c>
      <c r="P3" s="258">
        <f>G3-N3</f>
        <v>2.8279494057811605E-2</v>
      </c>
    </row>
    <row r="4" spans="1:22" ht="16.5" x14ac:dyDescent="0.25">
      <c r="A4" s="267"/>
      <c r="B4" s="267"/>
      <c r="C4" s="267"/>
      <c r="D4" s="267"/>
      <c r="E4" s="270"/>
      <c r="F4" s="267"/>
      <c r="G4" s="274"/>
      <c r="H4" s="267"/>
      <c r="I4" s="267"/>
      <c r="J4" s="267"/>
      <c r="K4" s="267"/>
      <c r="L4" s="270"/>
      <c r="M4" s="267"/>
      <c r="N4" s="271"/>
    </row>
    <row r="5" spans="1:22" ht="16.5" x14ac:dyDescent="0.25">
      <c r="A5" s="268" t="s">
        <v>684</v>
      </c>
      <c r="B5" s="269">
        <v>-0.4344438713547758</v>
      </c>
      <c r="C5" s="269"/>
      <c r="D5" s="267"/>
      <c r="E5" s="270">
        <f>ABS(B5)</f>
        <v>0.4344438713547758</v>
      </c>
      <c r="F5" s="267"/>
      <c r="G5" s="274">
        <f>E5/E$45</f>
        <v>7.9485509633963003E-2</v>
      </c>
      <c r="H5" s="267"/>
      <c r="I5" s="267"/>
      <c r="J5" s="268" t="s">
        <v>684</v>
      </c>
      <c r="K5" s="267"/>
      <c r="L5" s="270">
        <v>0.63200000000000001</v>
      </c>
      <c r="M5" s="267"/>
      <c r="N5" s="271">
        <v>9.6319439152632774E-2</v>
      </c>
      <c r="P5" s="257">
        <f>G5-N5</f>
        <v>-1.6833929518669771E-2</v>
      </c>
    </row>
    <row r="6" spans="1:22" ht="16.5" x14ac:dyDescent="0.25">
      <c r="A6" s="267"/>
      <c r="B6" s="267"/>
      <c r="C6" s="267"/>
      <c r="D6" s="267"/>
      <c r="E6" s="270"/>
      <c r="F6" s="267"/>
      <c r="G6" s="274"/>
      <c r="H6" s="267"/>
      <c r="I6" s="267"/>
      <c r="J6" s="267"/>
      <c r="K6" s="267"/>
      <c r="L6" s="270"/>
      <c r="M6" s="267"/>
      <c r="N6" s="271"/>
    </row>
    <row r="7" spans="1:22" ht="16.5" x14ac:dyDescent="0.25">
      <c r="A7" s="268" t="s">
        <v>678</v>
      </c>
      <c r="B7" s="269">
        <v>0.40904709292582375</v>
      </c>
      <c r="C7" s="269"/>
      <c r="D7" s="267"/>
      <c r="E7" s="270">
        <f>ABS(B7)</f>
        <v>0.40904709292582375</v>
      </c>
      <c r="F7" s="267"/>
      <c r="G7" s="274">
        <f>E7/E$45</f>
        <v>7.4838934990865774E-2</v>
      </c>
      <c r="H7" s="267"/>
      <c r="I7" s="267"/>
      <c r="J7" s="268" t="s">
        <v>678</v>
      </c>
      <c r="K7" s="267"/>
      <c r="L7" s="270">
        <v>0.48499999999999999</v>
      </c>
      <c r="M7" s="267"/>
      <c r="N7" s="271">
        <v>7.3916025299093191E-2</v>
      </c>
      <c r="P7" s="257">
        <f>G7-N7</f>
        <v>9.229096917725832E-4</v>
      </c>
    </row>
    <row r="8" spans="1:22" ht="16.5" x14ac:dyDescent="0.25">
      <c r="A8" s="267"/>
      <c r="B8" s="267"/>
      <c r="C8" s="267"/>
      <c r="D8" s="267"/>
      <c r="E8" s="270"/>
      <c r="F8" s="267"/>
      <c r="G8" s="274"/>
      <c r="H8" s="267"/>
      <c r="I8" s="267"/>
      <c r="J8" s="267"/>
      <c r="K8" s="267"/>
      <c r="L8" s="270"/>
      <c r="M8" s="267"/>
      <c r="N8" s="271"/>
    </row>
    <row r="9" spans="1:22" ht="16.5" x14ac:dyDescent="0.25">
      <c r="A9" s="268" t="s">
        <v>146</v>
      </c>
      <c r="B9" s="269">
        <v>-0.31960967616442937</v>
      </c>
      <c r="C9" s="269"/>
      <c r="D9" s="267"/>
      <c r="E9" s="270">
        <f>ABS(B9)</f>
        <v>0.31960967616442937</v>
      </c>
      <c r="F9" s="267"/>
      <c r="G9" s="274">
        <f>E9/E$45</f>
        <v>5.8475535434886684E-2</v>
      </c>
      <c r="H9" s="267"/>
      <c r="I9" s="267"/>
      <c r="J9" s="268" t="s">
        <v>146</v>
      </c>
      <c r="K9" s="267"/>
      <c r="L9" s="270">
        <v>0.21299999999999999</v>
      </c>
      <c r="M9" s="267"/>
      <c r="N9" s="271">
        <v>3.2462089461251238E-2</v>
      </c>
      <c r="P9" s="258">
        <f>G9-N9</f>
        <v>2.6013445973635446E-2</v>
      </c>
    </row>
    <row r="10" spans="1:22" ht="16.5" x14ac:dyDescent="0.25">
      <c r="A10" s="267"/>
      <c r="B10" s="267"/>
      <c r="C10" s="267"/>
      <c r="D10" s="267"/>
      <c r="E10" s="270"/>
      <c r="F10" s="267"/>
      <c r="G10" s="274"/>
      <c r="H10" s="267"/>
      <c r="I10" s="267"/>
      <c r="J10" s="267"/>
      <c r="K10" s="267"/>
      <c r="L10" s="270"/>
      <c r="M10" s="267"/>
      <c r="N10" s="271"/>
    </row>
    <row r="11" spans="1:22" ht="16.5" x14ac:dyDescent="0.25">
      <c r="A11" s="268" t="s">
        <v>680</v>
      </c>
      <c r="B11" s="269">
        <v>-0.1505226403959298</v>
      </c>
      <c r="C11" s="269"/>
      <c r="D11" s="267"/>
      <c r="E11" s="270">
        <f>ABS(B11)</f>
        <v>0.1505226403959298</v>
      </c>
      <c r="F11" s="267"/>
      <c r="G11" s="274">
        <f>E11/E$45</f>
        <v>2.7539504115941082E-2</v>
      </c>
      <c r="H11" s="267"/>
      <c r="I11" s="267"/>
      <c r="J11" s="268" t="s">
        <v>680</v>
      </c>
      <c r="K11" s="267"/>
      <c r="L11" s="270">
        <v>0.2631</v>
      </c>
      <c r="M11" s="267"/>
      <c r="N11" s="271">
        <v>4.0097538672559628E-2</v>
      </c>
      <c r="P11" s="258">
        <f>G11-N11</f>
        <v>-1.2558034556618546E-2</v>
      </c>
    </row>
    <row r="12" spans="1:22" ht="16.5" x14ac:dyDescent="0.25">
      <c r="A12" s="267"/>
      <c r="B12" s="267"/>
      <c r="C12" s="267"/>
      <c r="D12" s="267"/>
      <c r="E12" s="270"/>
      <c r="F12" s="267"/>
      <c r="G12" s="274"/>
      <c r="H12" s="267"/>
      <c r="I12" s="267"/>
      <c r="J12" s="267"/>
      <c r="K12" s="267"/>
      <c r="L12" s="270"/>
      <c r="M12" s="267"/>
      <c r="N12" s="271"/>
    </row>
    <row r="13" spans="1:22" ht="16.5" x14ac:dyDescent="0.25">
      <c r="A13" s="268" t="s">
        <v>168</v>
      </c>
      <c r="B13" s="269">
        <v>-0.23087278260713512</v>
      </c>
      <c r="C13" s="269"/>
      <c r="D13" s="267"/>
      <c r="E13" s="270">
        <f>ABS(B13)</f>
        <v>0.23087278260713512</v>
      </c>
      <c r="F13" s="267"/>
      <c r="G13" s="274">
        <f>E13/E$45</f>
        <v>4.2240303054369585E-2</v>
      </c>
      <c r="H13" s="267"/>
      <c r="I13" s="267"/>
      <c r="J13" s="268" t="s">
        <v>168</v>
      </c>
      <c r="K13" s="267"/>
      <c r="L13" s="270">
        <v>0.441</v>
      </c>
      <c r="M13" s="267"/>
      <c r="N13" s="271">
        <v>6.721024156061875E-2</v>
      </c>
      <c r="P13" s="258">
        <f>G13-N13</f>
        <v>-2.4969938506249165E-2</v>
      </c>
    </row>
    <row r="14" spans="1:22" ht="16.5" x14ac:dyDescent="0.25">
      <c r="A14" s="267"/>
      <c r="B14" s="267"/>
      <c r="C14" s="267"/>
      <c r="D14" s="267"/>
      <c r="E14" s="270"/>
      <c r="F14" s="267"/>
      <c r="G14" s="274"/>
      <c r="H14" s="267"/>
      <c r="I14" s="267"/>
      <c r="J14" s="267"/>
      <c r="K14" s="267"/>
      <c r="L14" s="270"/>
      <c r="M14" s="267"/>
      <c r="N14" s="271"/>
    </row>
    <row r="15" spans="1:22" ht="16.5" x14ac:dyDescent="0.25">
      <c r="A15" s="268" t="s">
        <v>167</v>
      </c>
      <c r="B15" s="269">
        <v>-0.20049638710730583</v>
      </c>
      <c r="C15" s="269"/>
      <c r="D15" s="267"/>
      <c r="E15" s="270">
        <f>ABS(B15)</f>
        <v>0.20049638710730583</v>
      </c>
      <c r="F15" s="267"/>
      <c r="G15" s="274">
        <f>E15/E$45</f>
        <v>3.6682661581335582E-2</v>
      </c>
      <c r="H15" s="267"/>
      <c r="I15" s="267"/>
      <c r="J15" s="268" t="s">
        <v>167</v>
      </c>
      <c r="K15" s="267"/>
      <c r="L15" s="270">
        <v>0.15970000000000001</v>
      </c>
      <c r="M15" s="267"/>
      <c r="N15" s="271">
        <v>2.4338946887144709E-2</v>
      </c>
      <c r="P15" s="257">
        <f>G15-N15</f>
        <v>1.2343714694190874E-2</v>
      </c>
    </row>
    <row r="16" spans="1:22" ht="16.5" x14ac:dyDescent="0.25">
      <c r="A16" s="267"/>
      <c r="B16" s="267"/>
      <c r="C16" s="267"/>
      <c r="D16" s="267"/>
      <c r="E16" s="270"/>
      <c r="F16" s="267"/>
      <c r="G16" s="274"/>
      <c r="H16" s="267"/>
      <c r="I16" s="267"/>
      <c r="J16" s="267"/>
      <c r="K16" s="267"/>
      <c r="L16" s="270"/>
      <c r="M16" s="267"/>
      <c r="N16" s="271"/>
    </row>
    <row r="17" spans="1:20" ht="16.5" x14ac:dyDescent="0.25">
      <c r="A17" s="268" t="s">
        <v>679</v>
      </c>
      <c r="B17" s="269">
        <v>-1.4542829518588116</v>
      </c>
      <c r="C17" s="269"/>
      <c r="D17" s="267"/>
      <c r="E17" s="270">
        <f>ABS(B17)</f>
        <v>1.4542829518588116</v>
      </c>
      <c r="F17" s="267"/>
      <c r="G17" s="274">
        <f>E17/E$45</f>
        <v>0.26607446715731187</v>
      </c>
      <c r="H17" s="267"/>
      <c r="I17" s="267"/>
      <c r="J17" s="268" t="s">
        <v>679</v>
      </c>
      <c r="K17" s="267"/>
      <c r="L17" s="270">
        <v>1.8520000000000001</v>
      </c>
      <c r="M17" s="267"/>
      <c r="N17" s="271">
        <v>0.28225253371942388</v>
      </c>
      <c r="P17" s="258">
        <f>G17-N17</f>
        <v>-1.6178066562112015E-2</v>
      </c>
    </row>
    <row r="18" spans="1:20" ht="16.5" x14ac:dyDescent="0.25">
      <c r="A18" s="267"/>
      <c r="B18" s="267"/>
      <c r="C18" s="267"/>
      <c r="D18" s="267"/>
      <c r="E18" s="270"/>
      <c r="F18" s="267"/>
      <c r="G18" s="274"/>
      <c r="H18" s="267"/>
      <c r="I18" s="267"/>
      <c r="J18" s="267"/>
      <c r="K18" s="267"/>
      <c r="L18" s="270"/>
      <c r="M18" s="267"/>
      <c r="N18" s="272"/>
    </row>
    <row r="19" spans="1:20" ht="16.5" x14ac:dyDescent="0.25">
      <c r="A19" s="268" t="s">
        <v>665</v>
      </c>
      <c r="B19" s="269">
        <v>0.85531297104004989</v>
      </c>
      <c r="C19" s="269"/>
      <c r="D19" s="267"/>
      <c r="E19" s="270">
        <f>ABS(B19)</f>
        <v>0.85531297104004989</v>
      </c>
      <c r="F19" s="267"/>
      <c r="G19" s="274">
        <f>E19/E$45</f>
        <v>0.15648738970042797</v>
      </c>
      <c r="H19" s="307"/>
      <c r="I19" s="267"/>
      <c r="J19" s="268" t="s">
        <v>665</v>
      </c>
      <c r="K19" s="267"/>
      <c r="L19" s="270">
        <v>1.0125999999999999</v>
      </c>
      <c r="M19" s="267"/>
      <c r="N19" s="271">
        <v>0.15432446849043666</v>
      </c>
      <c r="P19" s="257">
        <f>G19-N19</f>
        <v>2.1629212099913142E-3</v>
      </c>
    </row>
    <row r="20" spans="1:20" ht="16.5" x14ac:dyDescent="0.25">
      <c r="A20" s="268"/>
      <c r="B20" s="269"/>
      <c r="C20" s="269"/>
      <c r="D20" s="267"/>
      <c r="E20" s="270"/>
      <c r="F20" s="267"/>
      <c r="G20" s="273"/>
      <c r="H20" s="267"/>
      <c r="I20" s="267"/>
      <c r="J20" s="268"/>
      <c r="K20" s="267"/>
      <c r="L20" s="270"/>
      <c r="M20" s="267"/>
      <c r="N20" s="272"/>
    </row>
    <row r="21" spans="1:20" ht="16.5" x14ac:dyDescent="0.25">
      <c r="A21" s="289" t="s">
        <v>671</v>
      </c>
      <c r="B21" s="269">
        <v>-0.74399999999999999</v>
      </c>
      <c r="C21" s="283" t="s">
        <v>686</v>
      </c>
      <c r="D21" s="267"/>
      <c r="E21" s="270">
        <f t="shared" ref="E21:E39" si="0">ABS(B21)</f>
        <v>0.74399999999999999</v>
      </c>
      <c r="F21" s="267"/>
      <c r="G21" s="274">
        <v>2.5100640460973087E-2</v>
      </c>
      <c r="H21" s="267"/>
      <c r="I21" s="267"/>
      <c r="J21" s="289" t="s">
        <v>671</v>
      </c>
      <c r="K21" s="267"/>
      <c r="L21" s="270">
        <v>0.77900000000000003</v>
      </c>
      <c r="M21" s="267"/>
      <c r="N21" s="271">
        <v>2.3116503021607317E-2</v>
      </c>
      <c r="P21" s="257">
        <f t="shared" ref="P21:P39" si="1">G21-N21</f>
        <v>1.9841374393657699E-3</v>
      </c>
    </row>
    <row r="22" spans="1:20" ht="16.5" x14ac:dyDescent="0.25">
      <c r="A22" s="280"/>
      <c r="B22" s="269"/>
      <c r="C22" s="282"/>
      <c r="D22" s="267"/>
      <c r="E22" s="270"/>
      <c r="F22" s="267"/>
      <c r="G22" s="274"/>
      <c r="H22" s="267"/>
      <c r="I22" s="267"/>
      <c r="J22" s="289"/>
      <c r="K22" s="267"/>
      <c r="L22" s="270"/>
      <c r="M22" s="267"/>
      <c r="N22" s="271"/>
      <c r="P22" s="257"/>
    </row>
    <row r="23" spans="1:20" ht="33" x14ac:dyDescent="0.25">
      <c r="A23" s="288" t="s">
        <v>669</v>
      </c>
      <c r="B23" s="269">
        <v>0.75129999999999997</v>
      </c>
      <c r="C23" s="284" t="s">
        <v>688</v>
      </c>
      <c r="D23" s="267"/>
      <c r="E23" s="270">
        <f t="shared" si="0"/>
        <v>0.75129999999999997</v>
      </c>
      <c r="F23" s="267"/>
      <c r="G23" s="274">
        <v>2.411788111044718E-2</v>
      </c>
      <c r="H23" s="267"/>
      <c r="I23" s="267"/>
      <c r="J23" s="289" t="s">
        <v>669</v>
      </c>
      <c r="K23" s="267"/>
      <c r="L23" s="270">
        <v>0.67769999999999997</v>
      </c>
      <c r="M23" s="267"/>
      <c r="N23" s="271">
        <v>2.011046739119805E-2</v>
      </c>
      <c r="P23" s="257">
        <f t="shared" si="1"/>
        <v>4.0074137192491303E-3</v>
      </c>
    </row>
    <row r="24" spans="1:20" ht="16.5" x14ac:dyDescent="0.25">
      <c r="A24" s="280"/>
      <c r="B24" s="269"/>
      <c r="C24" s="286"/>
      <c r="D24" s="267"/>
      <c r="E24" s="270"/>
      <c r="F24" s="267"/>
      <c r="G24" s="274"/>
      <c r="H24" s="267"/>
      <c r="I24" s="267"/>
      <c r="J24" s="289"/>
      <c r="K24" s="267"/>
      <c r="L24" s="270"/>
      <c r="M24" s="267"/>
      <c r="N24" s="271"/>
      <c r="P24" s="257"/>
    </row>
    <row r="25" spans="1:20" ht="33" x14ac:dyDescent="0.25">
      <c r="A25" s="288" t="s">
        <v>450</v>
      </c>
      <c r="B25" s="269">
        <v>0.71930000000000005</v>
      </c>
      <c r="C25" s="285" t="s">
        <v>688</v>
      </c>
      <c r="D25" s="267"/>
      <c r="E25" s="270">
        <f t="shared" si="0"/>
        <v>0.71930000000000005</v>
      </c>
      <c r="F25" s="267"/>
      <c r="G25" s="274">
        <v>2.3283341202951408E-2</v>
      </c>
      <c r="H25" s="267"/>
      <c r="I25" s="267"/>
      <c r="J25" s="289" t="s">
        <v>450</v>
      </c>
      <c r="K25" s="267"/>
      <c r="L25" s="270">
        <v>0.56799999999999995</v>
      </c>
      <c r="M25" s="267"/>
      <c r="N25" s="271">
        <v>1.6855165232699556E-2</v>
      </c>
      <c r="P25" s="257">
        <f t="shared" si="1"/>
        <v>6.4281759702518523E-3</v>
      </c>
      <c r="R25" s="255"/>
      <c r="T25" s="256"/>
    </row>
    <row r="26" spans="1:20" ht="16.5" x14ac:dyDescent="0.25">
      <c r="A26" s="275"/>
      <c r="B26" s="269"/>
      <c r="C26" s="286"/>
      <c r="D26" s="267"/>
      <c r="E26" s="270"/>
      <c r="F26" s="267"/>
      <c r="G26" s="274"/>
      <c r="H26" s="267"/>
      <c r="I26" s="267"/>
      <c r="J26" s="289"/>
      <c r="K26" s="267"/>
      <c r="L26" s="270"/>
      <c r="M26" s="267"/>
      <c r="N26" s="271"/>
      <c r="P26" s="257"/>
      <c r="R26" s="255"/>
      <c r="T26" s="256"/>
    </row>
    <row r="27" spans="1:20" ht="33" x14ac:dyDescent="0.25">
      <c r="A27" s="288" t="s">
        <v>670</v>
      </c>
      <c r="B27" s="269">
        <v>0.48330000000000001</v>
      </c>
      <c r="C27" s="285" t="s">
        <v>688</v>
      </c>
      <c r="D27" s="267"/>
      <c r="E27" s="270">
        <f t="shared" si="0"/>
        <v>0.48330000000000001</v>
      </c>
      <c r="F27" s="267"/>
      <c r="G27" s="274">
        <v>1.9867849689648272E-2</v>
      </c>
      <c r="H27" s="267"/>
      <c r="I27" s="267"/>
      <c r="J27" s="289" t="s">
        <v>670</v>
      </c>
      <c r="K27" s="267"/>
      <c r="L27" s="270">
        <v>0.59230000000000005</v>
      </c>
      <c r="M27" s="267"/>
      <c r="N27" s="271">
        <v>1.7576257688957656E-2</v>
      </c>
      <c r="P27" s="257">
        <f t="shared" si="1"/>
        <v>2.2915920006906162E-3</v>
      </c>
    </row>
    <row r="28" spans="1:20" ht="16.5" x14ac:dyDescent="0.25">
      <c r="A28" s="280"/>
      <c r="B28" s="269"/>
      <c r="C28" s="286"/>
      <c r="D28" s="267"/>
      <c r="E28" s="270"/>
      <c r="F28" s="267"/>
      <c r="G28" s="274"/>
      <c r="H28" s="267"/>
      <c r="I28" s="267"/>
      <c r="J28" s="289"/>
      <c r="K28" s="267"/>
      <c r="L28" s="270"/>
      <c r="M28" s="267"/>
      <c r="N28" s="271"/>
      <c r="P28" s="257"/>
    </row>
    <row r="29" spans="1:20" ht="33" x14ac:dyDescent="0.25">
      <c r="A29" s="288" t="s">
        <v>668</v>
      </c>
      <c r="B29" s="269">
        <v>0.47170000000000001</v>
      </c>
      <c r="C29" s="285" t="s">
        <v>697</v>
      </c>
      <c r="D29" s="267"/>
      <c r="E29" s="270">
        <f t="shared" si="0"/>
        <v>0.47170000000000001</v>
      </c>
      <c r="F29" s="267"/>
      <c r="G29" s="274">
        <v>1.6964681903340599E-2</v>
      </c>
      <c r="H29" s="267"/>
      <c r="I29" s="267"/>
      <c r="J29" s="289" t="s">
        <v>668</v>
      </c>
      <c r="K29" s="267"/>
      <c r="L29" s="270">
        <v>0.62370000000000003</v>
      </c>
      <c r="M29" s="267"/>
      <c r="N29" s="271">
        <v>1.8508039710624497E-2</v>
      </c>
      <c r="P29" s="257">
        <f t="shared" si="1"/>
        <v>-1.5433578072838981E-3</v>
      </c>
      <c r="R29" s="255"/>
      <c r="T29" s="256"/>
    </row>
    <row r="30" spans="1:20" ht="16.5" x14ac:dyDescent="0.25">
      <c r="A30" s="280"/>
      <c r="B30" s="269"/>
      <c r="C30" s="286"/>
      <c r="D30" s="267"/>
      <c r="E30" s="270"/>
      <c r="F30" s="267"/>
      <c r="G30" s="274"/>
      <c r="H30" s="267"/>
      <c r="I30" s="267"/>
      <c r="J30" s="289"/>
      <c r="K30" s="267"/>
      <c r="L30" s="270"/>
      <c r="M30" s="267"/>
      <c r="N30" s="271"/>
      <c r="P30" s="257"/>
      <c r="R30" s="255"/>
      <c r="T30" s="256"/>
    </row>
    <row r="31" spans="1:20" ht="33" x14ac:dyDescent="0.25">
      <c r="A31" s="288" t="s">
        <v>443</v>
      </c>
      <c r="B31" s="269">
        <v>0.42449999999999999</v>
      </c>
      <c r="C31" s="285" t="s">
        <v>697</v>
      </c>
      <c r="D31" s="267"/>
      <c r="E31" s="270">
        <f t="shared" si="0"/>
        <v>0.42449999999999999</v>
      </c>
      <c r="F31" s="267"/>
      <c r="G31" s="274">
        <v>1.4254843825333111E-2</v>
      </c>
      <c r="H31" s="267"/>
      <c r="I31" s="267"/>
      <c r="J31" s="289" t="s">
        <v>443</v>
      </c>
      <c r="K31" s="267"/>
      <c r="L31" s="270">
        <v>0.56850000000000001</v>
      </c>
      <c r="M31" s="267"/>
      <c r="N31" s="271">
        <v>1.6870002526038201E-2</v>
      </c>
      <c r="P31" s="257">
        <f t="shared" si="1"/>
        <v>-2.6151587007050905E-3</v>
      </c>
      <c r="R31" s="255"/>
      <c r="T31" s="256"/>
    </row>
    <row r="32" spans="1:20" ht="16.5" x14ac:dyDescent="0.25">
      <c r="A32" s="280"/>
      <c r="B32" s="269"/>
      <c r="C32" s="286"/>
      <c r="D32" s="267"/>
      <c r="E32" s="270"/>
      <c r="F32" s="267"/>
      <c r="G32" s="274"/>
      <c r="H32" s="267"/>
      <c r="I32" s="267"/>
      <c r="J32" s="289"/>
      <c r="K32" s="267"/>
      <c r="L32" s="270"/>
      <c r="M32" s="267"/>
      <c r="N32" s="271"/>
      <c r="P32" s="257"/>
      <c r="R32" s="255"/>
      <c r="T32" s="256"/>
    </row>
    <row r="33" spans="1:16" ht="16.5" x14ac:dyDescent="0.25">
      <c r="A33" s="288" t="s">
        <v>451</v>
      </c>
      <c r="B33" s="269">
        <v>0.59330000000000005</v>
      </c>
      <c r="C33" s="283" t="s">
        <v>698</v>
      </c>
      <c r="D33" s="267"/>
      <c r="E33" s="270">
        <f t="shared" si="0"/>
        <v>0.59330000000000005</v>
      </c>
      <c r="F33" s="267"/>
      <c r="G33" s="274">
        <v>1.3605256005444511E-2</v>
      </c>
      <c r="H33" s="267"/>
      <c r="I33" s="267"/>
      <c r="J33" s="289" t="s">
        <v>451</v>
      </c>
      <c r="K33" s="267"/>
      <c r="L33" s="270">
        <v>0.42020999999999992</v>
      </c>
      <c r="M33" s="267"/>
      <c r="N33" s="271">
        <v>1.2469558067663171E-2</v>
      </c>
      <c r="P33" s="257">
        <f t="shared" si="1"/>
        <v>1.1356979377813402E-3</v>
      </c>
    </row>
    <row r="34" spans="1:16" ht="16.5" x14ac:dyDescent="0.25">
      <c r="A34" s="280"/>
      <c r="B34" s="269"/>
      <c r="C34" s="282"/>
      <c r="D34" s="267"/>
      <c r="E34" s="270"/>
      <c r="F34" s="267"/>
      <c r="G34" s="274"/>
      <c r="H34" s="267"/>
      <c r="I34" s="267"/>
      <c r="J34" s="289"/>
      <c r="K34" s="267"/>
      <c r="L34" s="270"/>
      <c r="M34" s="267"/>
      <c r="N34" s="271"/>
      <c r="P34" s="257"/>
    </row>
    <row r="35" spans="1:16" ht="33" x14ac:dyDescent="0.25">
      <c r="A35" s="288" t="s">
        <v>683</v>
      </c>
      <c r="B35" s="269">
        <v>0.34389999999999998</v>
      </c>
      <c r="C35" s="285" t="s">
        <v>697</v>
      </c>
      <c r="D35" s="267"/>
      <c r="E35" s="270">
        <f t="shared" si="0"/>
        <v>0.34389999999999998</v>
      </c>
      <c r="F35" s="267"/>
      <c r="G35" s="274">
        <v>1.0823241503004954E-2</v>
      </c>
      <c r="H35" s="267"/>
      <c r="I35" s="267"/>
      <c r="J35" s="289" t="s">
        <v>445</v>
      </c>
      <c r="K35" s="267"/>
      <c r="L35" s="270">
        <v>0.42009999999999997</v>
      </c>
      <c r="M35" s="267"/>
      <c r="N35" s="271">
        <v>1.2466293863128671E-2</v>
      </c>
      <c r="P35" s="257">
        <f t="shared" si="1"/>
        <v>-1.6430523601237163E-3</v>
      </c>
    </row>
    <row r="36" spans="1:16" ht="16.5" x14ac:dyDescent="0.25">
      <c r="A36" s="280"/>
      <c r="B36" s="269"/>
      <c r="C36" s="286"/>
      <c r="D36" s="267"/>
      <c r="E36" s="270"/>
      <c r="F36" s="267"/>
      <c r="G36" s="274"/>
      <c r="H36" s="267"/>
      <c r="I36" s="267"/>
      <c r="J36" s="289"/>
      <c r="K36" s="267"/>
      <c r="L36" s="270"/>
      <c r="M36" s="267"/>
      <c r="N36" s="271"/>
      <c r="P36" s="257"/>
    </row>
    <row r="37" spans="1:16" ht="33" x14ac:dyDescent="0.25">
      <c r="A37" s="288" t="s">
        <v>447</v>
      </c>
      <c r="B37" s="269">
        <v>0.21729999999999999</v>
      </c>
      <c r="C37" s="285" t="s">
        <v>697</v>
      </c>
      <c r="D37" s="267"/>
      <c r="E37" s="270">
        <f t="shared" si="0"/>
        <v>0.21729999999999999</v>
      </c>
      <c r="F37" s="267"/>
      <c r="G37" s="274">
        <v>7.9522953347473131E-3</v>
      </c>
      <c r="H37" s="267"/>
      <c r="I37" s="267"/>
      <c r="J37" s="289" t="s">
        <v>447</v>
      </c>
      <c r="K37" s="267"/>
      <c r="L37" s="270">
        <v>0.31509999999999999</v>
      </c>
      <c r="M37" s="267"/>
      <c r="N37" s="271">
        <v>9.3504622620134356E-3</v>
      </c>
      <c r="P37" s="257">
        <f t="shared" si="1"/>
        <v>-1.3981669272661226E-3</v>
      </c>
    </row>
    <row r="38" spans="1:16" ht="16.5" x14ac:dyDescent="0.25">
      <c r="A38" s="280"/>
      <c r="B38" s="269"/>
      <c r="C38" s="276"/>
      <c r="D38" s="267"/>
      <c r="E38" s="270"/>
      <c r="F38" s="267"/>
      <c r="G38" s="274"/>
      <c r="H38" s="267"/>
      <c r="I38" s="267"/>
      <c r="J38" s="289"/>
      <c r="K38" s="267"/>
      <c r="L38" s="270"/>
      <c r="M38" s="267"/>
      <c r="N38" s="271"/>
      <c r="P38" s="257"/>
    </row>
    <row r="39" spans="1:16" ht="16.5" x14ac:dyDescent="0.25">
      <c r="A39" s="288" t="s">
        <v>452</v>
      </c>
      <c r="B39" s="269">
        <v>0.63539999999999996</v>
      </c>
      <c r="C39" s="283" t="s">
        <v>698</v>
      </c>
      <c r="D39" s="267"/>
      <c r="E39" s="270">
        <f t="shared" si="0"/>
        <v>0.63539999999999996</v>
      </c>
      <c r="F39" s="267"/>
      <c r="G39" s="274">
        <v>5.8656233498273948E-3</v>
      </c>
      <c r="H39" s="267"/>
      <c r="I39" s="267"/>
      <c r="J39" s="289" t="s">
        <v>452</v>
      </c>
      <c r="K39" s="267"/>
      <c r="L39" s="270">
        <v>0.23594999999999999</v>
      </c>
      <c r="M39" s="267"/>
      <c r="N39" s="271">
        <v>7.0017187265060928E-3</v>
      </c>
      <c r="P39" s="257">
        <f t="shared" si="1"/>
        <v>-1.1360953766786979E-3</v>
      </c>
    </row>
    <row r="40" spans="1:16" ht="16.5" x14ac:dyDescent="0.25">
      <c r="A40" s="267"/>
      <c r="B40" s="267"/>
      <c r="C40" s="267"/>
      <c r="D40" s="267"/>
      <c r="E40" s="270"/>
      <c r="F40" s="267"/>
      <c r="G40" s="287"/>
      <c r="H40" s="267"/>
      <c r="I40" s="267"/>
      <c r="J40" s="267"/>
      <c r="K40" s="267"/>
      <c r="L40" s="270"/>
      <c r="M40" s="267"/>
      <c r="N40" s="272"/>
    </row>
    <row r="41" spans="1:16" ht="16.5" x14ac:dyDescent="0.25">
      <c r="A41" s="268" t="s">
        <v>664</v>
      </c>
      <c r="B41" s="269">
        <v>-0.6168030030358066</v>
      </c>
      <c r="C41" s="269"/>
      <c r="D41" s="267"/>
      <c r="E41" s="270">
        <f>ABS(B41)</f>
        <v>0.6168030030358066</v>
      </c>
      <c r="F41" s="267"/>
      <c r="G41" s="274">
        <f>E41/E$45</f>
        <v>0.11284979320153314</v>
      </c>
      <c r="H41" s="267"/>
      <c r="I41" s="267"/>
      <c r="J41" s="268" t="s">
        <v>664</v>
      </c>
      <c r="K41" s="267"/>
      <c r="L41" s="270">
        <v>0.73509999999999998</v>
      </c>
      <c r="M41" s="267"/>
      <c r="N41" s="271">
        <v>0.11203230968528537</v>
      </c>
      <c r="P41" s="257">
        <f>G41-N41</f>
        <v>8.1748351624777449E-4</v>
      </c>
    </row>
    <row r="42" spans="1:16" ht="16.5" x14ac:dyDescent="0.25">
      <c r="A42" s="268"/>
      <c r="B42" s="269"/>
      <c r="C42" s="269"/>
      <c r="D42" s="267"/>
      <c r="E42" s="270"/>
      <c r="F42" s="267"/>
      <c r="G42" s="278"/>
      <c r="H42" s="267"/>
      <c r="I42" s="267"/>
      <c r="J42" s="268"/>
      <c r="K42" s="267"/>
      <c r="L42" s="270"/>
      <c r="M42" s="267"/>
      <c r="N42" s="271"/>
      <c r="P42" s="257"/>
    </row>
    <row r="43" spans="1:16" ht="16.5" x14ac:dyDescent="0.25">
      <c r="A43" s="268"/>
      <c r="B43" s="269"/>
      <c r="C43" s="269"/>
      <c r="D43" s="267"/>
      <c r="E43" s="270"/>
      <c r="F43" s="267"/>
      <c r="G43" s="278"/>
      <c r="H43" s="267"/>
      <c r="I43" s="267"/>
      <c r="J43" s="268"/>
      <c r="K43" s="267"/>
      <c r="L43" s="270"/>
      <c r="M43" s="267"/>
      <c r="N43" s="271"/>
      <c r="P43" s="257"/>
    </row>
    <row r="44" spans="1:16" ht="16.5" x14ac:dyDescent="0.25">
      <c r="A44" s="267"/>
      <c r="B44" s="267"/>
      <c r="C44" s="267"/>
      <c r="D44" s="267"/>
      <c r="E44" s="270"/>
      <c r="F44" s="267"/>
      <c r="G44" s="267"/>
      <c r="H44" s="267"/>
      <c r="I44" s="267"/>
      <c r="J44" s="267"/>
      <c r="K44" s="267"/>
      <c r="L44" s="267"/>
      <c r="M44" s="267"/>
      <c r="N44" s="267"/>
    </row>
    <row r="45" spans="1:16" ht="16.5" x14ac:dyDescent="0.25">
      <c r="A45" s="268" t="s">
        <v>76</v>
      </c>
      <c r="B45" s="267"/>
      <c r="C45" s="267"/>
      <c r="D45" s="267"/>
      <c r="E45" s="279">
        <f>SUM(E3:E19)+E41</f>
        <v>5.4656990104916465</v>
      </c>
      <c r="F45" s="267"/>
      <c r="G45" s="277">
        <f>SUM(G3:G19)+G41</f>
        <v>1</v>
      </c>
      <c r="H45" s="267"/>
      <c r="I45" s="267"/>
      <c r="J45" s="267"/>
      <c r="K45" s="267"/>
      <c r="L45" s="279">
        <f>SUM(L3:L19)+L41</f>
        <v>6.5614999999999997</v>
      </c>
      <c r="M45" s="267"/>
      <c r="N45" s="277">
        <f>SUM(N3:N19)+N41</f>
        <v>0.99999999999999989</v>
      </c>
    </row>
    <row r="51" spans="1:4" ht="325.5" hidden="1" x14ac:dyDescent="0.2">
      <c r="A51" s="259" t="s">
        <v>687</v>
      </c>
      <c r="B51" s="260"/>
      <c r="C51" s="260"/>
      <c r="D51" s="260"/>
    </row>
    <row r="52" spans="1:4" hidden="1" x14ac:dyDescent="0.2"/>
    <row r="53" spans="1:4" hidden="1" x14ac:dyDescent="0.2">
      <c r="A53" s="262" t="s">
        <v>690</v>
      </c>
    </row>
    <row r="54" spans="1:4" ht="33.75" hidden="1" x14ac:dyDescent="0.2">
      <c r="A54" s="261" t="s">
        <v>693</v>
      </c>
    </row>
    <row r="55" spans="1:4" ht="112.5" hidden="1" x14ac:dyDescent="0.2">
      <c r="A55" s="261" t="s">
        <v>695</v>
      </c>
    </row>
    <row r="56" spans="1:4" ht="45" hidden="1" x14ac:dyDescent="0.2">
      <c r="A56" s="263" t="s">
        <v>696</v>
      </c>
    </row>
    <row r="57" spans="1:4" hidden="1" x14ac:dyDescent="0.2"/>
    <row r="58" spans="1:4" hidden="1" x14ac:dyDescent="0.2">
      <c r="A58" s="262" t="s">
        <v>691</v>
      </c>
      <c r="C58" s="1" t="s">
        <v>702</v>
      </c>
    </row>
    <row r="59" spans="1:4" ht="33.75" hidden="1" x14ac:dyDescent="0.2">
      <c r="A59" s="261" t="s">
        <v>694</v>
      </c>
    </row>
    <row r="60" spans="1:4" hidden="1" x14ac:dyDescent="0.2"/>
    <row r="61" spans="1:4" hidden="1" x14ac:dyDescent="0.2">
      <c r="A61" s="262" t="s">
        <v>689</v>
      </c>
    </row>
    <row r="62" spans="1:4" ht="56.25" hidden="1" x14ac:dyDescent="0.2">
      <c r="A62" s="261" t="s">
        <v>692</v>
      </c>
    </row>
    <row r="63" spans="1:4" hidden="1" x14ac:dyDescent="0.2"/>
    <row r="64" spans="1:4" ht="76.5" hidden="1" x14ac:dyDescent="0.2">
      <c r="A64" s="210" t="s">
        <v>699</v>
      </c>
    </row>
    <row r="65" spans="1:1" hidden="1" x14ac:dyDescent="0.2"/>
    <row r="66" spans="1:1" ht="162" hidden="1" customHeight="1" x14ac:dyDescent="0.2">
      <c r="A66" s="264" t="s">
        <v>700</v>
      </c>
    </row>
    <row r="67" spans="1:1" hidden="1" x14ac:dyDescent="0.2"/>
    <row r="68" spans="1:1" ht="51" hidden="1" x14ac:dyDescent="0.2">
      <c r="A68" s="210" t="s">
        <v>701</v>
      </c>
    </row>
  </sheetData>
  <mergeCells count="1">
    <mergeCell ref="Q1:V1"/>
  </mergeCells>
  <phoneticPr fontId="3" type="noConversion"/>
  <pageMargins left="0.75" right="0.75" top="1" bottom="1" header="0.5" footer="0.5"/>
  <pageSetup scale="54" orientation="portrait" r:id="rId1"/>
  <headerFooter alignWithMargins="0">
    <oddHeader>&amp;C&amp;14Sovereign Relative Model Weights &amp;R&amp;14October 2011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2" tint="-0.249977111117893"/>
    <pageSetUpPr fitToPage="1"/>
  </sheetPr>
  <dimension ref="A2:X51"/>
  <sheetViews>
    <sheetView workbookViewId="0">
      <selection activeCell="F6" sqref="F6"/>
    </sheetView>
  </sheetViews>
  <sheetFormatPr defaultRowHeight="12.75" x14ac:dyDescent="0.2"/>
  <cols>
    <col min="1" max="1" width="30.42578125" customWidth="1"/>
    <col min="2" max="2" width="13" customWidth="1"/>
    <col min="3" max="5" width="9.140625" customWidth="1"/>
    <col min="6" max="6" width="20.140625" bestFit="1" customWidth="1"/>
    <col min="7" max="7" width="6.85546875" customWidth="1"/>
    <col min="8" max="8" width="15.140625" bestFit="1" customWidth="1"/>
    <col min="9" max="9" width="13" customWidth="1"/>
    <col min="11" max="11" width="30.5703125" customWidth="1"/>
    <col min="12" max="12" width="13" customWidth="1"/>
    <col min="13" max="14" width="9.140625" customWidth="1"/>
    <col min="16" max="16" width="20.140625" bestFit="1" customWidth="1"/>
    <col min="17" max="17" width="6.85546875" customWidth="1"/>
    <col min="18" max="18" width="15.140625" bestFit="1" customWidth="1"/>
  </cols>
  <sheetData>
    <row r="2" spans="1:24" ht="20.25" x14ac:dyDescent="0.3">
      <c r="A2" s="219" t="s">
        <v>682</v>
      </c>
      <c r="K2" s="219" t="s">
        <v>681</v>
      </c>
    </row>
    <row r="3" spans="1:24" ht="18" x14ac:dyDescent="0.25">
      <c r="A3" s="220"/>
      <c r="K3" s="220"/>
    </row>
    <row r="4" spans="1:24" ht="38.25" customHeight="1" x14ac:dyDescent="0.25">
      <c r="A4" s="207" t="s">
        <v>199</v>
      </c>
      <c r="B4" s="220" t="s">
        <v>193</v>
      </c>
      <c r="C4" s="223"/>
      <c r="D4" s="223"/>
      <c r="E4" s="223"/>
      <c r="F4" s="224" t="s">
        <v>667</v>
      </c>
      <c r="G4" s="224"/>
      <c r="H4" s="224" t="s">
        <v>666</v>
      </c>
      <c r="I4" s="17"/>
      <c r="K4" s="207" t="s">
        <v>199</v>
      </c>
      <c r="L4" s="220" t="s">
        <v>193</v>
      </c>
      <c r="M4" s="223"/>
      <c r="N4" s="223"/>
      <c r="O4" s="223"/>
      <c r="P4" s="224" t="s">
        <v>667</v>
      </c>
      <c r="Q4" s="224"/>
      <c r="R4" s="224" t="s">
        <v>666</v>
      </c>
    </row>
    <row r="5" spans="1:24" ht="15" x14ac:dyDescent="0.2">
      <c r="A5" s="222" t="s">
        <v>679</v>
      </c>
      <c r="B5" s="225">
        <v>-1.403722926480792</v>
      </c>
      <c r="C5" s="222"/>
      <c r="D5" s="226">
        <v>1.403722926480792</v>
      </c>
      <c r="E5" s="226"/>
      <c r="F5" s="227">
        <f>D5/$D$10</f>
        <v>0.68964400916561019</v>
      </c>
      <c r="G5" s="222"/>
      <c r="H5" s="228">
        <f>D5/$D$49</f>
        <v>0.2552445301904942</v>
      </c>
      <c r="I5" s="228">
        <f>D5/$D$45</f>
        <v>0.11210229797954169</v>
      </c>
      <c r="J5" s="222"/>
      <c r="K5" s="222" t="s">
        <v>679</v>
      </c>
      <c r="L5" s="225">
        <v>-1.8520000000000001</v>
      </c>
      <c r="M5" s="222"/>
      <c r="N5" s="226">
        <v>1.8520000000000001</v>
      </c>
      <c r="O5" s="226"/>
      <c r="P5" s="227">
        <f>N5/$N$10</f>
        <v>0.68193534133588629</v>
      </c>
      <c r="Q5" s="222"/>
      <c r="R5" s="227">
        <f>N5/$N$49</f>
        <v>0.28225253371942388</v>
      </c>
      <c r="U5" s="19"/>
      <c r="V5" s="190"/>
      <c r="W5" s="19"/>
      <c r="X5" s="20"/>
    </row>
    <row r="6" spans="1:24" ht="15" x14ac:dyDescent="0.2">
      <c r="A6" s="222" t="s">
        <v>168</v>
      </c>
      <c r="B6" s="225">
        <v>-0.29868562230409756</v>
      </c>
      <c r="C6" s="222"/>
      <c r="D6" s="226">
        <v>0.29868562230409756</v>
      </c>
      <c r="E6" s="226"/>
      <c r="F6" s="227">
        <f>D6/$D$10</f>
        <v>0.14674316858409001</v>
      </c>
      <c r="G6" s="222"/>
      <c r="H6" s="228">
        <f>D6/$D$49</f>
        <v>5.4311196249246407E-2</v>
      </c>
      <c r="I6" s="228">
        <f t="shared" ref="I6:I8" si="0">D6/$D$45</f>
        <v>2.3853243401590167E-2</v>
      </c>
      <c r="J6" s="222"/>
      <c r="K6" s="222" t="s">
        <v>168</v>
      </c>
      <c r="L6" s="225">
        <v>-0.441</v>
      </c>
      <c r="M6" s="222"/>
      <c r="N6" s="226">
        <v>0.441</v>
      </c>
      <c r="O6" s="226"/>
      <c r="P6" s="227">
        <f>N6/$N$10</f>
        <v>0.16238309153840488</v>
      </c>
      <c r="Q6" s="222"/>
      <c r="R6" s="227">
        <f>N6/$N$49</f>
        <v>6.721024156061875E-2</v>
      </c>
      <c r="U6" s="19"/>
      <c r="V6" s="190"/>
      <c r="W6" s="19"/>
      <c r="X6" s="20"/>
    </row>
    <row r="7" spans="1:24" ht="15" x14ac:dyDescent="0.2">
      <c r="A7" s="222" t="s">
        <v>167</v>
      </c>
      <c r="B7" s="225">
        <v>-0.19336042634762884</v>
      </c>
      <c r="C7" s="222"/>
      <c r="D7" s="226">
        <v>0.19336042634762884</v>
      </c>
      <c r="E7" s="226"/>
      <c r="F7" s="227">
        <f>D7/$D$10</f>
        <v>9.4997279822639655E-2</v>
      </c>
      <c r="G7" s="222"/>
      <c r="H7" s="228">
        <f>D7/$D$49</f>
        <v>3.5159496400238875E-2</v>
      </c>
      <c r="I7" s="228">
        <f t="shared" si="0"/>
        <v>1.5441899339933392E-2</v>
      </c>
      <c r="J7" s="222"/>
      <c r="K7" s="222" t="s">
        <v>680</v>
      </c>
      <c r="L7" s="225">
        <v>-0.2631</v>
      </c>
      <c r="M7" s="222"/>
      <c r="N7" s="226">
        <v>0.2631</v>
      </c>
      <c r="O7" s="226"/>
      <c r="P7" s="227">
        <f>N7/$N$10</f>
        <v>9.6877531482436108E-2</v>
      </c>
      <c r="Q7" s="222"/>
      <c r="R7" s="227">
        <f>N7/$N$49</f>
        <v>4.0097538672559628E-2</v>
      </c>
      <c r="U7" s="19"/>
      <c r="V7" s="190"/>
      <c r="W7" s="19"/>
      <c r="X7" s="20"/>
    </row>
    <row r="8" spans="1:24" ht="15" x14ac:dyDescent="0.2">
      <c r="A8" s="222" t="s">
        <v>680</v>
      </c>
      <c r="B8" s="225">
        <v>-0.13966221519875852</v>
      </c>
      <c r="C8" s="222"/>
      <c r="D8" s="226">
        <v>0.13966221519875852</v>
      </c>
      <c r="E8" s="226"/>
      <c r="F8" s="227">
        <f>D8/$D$10</f>
        <v>6.8615542427660145E-2</v>
      </c>
      <c r="G8" s="222"/>
      <c r="H8" s="228">
        <f>D8/$D$49</f>
        <v>2.5395336808484201E-2</v>
      </c>
      <c r="I8" s="228">
        <f t="shared" si="0"/>
        <v>1.115352251455041E-2</v>
      </c>
      <c r="J8" s="222"/>
      <c r="K8" s="222" t="s">
        <v>167</v>
      </c>
      <c r="L8" s="225">
        <v>-0.15970000000000001</v>
      </c>
      <c r="M8" s="222"/>
      <c r="N8" s="226">
        <v>0.15970000000000001</v>
      </c>
      <c r="O8" s="226"/>
      <c r="P8" s="227">
        <f>N8/$N$10</f>
        <v>5.8804035643272697E-2</v>
      </c>
      <c r="Q8" s="222"/>
      <c r="R8" s="227">
        <f>N8/$N$49</f>
        <v>2.4338946887144709E-2</v>
      </c>
      <c r="U8" s="19"/>
      <c r="V8" s="190"/>
      <c r="W8" s="19"/>
      <c r="X8" s="20"/>
    </row>
    <row r="9" spans="1:24" ht="15.75" x14ac:dyDescent="0.25">
      <c r="A9" s="222"/>
      <c r="B9" s="225"/>
      <c r="C9" s="222"/>
      <c r="D9" s="226"/>
      <c r="E9" s="226"/>
      <c r="F9" s="229"/>
      <c r="G9" s="222"/>
      <c r="H9" s="230"/>
      <c r="I9" s="230"/>
      <c r="J9" s="222"/>
      <c r="K9" s="222"/>
      <c r="L9" s="225"/>
      <c r="M9" s="222"/>
      <c r="N9" s="226"/>
      <c r="O9" s="226"/>
      <c r="P9" s="231"/>
      <c r="Q9" s="222"/>
      <c r="R9" s="230"/>
      <c r="U9" s="18"/>
      <c r="V9" s="190"/>
      <c r="W9" s="19"/>
      <c r="X9" s="20"/>
    </row>
    <row r="10" spans="1:24" ht="15.75" x14ac:dyDescent="0.25">
      <c r="A10" s="202" t="s">
        <v>76</v>
      </c>
      <c r="B10" s="225"/>
      <c r="C10" s="222"/>
      <c r="D10" s="226">
        <f>SUM(D5:D8)</f>
        <v>2.035431190331277</v>
      </c>
      <c r="E10" s="226"/>
      <c r="F10" s="232">
        <f>SUM(F5:F8)</f>
        <v>0.99999999999999989</v>
      </c>
      <c r="G10" s="222"/>
      <c r="H10" s="233">
        <f>SUM(H5:H8)</f>
        <v>0.37011055964846368</v>
      </c>
      <c r="I10" s="234"/>
      <c r="J10" s="222"/>
      <c r="K10" s="202" t="s">
        <v>76</v>
      </c>
      <c r="L10" s="225"/>
      <c r="M10" s="222"/>
      <c r="N10" s="226">
        <f>SUM(N5:N8)</f>
        <v>2.7158000000000002</v>
      </c>
      <c r="O10" s="226"/>
      <c r="P10" s="232">
        <f>SUM(P5:P8)</f>
        <v>1</v>
      </c>
      <c r="Q10" s="222"/>
      <c r="R10" s="233">
        <f>SUM(R5:R8)</f>
        <v>0.41389926083974699</v>
      </c>
      <c r="U10" s="18"/>
      <c r="V10" s="190"/>
      <c r="W10" s="19"/>
      <c r="X10" s="20"/>
    </row>
    <row r="11" spans="1:24" ht="15" x14ac:dyDescent="0.25">
      <c r="A11" s="18"/>
      <c r="B11" s="190"/>
      <c r="C11" s="19"/>
      <c r="D11" s="20"/>
      <c r="E11" s="20"/>
      <c r="F11" s="214"/>
      <c r="G11" s="19"/>
      <c r="H11" s="221"/>
      <c r="I11" s="221"/>
      <c r="K11" s="18"/>
      <c r="L11" s="190"/>
      <c r="M11" s="19"/>
      <c r="N11" s="20"/>
      <c r="O11" s="20"/>
      <c r="P11" s="214"/>
      <c r="Q11" s="19"/>
      <c r="R11" s="221"/>
    </row>
    <row r="12" spans="1:24" ht="15" x14ac:dyDescent="0.25">
      <c r="A12" s="18"/>
      <c r="B12" s="190"/>
      <c r="C12" s="19"/>
      <c r="D12" s="20"/>
      <c r="E12" s="20"/>
      <c r="F12" s="214"/>
      <c r="G12" s="19"/>
      <c r="H12" s="221"/>
      <c r="I12" s="221"/>
      <c r="K12" s="18"/>
      <c r="L12" s="190"/>
      <c r="M12" s="19"/>
      <c r="N12" s="20"/>
      <c r="O12" s="20"/>
      <c r="P12" s="214"/>
      <c r="Q12" s="19"/>
      <c r="R12" s="221"/>
    </row>
    <row r="13" spans="1:24" ht="15" x14ac:dyDescent="0.25">
      <c r="A13" s="18"/>
      <c r="B13" s="190"/>
      <c r="C13" s="19"/>
      <c r="D13" s="20"/>
      <c r="E13" s="20"/>
      <c r="F13" s="19"/>
      <c r="G13" s="19"/>
      <c r="H13" s="21"/>
      <c r="I13" s="211"/>
      <c r="K13" s="18"/>
      <c r="L13" s="190"/>
      <c r="M13" s="19"/>
      <c r="N13" s="20"/>
      <c r="O13" s="20"/>
      <c r="P13" s="20"/>
      <c r="Q13" s="19"/>
      <c r="R13" s="21"/>
    </row>
    <row r="14" spans="1:24" ht="36" x14ac:dyDescent="0.25">
      <c r="A14" s="220" t="s">
        <v>198</v>
      </c>
      <c r="B14" s="236"/>
      <c r="C14" s="223"/>
      <c r="D14" s="237"/>
      <c r="E14" s="237"/>
      <c r="F14" s="224" t="s">
        <v>667</v>
      </c>
      <c r="G14" s="223"/>
      <c r="H14" s="224" t="s">
        <v>666</v>
      </c>
      <c r="I14" s="238"/>
      <c r="J14" s="223"/>
      <c r="K14" s="220" t="s">
        <v>198</v>
      </c>
      <c r="L14" s="236"/>
      <c r="M14" s="223"/>
      <c r="N14" s="237"/>
      <c r="O14" s="237"/>
      <c r="P14" s="224" t="s">
        <v>667</v>
      </c>
      <c r="Q14" s="223"/>
      <c r="R14" s="224" t="s">
        <v>666</v>
      </c>
    </row>
    <row r="15" spans="1:24" ht="15" x14ac:dyDescent="0.2">
      <c r="A15" s="222" t="s">
        <v>676</v>
      </c>
      <c r="B15" s="225">
        <v>0.81258190775582984</v>
      </c>
      <c r="C15" s="222"/>
      <c r="D15" s="226">
        <v>0.81258190775582984</v>
      </c>
      <c r="E15" s="226"/>
      <c r="F15" s="227">
        <f>D15/$D$20</f>
        <v>0.41862295218325862</v>
      </c>
      <c r="G15" s="222"/>
      <c r="H15" s="228">
        <f>D15/$D$49</f>
        <v>0.14775500447685419</v>
      </c>
      <c r="I15" s="228">
        <f t="shared" ref="I15:I18" si="1">D15/$D$45</f>
        <v>6.4893361387493853E-2</v>
      </c>
      <c r="J15" s="222"/>
      <c r="K15" s="222" t="s">
        <v>676</v>
      </c>
      <c r="L15" s="225">
        <v>0.76800000000000002</v>
      </c>
      <c r="M15" s="222"/>
      <c r="N15" s="226">
        <v>0.76800000000000002</v>
      </c>
      <c r="O15" s="226"/>
      <c r="P15" s="227">
        <f>N15/$N$20</f>
        <v>0.3660629170638704</v>
      </c>
      <c r="Q15" s="222"/>
      <c r="R15" s="227">
        <f>N15/$N$49</f>
        <v>0.11704640707155375</v>
      </c>
      <c r="U15" s="19"/>
      <c r="V15" s="190"/>
      <c r="W15" s="19"/>
      <c r="X15" s="20"/>
    </row>
    <row r="16" spans="1:24" ht="15" x14ac:dyDescent="0.2">
      <c r="A16" s="222" t="s">
        <v>677</v>
      </c>
      <c r="B16" s="225">
        <v>-0.47521578135319559</v>
      </c>
      <c r="C16" s="222"/>
      <c r="D16" s="226">
        <v>0.47521578135319559</v>
      </c>
      <c r="E16" s="226"/>
      <c r="F16" s="227">
        <f>D16/$D$20</f>
        <v>0.24481991466382289</v>
      </c>
      <c r="G16" s="222"/>
      <c r="H16" s="228">
        <f>D16/$D$49</f>
        <v>8.6410378118352116E-2</v>
      </c>
      <c r="I16" s="228">
        <f t="shared" si="1"/>
        <v>3.795106578432423E-2</v>
      </c>
      <c r="J16" s="222"/>
      <c r="K16" s="222" t="s">
        <v>677</v>
      </c>
      <c r="L16" s="225">
        <v>-0.63200000000000001</v>
      </c>
      <c r="M16" s="222"/>
      <c r="N16" s="226">
        <v>0.63200000000000001</v>
      </c>
      <c r="O16" s="226"/>
      <c r="P16" s="227">
        <f>N16/$N$20</f>
        <v>0.30123927550047669</v>
      </c>
      <c r="Q16" s="222"/>
      <c r="R16" s="227">
        <f>N16/$N$49</f>
        <v>9.6319439152632774E-2</v>
      </c>
      <c r="U16" s="19"/>
      <c r="V16" s="190"/>
      <c r="W16" s="19"/>
      <c r="X16" s="20"/>
    </row>
    <row r="17" spans="1:24" ht="15" x14ac:dyDescent="0.2">
      <c r="A17" s="222" t="s">
        <v>678</v>
      </c>
      <c r="B17" s="225">
        <v>0.36928863453428667</v>
      </c>
      <c r="C17" s="222"/>
      <c r="D17" s="226">
        <v>0.36928863453428667</v>
      </c>
      <c r="E17" s="226"/>
      <c r="F17" s="227">
        <f>D17/$D$20</f>
        <v>0.19024875759714874</v>
      </c>
      <c r="G17" s="222"/>
      <c r="H17" s="228">
        <f>D17/$D$49</f>
        <v>6.7149223146696913E-2</v>
      </c>
      <c r="I17" s="228">
        <f t="shared" si="1"/>
        <v>2.9491649504370443E-2</v>
      </c>
      <c r="J17" s="222"/>
      <c r="K17" s="222" t="s">
        <v>678</v>
      </c>
      <c r="L17" s="225">
        <v>0.48499999999999999</v>
      </c>
      <c r="M17" s="222"/>
      <c r="N17" s="226">
        <v>0.48499999999999999</v>
      </c>
      <c r="O17" s="226"/>
      <c r="P17" s="227">
        <f>N17/$N$20</f>
        <v>0.23117254528122022</v>
      </c>
      <c r="Q17" s="222"/>
      <c r="R17" s="227">
        <f>N17/$N$49</f>
        <v>7.3916025299093191E-2</v>
      </c>
      <c r="U17" s="19"/>
      <c r="V17" s="190"/>
      <c r="W17" s="19"/>
      <c r="X17" s="20"/>
    </row>
    <row r="18" spans="1:24" ht="15" x14ac:dyDescent="0.2">
      <c r="A18" s="222" t="s">
        <v>146</v>
      </c>
      <c r="B18" s="225">
        <v>-0.2839967046950615</v>
      </c>
      <c r="C18" s="222"/>
      <c r="D18" s="226">
        <v>0.2839967046950615</v>
      </c>
      <c r="E18" s="226"/>
      <c r="F18" s="227">
        <f>D18/$D$20</f>
        <v>0.14630837555576967</v>
      </c>
      <c r="G18" s="222"/>
      <c r="H18" s="228">
        <f>D18/$D$49</f>
        <v>5.1640251860295736E-2</v>
      </c>
      <c r="I18" s="228">
        <f t="shared" si="1"/>
        <v>2.2680176133298577E-2</v>
      </c>
      <c r="J18" s="222"/>
      <c r="K18" s="222" t="s">
        <v>146</v>
      </c>
      <c r="L18" s="225">
        <v>-0.21299999999999999</v>
      </c>
      <c r="M18" s="222"/>
      <c r="N18" s="226">
        <v>0.21299999999999999</v>
      </c>
      <c r="O18" s="226"/>
      <c r="P18" s="227">
        <f>N18/$N$20</f>
        <v>0.10152526215443279</v>
      </c>
      <c r="Q18" s="222"/>
      <c r="R18" s="227">
        <f>N18/$N$49</f>
        <v>3.2462089461251238E-2</v>
      </c>
      <c r="U18" s="19"/>
      <c r="V18" s="190"/>
      <c r="W18" s="19"/>
      <c r="X18" s="20"/>
    </row>
    <row r="19" spans="1:24" ht="15.75" x14ac:dyDescent="0.25">
      <c r="A19" s="202"/>
      <c r="B19" s="225"/>
      <c r="C19" s="222"/>
      <c r="D19" s="226"/>
      <c r="E19" s="226"/>
      <c r="F19" s="229"/>
      <c r="G19" s="222"/>
      <c r="H19" s="235"/>
      <c r="I19" s="235"/>
      <c r="J19" s="222"/>
      <c r="K19" s="202"/>
      <c r="L19" s="225"/>
      <c r="M19" s="222"/>
      <c r="N19" s="226"/>
      <c r="O19" s="226"/>
      <c r="P19" s="231"/>
      <c r="Q19" s="222"/>
      <c r="R19" s="230"/>
      <c r="U19" s="19"/>
      <c r="V19" s="190"/>
      <c r="W19" s="19"/>
      <c r="X19" s="20"/>
    </row>
    <row r="20" spans="1:24" ht="15.75" x14ac:dyDescent="0.25">
      <c r="A20" s="202" t="s">
        <v>76</v>
      </c>
      <c r="B20" s="225"/>
      <c r="C20" s="222"/>
      <c r="D20" s="226">
        <f>SUM(D15:D18)</f>
        <v>1.9410830283383738</v>
      </c>
      <c r="E20" s="226"/>
      <c r="F20" s="232">
        <f>SUM(F15:F18)</f>
        <v>1</v>
      </c>
      <c r="G20" s="222"/>
      <c r="H20" s="233">
        <f>SUM(H15:H18)</f>
        <v>0.35295485760219897</v>
      </c>
      <c r="I20" s="234"/>
      <c r="J20" s="222"/>
      <c r="K20" s="202" t="s">
        <v>76</v>
      </c>
      <c r="L20" s="225"/>
      <c r="M20" s="222"/>
      <c r="N20" s="226">
        <f>SUM(N15:N18)</f>
        <v>2.0979999999999999</v>
      </c>
      <c r="O20" s="226"/>
      <c r="P20" s="232">
        <f>SUM(P15:P18)</f>
        <v>1</v>
      </c>
      <c r="Q20" s="222"/>
      <c r="R20" s="233">
        <f>SUM(R15:R18)</f>
        <v>0.31974396098453095</v>
      </c>
      <c r="U20" s="18"/>
      <c r="V20" s="190"/>
      <c r="W20" s="19"/>
      <c r="X20" s="20"/>
    </row>
    <row r="21" spans="1:24" ht="15" x14ac:dyDescent="0.25">
      <c r="A21" s="18"/>
      <c r="B21" s="190"/>
      <c r="C21" s="19"/>
      <c r="D21" s="20"/>
      <c r="E21" s="20"/>
      <c r="F21" s="214"/>
      <c r="G21" s="19"/>
      <c r="H21" s="221"/>
      <c r="I21" s="221"/>
      <c r="K21" s="18"/>
      <c r="L21" s="190"/>
      <c r="M21" s="19"/>
      <c r="N21" s="20"/>
      <c r="O21" s="20"/>
      <c r="P21" s="214"/>
      <c r="Q21" s="19"/>
      <c r="R21" s="221"/>
    </row>
    <row r="22" spans="1:24" ht="15" x14ac:dyDescent="0.25">
      <c r="A22" s="18"/>
      <c r="B22" s="190"/>
      <c r="C22" s="19"/>
      <c r="D22" s="20"/>
      <c r="E22" s="20"/>
      <c r="F22" s="214"/>
      <c r="G22" s="19"/>
      <c r="H22" s="221"/>
      <c r="I22" s="221"/>
      <c r="K22" s="18"/>
      <c r="L22" s="190"/>
      <c r="M22" s="19"/>
      <c r="N22" s="20"/>
      <c r="O22" s="20"/>
      <c r="P22" s="214"/>
      <c r="Q22" s="19"/>
      <c r="R22" s="221"/>
    </row>
    <row r="23" spans="1:24" ht="15" x14ac:dyDescent="0.25">
      <c r="A23" s="18"/>
      <c r="B23" s="190"/>
      <c r="C23" s="19"/>
      <c r="D23" s="20"/>
      <c r="E23" s="20"/>
      <c r="F23" s="213"/>
      <c r="G23" s="19"/>
      <c r="H23" s="216"/>
      <c r="I23" s="217"/>
      <c r="K23" s="18"/>
      <c r="L23" s="190"/>
      <c r="M23" s="19"/>
      <c r="N23" s="20"/>
      <c r="O23" s="20"/>
      <c r="P23" s="20"/>
      <c r="Q23" s="19"/>
      <c r="R23" s="216"/>
    </row>
    <row r="24" spans="1:24" ht="36" x14ac:dyDescent="0.25">
      <c r="A24" s="207" t="s">
        <v>665</v>
      </c>
      <c r="B24" s="239">
        <v>0.8900187526593043</v>
      </c>
      <c r="C24" s="240"/>
      <c r="D24" s="241">
        <v>0.8900187526593043</v>
      </c>
      <c r="E24" s="241"/>
      <c r="F24" s="224" t="s">
        <v>667</v>
      </c>
      <c r="G24" s="223"/>
      <c r="H24" s="224" t="s">
        <v>666</v>
      </c>
      <c r="I24" s="242">
        <v>0.16183565438571781</v>
      </c>
      <c r="J24" s="223"/>
      <c r="K24" s="207" t="s">
        <v>665</v>
      </c>
      <c r="L24" s="239">
        <v>1.0125999999999999</v>
      </c>
      <c r="M24" s="240"/>
      <c r="N24" s="241">
        <v>1.0125999999999999</v>
      </c>
      <c r="O24" s="241"/>
      <c r="P24" s="224" t="s">
        <v>667</v>
      </c>
      <c r="Q24" s="223"/>
      <c r="R24" s="224" t="s">
        <v>666</v>
      </c>
      <c r="S24" s="218">
        <f>$N$24/$N$49</f>
        <v>0.15432446849043663</v>
      </c>
    </row>
    <row r="25" spans="1:24" ht="15" x14ac:dyDescent="0.2">
      <c r="A25" s="222" t="s">
        <v>671</v>
      </c>
      <c r="B25" s="225">
        <v>0.77900000000000003</v>
      </c>
      <c r="C25" s="222"/>
      <c r="D25" s="226">
        <v>0.77900000000000003</v>
      </c>
      <c r="E25" s="226"/>
      <c r="F25" s="227">
        <f t="shared" ref="F25:F37" si="2">D25/$D$39</f>
        <v>0.15509957034034302</v>
      </c>
      <c r="G25" s="222"/>
      <c r="H25" s="244">
        <f>((F25*100)*$I$24)/100</f>
        <v>2.5100640460973087E-2</v>
      </c>
      <c r="I25" s="228">
        <f t="shared" ref="I25:I35" si="3">D25/$D$45</f>
        <v>6.2211486667812815E-2</v>
      </c>
      <c r="J25" s="222"/>
      <c r="K25" s="222" t="s">
        <v>671</v>
      </c>
      <c r="L25" s="225">
        <v>0.77900000000000003</v>
      </c>
      <c r="M25" s="222"/>
      <c r="N25" s="226">
        <v>0.77900000000000003</v>
      </c>
      <c r="O25" s="226"/>
      <c r="P25" s="227">
        <f t="shared" ref="P25:P37" si="4">N25/$N$39</f>
        <v>0.14979156090882523</v>
      </c>
      <c r="Q25" s="222"/>
      <c r="R25" s="244">
        <f>((P25*100)*$S$24)/100</f>
        <v>2.3116503021607317E-2</v>
      </c>
    </row>
    <row r="26" spans="1:24" ht="15" x14ac:dyDescent="0.2">
      <c r="A26" s="222" t="s">
        <v>669</v>
      </c>
      <c r="B26" s="225"/>
      <c r="C26" s="222"/>
      <c r="D26" s="226">
        <v>0.74850000000000005</v>
      </c>
      <c r="E26" s="226"/>
      <c r="F26" s="227">
        <f t="shared" si="2"/>
        <v>0.14902699409466849</v>
      </c>
      <c r="G26" s="222"/>
      <c r="H26" s="244">
        <f t="shared" ref="H26:H37" si="5">((F26*100)*$I$24)/100</f>
        <v>2.411788111044718E-2</v>
      </c>
      <c r="I26" s="228">
        <f t="shared" si="3"/>
        <v>5.9775735264259174E-2</v>
      </c>
      <c r="J26" s="222"/>
      <c r="K26" s="222" t="s">
        <v>669</v>
      </c>
      <c r="L26" s="225"/>
      <c r="M26" s="222"/>
      <c r="N26" s="226">
        <v>0.67769999999999997</v>
      </c>
      <c r="O26" s="226"/>
      <c r="P26" s="227">
        <f t="shared" si="4"/>
        <v>0.13031288938114358</v>
      </c>
      <c r="Q26" s="222"/>
      <c r="R26" s="244">
        <f t="shared" ref="R26:R37" si="6">((P26*100)*$S$24)/100</f>
        <v>2.011046739119805E-2</v>
      </c>
    </row>
    <row r="27" spans="1:24" ht="15" x14ac:dyDescent="0.2">
      <c r="A27" s="222" t="s">
        <v>450</v>
      </c>
      <c r="B27" s="225"/>
      <c r="C27" s="222"/>
      <c r="D27" s="226">
        <v>0.72260000000000002</v>
      </c>
      <c r="E27" s="226"/>
      <c r="F27" s="227">
        <f t="shared" si="2"/>
        <v>0.14387028180735797</v>
      </c>
      <c r="G27" s="222"/>
      <c r="H27" s="244">
        <f t="shared" si="5"/>
        <v>2.3283341202951408E-2</v>
      </c>
      <c r="I27" s="228">
        <f t="shared" si="3"/>
        <v>5.7707343088782462E-2</v>
      </c>
      <c r="J27" s="222"/>
      <c r="K27" s="222" t="s">
        <v>668</v>
      </c>
      <c r="L27" s="225"/>
      <c r="M27" s="222"/>
      <c r="N27" s="226">
        <v>0.62370000000000003</v>
      </c>
      <c r="O27" s="226"/>
      <c r="P27" s="227">
        <f t="shared" si="4"/>
        <v>0.11992939221929948</v>
      </c>
      <c r="Q27" s="222"/>
      <c r="R27" s="244">
        <f t="shared" si="6"/>
        <v>1.8508039710624497E-2</v>
      </c>
    </row>
    <row r="28" spans="1:24" ht="15" x14ac:dyDescent="0.2">
      <c r="A28" s="222" t="s">
        <v>670</v>
      </c>
      <c r="B28" s="225"/>
      <c r="C28" s="222"/>
      <c r="D28" s="226">
        <v>0.61660000000000004</v>
      </c>
      <c r="E28" s="226"/>
      <c r="F28" s="227">
        <f t="shared" si="2"/>
        <v>0.12276559059288256</v>
      </c>
      <c r="G28" s="222"/>
      <c r="H28" s="244">
        <f t="shared" si="5"/>
        <v>1.9867849689648272E-2</v>
      </c>
      <c r="I28" s="228">
        <f t="shared" si="3"/>
        <v>4.9242108702661595E-2</v>
      </c>
      <c r="J28" s="222"/>
      <c r="K28" s="222" t="s">
        <v>670</v>
      </c>
      <c r="L28" s="225"/>
      <c r="M28" s="222"/>
      <c r="N28" s="226">
        <v>0.59230000000000005</v>
      </c>
      <c r="O28" s="226"/>
      <c r="P28" s="227">
        <f t="shared" si="4"/>
        <v>0.11389158090667161</v>
      </c>
      <c r="Q28" s="222"/>
      <c r="R28" s="244">
        <f t="shared" si="6"/>
        <v>1.7576257688957656E-2</v>
      </c>
    </row>
    <row r="29" spans="1:24" ht="15.75" hidden="1" x14ac:dyDescent="0.25">
      <c r="A29" s="202" t="s">
        <v>672</v>
      </c>
      <c r="B29" s="225">
        <v>0.62090000000000001</v>
      </c>
      <c r="C29" s="222"/>
      <c r="D29" s="246">
        <f>SUM(D25:D28)</f>
        <v>2.8667000000000002</v>
      </c>
      <c r="E29" s="246"/>
      <c r="F29" s="227">
        <f t="shared" si="2"/>
        <v>0.57076243683525207</v>
      </c>
      <c r="G29" s="222"/>
      <c r="H29" s="244">
        <f t="shared" si="5"/>
        <v>9.236971246401994E-2</v>
      </c>
      <c r="I29" s="235"/>
      <c r="J29" s="222"/>
      <c r="K29" s="202" t="s">
        <v>672</v>
      </c>
      <c r="L29" s="225">
        <v>0.86280000000000001</v>
      </c>
      <c r="M29" s="222"/>
      <c r="N29" s="226"/>
      <c r="O29" s="226"/>
      <c r="P29" s="227">
        <f t="shared" si="4"/>
        <v>0</v>
      </c>
      <c r="Q29" s="222"/>
      <c r="R29" s="244">
        <f t="shared" si="6"/>
        <v>0</v>
      </c>
    </row>
    <row r="30" spans="1:24" ht="15" x14ac:dyDescent="0.2">
      <c r="A30" s="222" t="s">
        <v>668</v>
      </c>
      <c r="B30" s="225"/>
      <c r="C30" s="222"/>
      <c r="D30" s="226">
        <v>0.52649999999999997</v>
      </c>
      <c r="E30" s="226"/>
      <c r="F30" s="227">
        <f t="shared" si="2"/>
        <v>0.10482660306057844</v>
      </c>
      <c r="G30" s="247"/>
      <c r="H30" s="244">
        <f t="shared" si="5"/>
        <v>1.6964681903340599E-2</v>
      </c>
      <c r="I30" s="228">
        <f t="shared" si="3"/>
        <v>4.2046659474458847E-2</v>
      </c>
      <c r="J30" s="222"/>
      <c r="K30" s="222" t="s">
        <v>443</v>
      </c>
      <c r="L30" s="225"/>
      <c r="M30" s="222"/>
      <c r="N30" s="226">
        <v>0.56850000000000001</v>
      </c>
      <c r="O30" s="226"/>
      <c r="P30" s="227">
        <f t="shared" si="4"/>
        <v>0.10931515067608105</v>
      </c>
      <c r="Q30" s="222"/>
      <c r="R30" s="244">
        <f t="shared" si="6"/>
        <v>1.6870002526038201E-2</v>
      </c>
    </row>
    <row r="31" spans="1:24" ht="15" x14ac:dyDescent="0.2">
      <c r="A31" s="222" t="s">
        <v>443</v>
      </c>
      <c r="B31" s="225"/>
      <c r="C31" s="222"/>
      <c r="D31" s="226">
        <v>0.44240000000000002</v>
      </c>
      <c r="E31" s="226"/>
      <c r="F31" s="227">
        <f t="shared" si="2"/>
        <v>8.8082220691357835E-2</v>
      </c>
      <c r="G31" s="247"/>
      <c r="H31" s="244">
        <f t="shared" si="5"/>
        <v>1.4254843825333111E-2</v>
      </c>
      <c r="I31" s="228">
        <f t="shared" si="3"/>
        <v>3.5330374456791255E-2</v>
      </c>
      <c r="J31" s="222"/>
      <c r="K31" s="222" t="s">
        <v>450</v>
      </c>
      <c r="L31" s="225"/>
      <c r="M31" s="222"/>
      <c r="N31" s="226">
        <v>0.56799999999999995</v>
      </c>
      <c r="O31" s="226"/>
      <c r="P31" s="227">
        <f t="shared" si="4"/>
        <v>0.10921900718384174</v>
      </c>
      <c r="Q31" s="222"/>
      <c r="R31" s="244">
        <f t="shared" si="6"/>
        <v>1.6855165232699556E-2</v>
      </c>
    </row>
    <row r="32" spans="1:24" ht="15" x14ac:dyDescent="0.2">
      <c r="A32" s="222" t="s">
        <v>451</v>
      </c>
      <c r="B32" s="225"/>
      <c r="C32" s="226">
        <v>0.60319999999999996</v>
      </c>
      <c r="D32" s="226">
        <f>C32*0.7</f>
        <v>0.42223999999999995</v>
      </c>
      <c r="E32" s="226"/>
      <c r="F32" s="227">
        <f t="shared" si="2"/>
        <v>8.4068347343397215E-2</v>
      </c>
      <c r="G32" s="222"/>
      <c r="H32" s="244">
        <f t="shared" si="5"/>
        <v>1.3605256005444511E-2</v>
      </c>
      <c r="I32" s="228">
        <f>C32/$D$45</f>
        <v>4.8171975299133099E-2</v>
      </c>
      <c r="J32" s="222"/>
      <c r="K32" s="222" t="s">
        <v>451</v>
      </c>
      <c r="L32" s="225"/>
      <c r="M32" s="226">
        <v>0.60029999999999994</v>
      </c>
      <c r="N32" s="226">
        <f>M32*0.7</f>
        <v>0.42020999999999992</v>
      </c>
      <c r="O32" s="226"/>
      <c r="P32" s="227">
        <f t="shared" si="4"/>
        <v>8.0800913747750239E-2</v>
      </c>
      <c r="Q32" s="222"/>
      <c r="R32" s="244">
        <f t="shared" si="6"/>
        <v>1.2469558067663171E-2</v>
      </c>
    </row>
    <row r="33" spans="1:18" ht="15.75" hidden="1" x14ac:dyDescent="0.25">
      <c r="A33" s="202" t="s">
        <v>673</v>
      </c>
      <c r="B33" s="225">
        <v>0.94269999999999998</v>
      </c>
      <c r="C33" s="222"/>
      <c r="D33" s="246">
        <f>SUM(D30:D32)</f>
        <v>1.39114</v>
      </c>
      <c r="E33" s="246"/>
      <c r="F33" s="227">
        <f t="shared" si="2"/>
        <v>0.27697717109533349</v>
      </c>
      <c r="G33" s="222"/>
      <c r="H33" s="244">
        <f t="shared" si="5"/>
        <v>4.4824781734118219E-2</v>
      </c>
      <c r="I33" s="235"/>
      <c r="J33" s="222"/>
      <c r="K33" s="202" t="s">
        <v>673</v>
      </c>
      <c r="L33" s="225">
        <v>1.0717000000000001</v>
      </c>
      <c r="M33" s="222"/>
      <c r="N33" s="226"/>
      <c r="O33" s="226"/>
      <c r="P33" s="227">
        <f t="shared" si="4"/>
        <v>0</v>
      </c>
      <c r="Q33" s="222"/>
      <c r="R33" s="244">
        <f t="shared" si="6"/>
        <v>0</v>
      </c>
    </row>
    <row r="34" spans="1:18" ht="15" x14ac:dyDescent="0.2">
      <c r="A34" s="222" t="s">
        <v>445</v>
      </c>
      <c r="B34" s="225"/>
      <c r="C34" s="222"/>
      <c r="D34" s="226">
        <v>0.33589999999999998</v>
      </c>
      <c r="E34" s="226"/>
      <c r="F34" s="227">
        <f t="shared" si="2"/>
        <v>6.6877979046625444E-2</v>
      </c>
      <c r="G34" s="247"/>
      <c r="H34" s="244">
        <f t="shared" si="5"/>
        <v>1.0823241503004954E-2</v>
      </c>
      <c r="I34" s="228">
        <f t="shared" si="3"/>
        <v>2.6825209719792454E-2</v>
      </c>
      <c r="J34" s="222"/>
      <c r="K34" s="222" t="s">
        <v>445</v>
      </c>
      <c r="L34" s="225"/>
      <c r="M34" s="222"/>
      <c r="N34" s="226">
        <v>0.42009999999999997</v>
      </c>
      <c r="O34" s="226"/>
      <c r="P34" s="227">
        <f t="shared" si="4"/>
        <v>8.0779762179457607E-2</v>
      </c>
      <c r="Q34" s="222"/>
      <c r="R34" s="244">
        <f t="shared" si="6"/>
        <v>1.2466293863128671E-2</v>
      </c>
    </row>
    <row r="35" spans="1:18" ht="15" x14ac:dyDescent="0.2">
      <c r="A35" s="222" t="s">
        <v>447</v>
      </c>
      <c r="B35" s="225"/>
      <c r="C35" s="222"/>
      <c r="D35" s="226">
        <v>0.24679999999999999</v>
      </c>
      <c r="E35" s="226"/>
      <c r="F35" s="227">
        <f t="shared" si="2"/>
        <v>4.9138092374835247E-2</v>
      </c>
      <c r="G35" s="247"/>
      <c r="H35" s="244">
        <f t="shared" si="5"/>
        <v>7.9522953347473131E-3</v>
      </c>
      <c r="I35" s="228">
        <f t="shared" si="3"/>
        <v>1.9709621193345572E-2</v>
      </c>
      <c r="J35" s="222"/>
      <c r="K35" s="222" t="s">
        <v>447</v>
      </c>
      <c r="L35" s="225"/>
      <c r="M35" s="222"/>
      <c r="N35" s="226">
        <v>0.31509999999999999</v>
      </c>
      <c r="O35" s="226"/>
      <c r="P35" s="227">
        <f t="shared" si="4"/>
        <v>6.0589628809205168E-2</v>
      </c>
      <c r="Q35" s="222"/>
      <c r="R35" s="244">
        <f t="shared" si="6"/>
        <v>9.3504622620134356E-3</v>
      </c>
    </row>
    <row r="36" spans="1:18" s="1" customFormat="1" ht="15.75" hidden="1" x14ac:dyDescent="0.25">
      <c r="A36" s="202" t="s">
        <v>674</v>
      </c>
      <c r="B36" s="225">
        <v>0.6341</v>
      </c>
      <c r="C36" s="202"/>
      <c r="D36" s="246">
        <f>SUM(D34:D35)</f>
        <v>0.5827</v>
      </c>
      <c r="E36" s="246"/>
      <c r="F36" s="227">
        <f t="shared" si="2"/>
        <v>0.1160160714214607</v>
      </c>
      <c r="G36" s="202"/>
      <c r="H36" s="244">
        <f t="shared" si="5"/>
        <v>1.8775536837752269E-2</v>
      </c>
      <c r="I36" s="248"/>
      <c r="J36" s="202"/>
      <c r="K36" s="202" t="s">
        <v>674</v>
      </c>
      <c r="L36" s="225">
        <v>0.74770000000000003</v>
      </c>
      <c r="M36" s="202"/>
      <c r="N36" s="246"/>
      <c r="O36" s="246"/>
      <c r="P36" s="227">
        <f t="shared" si="4"/>
        <v>0</v>
      </c>
      <c r="Q36" s="202"/>
      <c r="R36" s="244">
        <f t="shared" si="6"/>
        <v>0</v>
      </c>
    </row>
    <row r="37" spans="1:18" ht="15" x14ac:dyDescent="0.2">
      <c r="A37" s="222" t="s">
        <v>452</v>
      </c>
      <c r="B37" s="225"/>
      <c r="C37" s="226">
        <v>0.60680000000000001</v>
      </c>
      <c r="D37" s="226">
        <f>C37*0.3</f>
        <v>0.18204000000000001</v>
      </c>
      <c r="E37" s="226"/>
      <c r="F37" s="227">
        <f t="shared" si="2"/>
        <v>3.6244320647953847E-2</v>
      </c>
      <c r="G37" s="222"/>
      <c r="H37" s="244">
        <f t="shared" si="5"/>
        <v>5.8656233498273948E-3</v>
      </c>
      <c r="I37" s="228">
        <f>C37/$D$45</f>
        <v>4.8459473825454194E-2</v>
      </c>
      <c r="J37" s="222"/>
      <c r="K37" s="222" t="s">
        <v>452</v>
      </c>
      <c r="L37" s="225"/>
      <c r="M37" s="226">
        <v>0.78649999999999998</v>
      </c>
      <c r="N37" s="226">
        <f>M37*0.3</f>
        <v>0.23594999999999999</v>
      </c>
      <c r="O37" s="226"/>
      <c r="P37" s="227">
        <f t="shared" si="4"/>
        <v>4.5370113987724406E-2</v>
      </c>
      <c r="Q37" s="222"/>
      <c r="R37" s="244">
        <f t="shared" si="6"/>
        <v>7.0017187265060928E-3</v>
      </c>
    </row>
    <row r="38" spans="1:18" ht="15.75" x14ac:dyDescent="0.25">
      <c r="A38" s="222"/>
      <c r="B38" s="249"/>
      <c r="C38" s="222"/>
      <c r="D38" s="226"/>
      <c r="E38" s="226"/>
      <c r="F38" s="222"/>
      <c r="G38" s="222"/>
      <c r="H38" s="250"/>
      <c r="I38" s="251"/>
      <c r="J38" s="222"/>
      <c r="K38" s="202"/>
      <c r="L38" s="225"/>
      <c r="M38" s="222"/>
      <c r="N38" s="226"/>
      <c r="O38" s="226"/>
      <c r="P38" s="226"/>
      <c r="Q38" s="222"/>
      <c r="R38" s="250"/>
    </row>
    <row r="39" spans="1:18" ht="15.75" x14ac:dyDescent="0.25">
      <c r="A39" s="202" t="s">
        <v>76</v>
      </c>
      <c r="B39" s="225">
        <f>B29+B33+B36+B37</f>
        <v>2.1977000000000002</v>
      </c>
      <c r="C39" s="222"/>
      <c r="D39" s="226">
        <f>D25+D26+D27+D28+D30+D31+D32+D34+D35+D37</f>
        <v>5.0225799999999996</v>
      </c>
      <c r="E39" s="226"/>
      <c r="F39" s="227">
        <f>F25+F26+F27+F28+F30+F31+F32+F34+F35+F37</f>
        <v>0.99999999999999989</v>
      </c>
      <c r="G39" s="229"/>
      <c r="H39" s="252">
        <f>H25+H26+H27+H28+H30+H31+H32+H34+H35+H37</f>
        <v>0.16183565438571784</v>
      </c>
      <c r="I39" s="228"/>
      <c r="J39" s="222"/>
      <c r="K39" s="202" t="s">
        <v>76</v>
      </c>
      <c r="L39" s="225"/>
      <c r="M39" s="222"/>
      <c r="N39" s="226">
        <f>N25+N26+N27+N28+N30+N31+N32+N34+N35+N37</f>
        <v>5.2005599999999994</v>
      </c>
      <c r="O39" s="226"/>
      <c r="P39" s="227">
        <f>P25+P26+P27+P28+P30+P31+P32+P34+P35+P37</f>
        <v>0.99999999999999989</v>
      </c>
      <c r="Q39" s="229"/>
      <c r="R39" s="252">
        <f>R25+R26+R27+R28+R30+R31+R32+R34+R35+R37</f>
        <v>0.15432446849043666</v>
      </c>
    </row>
    <row r="40" spans="1:18" ht="15" x14ac:dyDescent="0.25">
      <c r="A40" s="18"/>
      <c r="B40" s="190"/>
      <c r="C40" s="19"/>
      <c r="D40" s="20"/>
      <c r="E40" s="20"/>
      <c r="F40" s="212"/>
      <c r="G40" s="213"/>
      <c r="H40" s="215"/>
      <c r="I40" s="215"/>
      <c r="K40" s="18"/>
      <c r="L40" s="190"/>
      <c r="M40" s="19"/>
      <c r="N40" s="20"/>
      <c r="O40" s="20"/>
      <c r="P40" s="212"/>
      <c r="Q40" s="213"/>
      <c r="R40" s="215"/>
    </row>
    <row r="41" spans="1:18" ht="15" x14ac:dyDescent="0.25">
      <c r="A41" s="18"/>
      <c r="B41" s="190"/>
      <c r="C41" s="19"/>
      <c r="D41" s="20"/>
      <c r="E41" s="20"/>
      <c r="F41" s="212"/>
      <c r="G41" s="213"/>
      <c r="H41" s="215"/>
      <c r="I41" s="215"/>
      <c r="K41" s="18"/>
      <c r="L41" s="190"/>
      <c r="M41" s="19"/>
      <c r="N41" s="20"/>
      <c r="O41" s="20"/>
      <c r="P41" s="212"/>
      <c r="Q41" s="213"/>
      <c r="R41" s="215"/>
    </row>
    <row r="42" spans="1:18" ht="15" x14ac:dyDescent="0.25">
      <c r="A42" s="19"/>
      <c r="B42" s="190"/>
      <c r="C42" s="19"/>
      <c r="D42" s="20"/>
      <c r="E42" s="20"/>
      <c r="F42" s="213"/>
      <c r="G42" s="213"/>
      <c r="H42" s="216"/>
      <c r="I42" s="217"/>
      <c r="K42" s="18"/>
      <c r="L42" s="190"/>
      <c r="M42" s="19"/>
      <c r="N42" s="20"/>
      <c r="O42" s="20"/>
      <c r="P42" s="20"/>
      <c r="Q42" s="19"/>
      <c r="R42" s="21"/>
    </row>
    <row r="43" spans="1:18" ht="36" x14ac:dyDescent="0.25">
      <c r="A43" s="207" t="s">
        <v>664</v>
      </c>
      <c r="B43" s="236">
        <v>-0.63298909652168489</v>
      </c>
      <c r="C43" s="223"/>
      <c r="D43" s="237">
        <v>0.63298909652168489</v>
      </c>
      <c r="E43" s="237"/>
      <c r="F43" s="224" t="s">
        <v>667</v>
      </c>
      <c r="G43" s="223"/>
      <c r="H43" s="224" t="s">
        <v>666</v>
      </c>
      <c r="I43" s="228">
        <f t="shared" ref="I43" si="7">D43/$D$45</f>
        <v>5.0550953452027828E-2</v>
      </c>
      <c r="J43" s="223"/>
      <c r="K43" s="207" t="s">
        <v>664</v>
      </c>
      <c r="L43" s="236">
        <v>-0.73509999999999998</v>
      </c>
      <c r="M43" s="223"/>
      <c r="N43" s="237">
        <v>0.73509999999999998</v>
      </c>
      <c r="O43" s="237"/>
      <c r="P43" s="224" t="s">
        <v>667</v>
      </c>
      <c r="Q43" s="223"/>
      <c r="R43" s="224" t="s">
        <v>666</v>
      </c>
    </row>
    <row r="44" spans="1:18" ht="15.75" x14ac:dyDescent="0.25">
      <c r="A44" s="202"/>
      <c r="B44" s="190"/>
      <c r="C44" s="19"/>
      <c r="D44" s="20"/>
      <c r="E44" s="20"/>
      <c r="F44" s="213"/>
      <c r="G44" s="213"/>
      <c r="H44" s="212"/>
      <c r="I44" s="215"/>
      <c r="K44" s="202"/>
      <c r="L44" s="190"/>
      <c r="M44" s="19"/>
      <c r="N44" s="20"/>
      <c r="O44" s="20"/>
      <c r="P44" s="20"/>
      <c r="Q44" s="19"/>
      <c r="R44" s="212"/>
    </row>
    <row r="45" spans="1:18" ht="15.75" x14ac:dyDescent="0.25">
      <c r="A45" s="202" t="s">
        <v>76</v>
      </c>
      <c r="B45" s="222"/>
      <c r="C45" s="222"/>
      <c r="D45" s="226">
        <f>SUM(D5:D8)+SUM(D15:D18)+SUM(D25:D31)+C32+C37+D43</f>
        <v>12.521803315191335</v>
      </c>
      <c r="E45" s="222"/>
      <c r="F45" s="229"/>
      <c r="G45" s="229"/>
      <c r="H45" s="252">
        <f>$D$43/$D$49</f>
        <v>0.1150989283636194</v>
      </c>
      <c r="I45" s="235"/>
      <c r="J45" s="222"/>
      <c r="K45" s="202" t="s">
        <v>76</v>
      </c>
      <c r="L45" s="222"/>
      <c r="M45" s="222"/>
      <c r="N45" s="222"/>
      <c r="O45" s="222"/>
      <c r="P45" s="222"/>
      <c r="Q45" s="222"/>
      <c r="R45" s="252">
        <f>$N$43/$N$49</f>
        <v>0.11203230968528537</v>
      </c>
    </row>
    <row r="46" spans="1:18" ht="15" x14ac:dyDescent="0.2">
      <c r="A46" s="222"/>
      <c r="B46" s="222"/>
      <c r="C46" s="222"/>
      <c r="D46" s="222"/>
      <c r="E46" s="222"/>
      <c r="F46" s="229"/>
      <c r="G46" s="229"/>
      <c r="H46" s="230"/>
      <c r="I46" s="235"/>
      <c r="J46" s="222"/>
      <c r="K46" s="222"/>
      <c r="L46" s="222"/>
      <c r="M46" s="222"/>
      <c r="N46" s="222"/>
      <c r="O46" s="222"/>
      <c r="P46" s="222"/>
      <c r="Q46" s="222"/>
      <c r="R46" s="250"/>
    </row>
    <row r="47" spans="1:18" ht="15" x14ac:dyDescent="0.2">
      <c r="A47" s="222"/>
      <c r="B47" s="222"/>
      <c r="C47" s="222"/>
      <c r="D47" s="222"/>
      <c r="E47" s="222"/>
      <c r="F47" s="229"/>
      <c r="G47" s="229"/>
      <c r="H47" s="230"/>
      <c r="I47" s="235"/>
      <c r="J47" s="222"/>
      <c r="K47" s="222"/>
      <c r="L47" s="222"/>
      <c r="M47" s="222"/>
      <c r="N47" s="222"/>
      <c r="O47" s="222"/>
      <c r="P47" s="222"/>
      <c r="Q47" s="222"/>
      <c r="R47" s="250"/>
    </row>
    <row r="48" spans="1:18" ht="15" x14ac:dyDescent="0.2">
      <c r="A48" s="222"/>
      <c r="B48" s="222"/>
      <c r="C48" s="222"/>
      <c r="D48" s="222"/>
      <c r="E48" s="222"/>
      <c r="F48" s="229"/>
      <c r="G48" s="229"/>
      <c r="H48" s="230"/>
      <c r="I48" s="235"/>
      <c r="J48" s="222"/>
      <c r="K48" s="222"/>
      <c r="L48" s="222"/>
      <c r="M48" s="222"/>
      <c r="N48" s="222"/>
      <c r="O48" s="222"/>
      <c r="P48" s="222"/>
      <c r="Q48" s="222"/>
      <c r="R48" s="250"/>
    </row>
    <row r="49" spans="1:18" ht="15.75" x14ac:dyDescent="0.25">
      <c r="A49" s="202" t="s">
        <v>675</v>
      </c>
      <c r="B49" s="225"/>
      <c r="C49" s="222"/>
      <c r="D49" s="226">
        <f>D10+D20+D24+D43</f>
        <v>5.4995220678506405</v>
      </c>
      <c r="E49" s="226"/>
      <c r="F49" s="229"/>
      <c r="G49" s="229"/>
      <c r="H49" s="253">
        <f>H45+I24+H20+H10</f>
        <v>1</v>
      </c>
      <c r="I49" s="254">
        <f>SUM(I5:I8)+SUM(I15:I18)+SUM(I25:I37)+I43</f>
        <v>0.81759815718962203</v>
      </c>
      <c r="J49" s="222"/>
      <c r="K49" s="202" t="s">
        <v>675</v>
      </c>
      <c r="L49" s="222"/>
      <c r="M49" s="222"/>
      <c r="N49" s="226">
        <f>N10+N20+N24+N43</f>
        <v>6.5615000000000006</v>
      </c>
      <c r="O49" s="226"/>
      <c r="P49" s="226"/>
      <c r="Q49" s="222"/>
      <c r="R49" s="253">
        <f>R45+S24+R20+R10</f>
        <v>1</v>
      </c>
    </row>
    <row r="51" spans="1:18" x14ac:dyDescent="0.2">
      <c r="D51" s="4"/>
      <c r="E51" s="4"/>
    </row>
  </sheetData>
  <sortState ref="K19:R31">
    <sortCondition descending="1" ref="R19:R31"/>
  </sortState>
  <pageMargins left="0.7" right="0.7" top="0.75" bottom="0.75" header="0.3" footer="0.3"/>
  <pageSetup scale="48" orientation="landscape" r:id="rId1"/>
  <headerFooter>
    <oddHeader>&amp;C&amp;18Coefficient Weight Distribution by Criteria and Overall</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0.249977111117893"/>
    <pageSetUpPr fitToPage="1"/>
  </sheetPr>
  <dimension ref="A1:BM41"/>
  <sheetViews>
    <sheetView tabSelected="1" zoomScaleNormal="100" workbookViewId="0">
      <pane xSplit="3" ySplit="2" topLeftCell="D3" activePane="bottomRight" state="frozen"/>
      <selection pane="topRight" activeCell="C1" sqref="C1"/>
      <selection pane="bottomLeft" activeCell="A3" sqref="A3"/>
      <selection pane="bottomRight"/>
    </sheetView>
  </sheetViews>
  <sheetFormatPr defaultRowHeight="14.25" x14ac:dyDescent="0.2"/>
  <cols>
    <col min="1" max="1" width="8.85546875" style="19" bestFit="1" customWidth="1"/>
    <col min="2" max="2" width="4.7109375" style="19" customWidth="1"/>
    <col min="3" max="3" width="13" style="19" customWidth="1"/>
    <col min="4" max="4" width="4.42578125" style="19" customWidth="1"/>
    <col min="5" max="7" width="9.140625" style="19"/>
    <col min="8" max="8" width="12.85546875" style="19" customWidth="1"/>
    <col min="9" max="9" width="3.7109375" style="19" customWidth="1"/>
    <col min="10" max="12" width="9.140625" style="19"/>
    <col min="13" max="13" width="12.85546875" style="19" customWidth="1"/>
    <col min="14" max="14" width="4.140625" style="19" customWidth="1"/>
    <col min="15" max="17" width="9.5703125" style="19" customWidth="1"/>
    <col min="18" max="18" width="12.5703125" style="19" customWidth="1"/>
    <col min="19" max="19" width="3.7109375" style="19" customWidth="1"/>
    <col min="20" max="22" width="9.140625" style="19"/>
    <col min="23" max="23" width="12.5703125" style="19" customWidth="1"/>
    <col min="24" max="24" width="4.28515625" style="19" customWidth="1"/>
    <col min="25" max="25" width="10.28515625" style="19" customWidth="1"/>
    <col min="26" max="26" width="3.5703125" style="19" customWidth="1"/>
    <col min="27" max="29" width="9.140625" style="19"/>
    <col min="30" max="30" width="12.85546875" style="19" customWidth="1"/>
    <col min="31" max="31" width="3.7109375" style="19" customWidth="1"/>
    <col min="32" max="33" width="12.5703125" style="19" customWidth="1"/>
    <col min="34" max="34" width="11" style="19" customWidth="1"/>
    <col min="35" max="35" width="3.7109375" style="19" customWidth="1"/>
    <col min="36" max="38" width="9.140625" style="19"/>
    <col min="39" max="39" width="12.85546875" style="19" customWidth="1"/>
    <col min="40" max="40" width="3.85546875" style="19" customWidth="1"/>
    <col min="41" max="43" width="9.140625" style="19"/>
    <col min="44" max="44" width="12.140625" style="19" customWidth="1"/>
    <col min="45" max="45" width="3.85546875" style="19" customWidth="1"/>
    <col min="46" max="46" width="11" style="19" customWidth="1"/>
    <col min="47" max="48" width="9.140625" style="19"/>
    <col min="49" max="49" width="12.85546875" style="19" customWidth="1"/>
    <col min="50" max="50" width="4.140625" style="19" customWidth="1"/>
    <col min="51" max="51" width="10.42578125" style="19" customWidth="1"/>
    <col min="52" max="52" width="4" style="19" customWidth="1"/>
    <col min="53" max="53" width="6.140625" style="19" hidden="1" customWidth="1"/>
    <col min="54" max="55" width="6.5703125" style="19" customWidth="1"/>
    <col min="56" max="56" width="12.5703125" style="19" customWidth="1"/>
    <col min="57" max="57" width="5.28515625" style="19" customWidth="1"/>
    <col min="58" max="58" width="8.85546875" style="19" hidden="1" customWidth="1"/>
    <col min="59" max="59" width="9" style="19" customWidth="1"/>
    <col min="60" max="60" width="9.28515625" style="19" customWidth="1"/>
    <col min="61" max="61" width="13" style="19" customWidth="1"/>
    <col min="62" max="62" width="3.5703125" style="19" customWidth="1"/>
    <col min="63" max="63" width="9.140625" style="19"/>
    <col min="64" max="64" width="3.5703125" style="19" customWidth="1"/>
    <col min="65" max="16384" width="9.140625" style="19"/>
  </cols>
  <sheetData>
    <row r="1" spans="1:65" ht="45" x14ac:dyDescent="0.2">
      <c r="A1" s="326" t="s">
        <v>713</v>
      </c>
      <c r="B1" s="326"/>
      <c r="C1" s="326" t="s">
        <v>210</v>
      </c>
      <c r="D1" s="310"/>
      <c r="E1" s="297" t="s">
        <v>164</v>
      </c>
      <c r="F1" s="297"/>
      <c r="G1" s="297"/>
      <c r="H1" s="297"/>
      <c r="I1" s="297"/>
      <c r="J1" s="297" t="s">
        <v>182</v>
      </c>
      <c r="K1" s="297"/>
      <c r="L1" s="297"/>
      <c r="M1" s="297"/>
      <c r="O1" s="297" t="s">
        <v>189</v>
      </c>
      <c r="P1" s="297"/>
      <c r="Q1" s="297"/>
      <c r="R1" s="297"/>
      <c r="S1" s="297"/>
      <c r="T1" s="297" t="s">
        <v>183</v>
      </c>
      <c r="U1" s="297"/>
      <c r="V1" s="297"/>
      <c r="W1" s="297"/>
      <c r="Y1" s="298" t="s">
        <v>198</v>
      </c>
      <c r="AA1" s="297" t="s">
        <v>184</v>
      </c>
      <c r="AB1" s="297"/>
      <c r="AC1" s="297"/>
      <c r="AD1" s="297"/>
      <c r="AG1" s="326" t="s">
        <v>713</v>
      </c>
      <c r="AH1" s="326" t="s">
        <v>210</v>
      </c>
      <c r="AJ1" s="297" t="s">
        <v>185</v>
      </c>
      <c r="AK1" s="297"/>
      <c r="AL1" s="297"/>
      <c r="AM1" s="297"/>
      <c r="AO1" s="297" t="s">
        <v>186</v>
      </c>
      <c r="AP1" s="297"/>
      <c r="AQ1" s="297"/>
      <c r="AR1" s="297"/>
      <c r="AT1" s="297" t="s">
        <v>187</v>
      </c>
      <c r="AU1" s="297"/>
      <c r="AV1" s="297"/>
      <c r="AW1" s="297"/>
      <c r="AY1" s="298" t="s">
        <v>199</v>
      </c>
      <c r="BA1" s="297" t="s">
        <v>188</v>
      </c>
      <c r="BB1" s="297" t="s">
        <v>188</v>
      </c>
      <c r="BC1" s="297"/>
      <c r="BF1" s="297" t="s">
        <v>190</v>
      </c>
      <c r="BG1" s="297" t="s">
        <v>190</v>
      </c>
      <c r="BH1" s="297"/>
      <c r="BI1" s="297"/>
      <c r="BK1" s="298" t="s">
        <v>201</v>
      </c>
      <c r="BM1" s="298" t="s">
        <v>76</v>
      </c>
    </row>
    <row r="2" spans="1:65" ht="30" x14ac:dyDescent="0.2">
      <c r="E2" s="297">
        <v>2009</v>
      </c>
      <c r="F2" s="297">
        <v>2010</v>
      </c>
      <c r="G2" s="297">
        <v>2011</v>
      </c>
      <c r="H2" s="297" t="s">
        <v>711</v>
      </c>
      <c r="I2" s="297"/>
      <c r="J2" s="297">
        <v>2009</v>
      </c>
      <c r="K2" s="297">
        <v>2010</v>
      </c>
      <c r="L2" s="297">
        <v>2011</v>
      </c>
      <c r="M2" s="297" t="s">
        <v>711</v>
      </c>
      <c r="O2" s="297">
        <v>2009</v>
      </c>
      <c r="P2" s="297">
        <v>2010</v>
      </c>
      <c r="Q2" s="297">
        <v>2011</v>
      </c>
      <c r="R2" s="297" t="s">
        <v>711</v>
      </c>
      <c r="S2" s="297"/>
      <c r="T2" s="297">
        <v>2009</v>
      </c>
      <c r="U2" s="297">
        <v>2010</v>
      </c>
      <c r="V2" s="297">
        <v>2011</v>
      </c>
      <c r="W2" s="297" t="s">
        <v>711</v>
      </c>
      <c r="AA2" s="297">
        <v>2009</v>
      </c>
      <c r="AB2" s="297">
        <v>2010</v>
      </c>
      <c r="AC2" s="297">
        <v>2011</v>
      </c>
      <c r="AD2" s="297" t="s">
        <v>711</v>
      </c>
      <c r="AJ2" s="297">
        <v>2009</v>
      </c>
      <c r="AK2" s="297">
        <v>2010</v>
      </c>
      <c r="AL2" s="297">
        <v>2011</v>
      </c>
      <c r="AM2" s="297" t="s">
        <v>711</v>
      </c>
      <c r="AO2" s="297">
        <v>2009</v>
      </c>
      <c r="AP2" s="297">
        <v>2010</v>
      </c>
      <c r="AQ2" s="297">
        <v>2011</v>
      </c>
      <c r="AR2" s="297" t="s">
        <v>711</v>
      </c>
      <c r="AT2" s="297">
        <v>2009</v>
      </c>
      <c r="AU2" s="297">
        <v>2010</v>
      </c>
      <c r="AV2" s="297">
        <v>2011</v>
      </c>
      <c r="AW2" s="297" t="s">
        <v>711</v>
      </c>
      <c r="BA2" s="297">
        <v>2009</v>
      </c>
      <c r="BB2" s="297">
        <v>2010</v>
      </c>
      <c r="BC2" s="297">
        <v>2011</v>
      </c>
      <c r="BD2" s="297" t="s">
        <v>711</v>
      </c>
      <c r="BF2" s="297">
        <v>2009</v>
      </c>
      <c r="BG2" s="297">
        <v>2010</v>
      </c>
      <c r="BH2" s="297">
        <v>2011</v>
      </c>
      <c r="BI2" s="297" t="s">
        <v>711</v>
      </c>
      <c r="BM2" s="299"/>
    </row>
    <row r="3" spans="1:65" x14ac:dyDescent="0.2">
      <c r="A3" s="19" t="s">
        <v>144</v>
      </c>
      <c r="C3" s="19" t="s">
        <v>0</v>
      </c>
      <c r="E3" s="255">
        <v>-0.7</v>
      </c>
      <c r="F3" s="255">
        <v>3.3260000000000001</v>
      </c>
      <c r="G3" s="255">
        <v>4.9850000000000003</v>
      </c>
      <c r="H3" s="255">
        <v>-0.50827844713077242</v>
      </c>
      <c r="I3" s="255"/>
      <c r="J3" s="255">
        <v>9.15</v>
      </c>
      <c r="K3" s="255">
        <v>10.3</v>
      </c>
      <c r="L3" s="255">
        <v>9.593</v>
      </c>
      <c r="M3" s="255">
        <v>-2.0283475426472539</v>
      </c>
      <c r="N3" s="255"/>
      <c r="O3" s="255">
        <v>27.6</v>
      </c>
      <c r="P3" s="255">
        <v>23.6</v>
      </c>
      <c r="Q3" s="255">
        <v>21.4</v>
      </c>
      <c r="R3" s="255">
        <v>-0.80107035697443552</v>
      </c>
      <c r="S3" s="255"/>
      <c r="T3" s="255">
        <v>-2.2999999999999998</v>
      </c>
      <c r="U3" s="255">
        <v>-2.7</v>
      </c>
      <c r="V3" s="255">
        <v>-1.8</v>
      </c>
      <c r="W3" s="255">
        <v>-1.0158909125014546</v>
      </c>
      <c r="X3" s="255"/>
      <c r="Y3" s="255">
        <v>0.47448677293971042</v>
      </c>
      <c r="Z3" s="255"/>
      <c r="AA3" s="255">
        <v>54.198</v>
      </c>
      <c r="AB3" s="255">
        <v>53.982999999999997</v>
      </c>
      <c r="AC3" s="255">
        <v>54.277999999999999</v>
      </c>
      <c r="AD3" s="255">
        <v>-1.757434413067569</v>
      </c>
      <c r="AE3" s="255"/>
      <c r="AF3" s="255"/>
      <c r="AG3" s="19" t="s">
        <v>144</v>
      </c>
      <c r="AH3" s="19" t="s">
        <v>0</v>
      </c>
      <c r="AI3" s="255"/>
      <c r="AJ3" s="255">
        <v>1.34</v>
      </c>
      <c r="AK3" s="255">
        <v>2.1</v>
      </c>
      <c r="AL3" s="255">
        <v>2</v>
      </c>
      <c r="AM3" s="255">
        <v>-8.5299912527595709E-2</v>
      </c>
      <c r="AN3" s="255"/>
      <c r="AO3" s="255">
        <v>5.9539999999999997</v>
      </c>
      <c r="AP3" s="255">
        <v>5.2089999999999996</v>
      </c>
      <c r="AQ3" s="255">
        <v>5.7130000000000001</v>
      </c>
      <c r="AR3" s="255">
        <v>-0.60122414045374317</v>
      </c>
      <c r="AS3" s="255"/>
      <c r="AT3" s="255">
        <v>6.29</v>
      </c>
      <c r="AU3" s="255">
        <v>6.31</v>
      </c>
      <c r="AV3" s="255">
        <v>5.899</v>
      </c>
      <c r="AW3" s="255">
        <v>-1.992417407897014</v>
      </c>
      <c r="AX3" s="255"/>
      <c r="AY3" s="255">
        <v>3.3023090336330156</v>
      </c>
      <c r="AZ3" s="255"/>
      <c r="BA3" s="255"/>
      <c r="BB3" s="255">
        <v>-1.0053314744724395</v>
      </c>
      <c r="BC3" s="255">
        <v>-0.46493242973913307</v>
      </c>
      <c r="BD3" s="255">
        <v>-0.83242048122155532</v>
      </c>
      <c r="BE3" s="255"/>
      <c r="BF3" s="255"/>
      <c r="BG3" s="255">
        <v>4.7365377740348542</v>
      </c>
      <c r="BH3" s="255">
        <v>4.8977891043925155</v>
      </c>
      <c r="BI3" s="255">
        <v>0.9994197813866329</v>
      </c>
      <c r="BJ3" s="255"/>
      <c r="BK3" s="255">
        <v>-1.328425157400861</v>
      </c>
      <c r="BL3" s="255"/>
      <c r="BM3" s="255">
        <v>2.4483706491718649</v>
      </c>
    </row>
    <row r="4" spans="1:65" x14ac:dyDescent="0.2">
      <c r="A4" s="19" t="s">
        <v>144</v>
      </c>
      <c r="C4" s="19" t="s">
        <v>2</v>
      </c>
      <c r="E4" s="255">
        <v>4.8</v>
      </c>
      <c r="F4" s="255">
        <v>5.133</v>
      </c>
      <c r="G4" s="255">
        <v>7.1470000000000002</v>
      </c>
      <c r="H4" s="255">
        <v>7.5517198006502168E-2</v>
      </c>
      <c r="I4" s="255"/>
      <c r="J4" s="255">
        <v>4.5609999999999999</v>
      </c>
      <c r="K4" s="255">
        <v>6.1050000000000004</v>
      </c>
      <c r="L4" s="255">
        <v>6.2</v>
      </c>
      <c r="M4" s="255">
        <v>0.25266108980111296</v>
      </c>
      <c r="N4" s="255"/>
      <c r="O4" s="255">
        <v>127.5</v>
      </c>
      <c r="P4" s="255">
        <v>116.9</v>
      </c>
      <c r="Q4" s="255">
        <v>110.4</v>
      </c>
      <c r="R4" s="255">
        <v>0.14449014396355858</v>
      </c>
      <c r="S4" s="255"/>
      <c r="T4" s="255">
        <v>-1.6</v>
      </c>
      <c r="U4" s="255">
        <v>-1.3</v>
      </c>
      <c r="V4" s="255">
        <v>-1.6</v>
      </c>
      <c r="W4" s="255">
        <v>-1.097162185501571</v>
      </c>
      <c r="X4" s="255"/>
      <c r="Y4" s="255">
        <v>0.35998374903380342</v>
      </c>
      <c r="Z4" s="255"/>
      <c r="AA4" s="255">
        <v>33.576999999999998</v>
      </c>
      <c r="AB4" s="255">
        <v>33.378</v>
      </c>
      <c r="AC4" s="255">
        <v>34.338999999999999</v>
      </c>
      <c r="AD4" s="255">
        <v>-0.13381549193666276</v>
      </c>
      <c r="AE4" s="255"/>
      <c r="AF4" s="255"/>
      <c r="AG4" s="19" t="s">
        <v>144</v>
      </c>
      <c r="AH4" s="19" t="s">
        <v>2</v>
      </c>
      <c r="AI4" s="255"/>
      <c r="AJ4" s="255">
        <v>0.74</v>
      </c>
      <c r="AK4" s="255">
        <v>1.4</v>
      </c>
      <c r="AL4" s="255">
        <v>1.4</v>
      </c>
      <c r="AM4" s="255">
        <v>0.13404271968622203</v>
      </c>
      <c r="AN4" s="255"/>
      <c r="AO4" s="255">
        <v>2.5830000000000002</v>
      </c>
      <c r="AP4" s="255">
        <v>0.89100000000000001</v>
      </c>
      <c r="AQ4" s="255">
        <v>0.88900000000000001</v>
      </c>
      <c r="AR4" s="255">
        <v>0.20812572798461518</v>
      </c>
      <c r="AS4" s="255"/>
      <c r="AT4" s="255">
        <v>0.41499999999999998</v>
      </c>
      <c r="AU4" s="255">
        <v>0.49099999999999999</v>
      </c>
      <c r="AV4" s="255">
        <v>0.56999999999999995</v>
      </c>
      <c r="AW4" s="255">
        <v>0.51686076289623961</v>
      </c>
      <c r="AX4" s="255"/>
      <c r="AY4" s="255">
        <v>-0.80419480699973345</v>
      </c>
      <c r="AZ4" s="255"/>
      <c r="BA4" s="255"/>
      <c r="BB4" s="255">
        <v>1.2619783874642658</v>
      </c>
      <c r="BC4" s="255">
        <v>1.0052104312042225</v>
      </c>
      <c r="BD4" s="255">
        <v>0.38962418524864301</v>
      </c>
      <c r="BE4" s="255"/>
      <c r="BF4" s="255"/>
      <c r="BG4" s="255">
        <v>4.2618235870149892</v>
      </c>
      <c r="BH4" s="255">
        <v>4.3768297143171431</v>
      </c>
      <c r="BI4" s="255">
        <v>-0.31408233212213094</v>
      </c>
      <c r="BJ4" s="255"/>
      <c r="BK4" s="255">
        <v>0.52697754512749562</v>
      </c>
      <c r="BL4" s="255"/>
      <c r="BM4" s="255">
        <v>8.2766487161565594E-2</v>
      </c>
    </row>
    <row r="5" spans="1:65" x14ac:dyDescent="0.2">
      <c r="A5" s="19" t="s">
        <v>144</v>
      </c>
      <c r="C5" s="19" t="s">
        <v>3</v>
      </c>
      <c r="E5" s="255">
        <v>0.6</v>
      </c>
      <c r="F5" s="255">
        <v>1.7</v>
      </c>
      <c r="G5" s="255">
        <v>2.8</v>
      </c>
      <c r="H5" s="255">
        <v>-1.0982846842375926</v>
      </c>
      <c r="I5" s="255"/>
      <c r="J5" s="255">
        <v>-1.714</v>
      </c>
      <c r="K5" s="255">
        <v>7.1559999999999997</v>
      </c>
      <c r="L5" s="255">
        <v>5.5</v>
      </c>
      <c r="M5" s="255">
        <v>0.72324937235751063</v>
      </c>
      <c r="N5" s="255"/>
      <c r="O5" s="255">
        <v>34.5</v>
      </c>
      <c r="P5" s="255">
        <v>34.4</v>
      </c>
      <c r="Q5" s="255">
        <v>30.9</v>
      </c>
      <c r="R5" s="255">
        <v>-0.7001397417057732</v>
      </c>
      <c r="S5" s="255"/>
      <c r="T5" s="255">
        <v>-7</v>
      </c>
      <c r="U5" s="255">
        <v>-5.4</v>
      </c>
      <c r="V5" s="255">
        <v>-5</v>
      </c>
      <c r="W5" s="255">
        <v>0.28444945550040734</v>
      </c>
      <c r="X5" s="255"/>
      <c r="Y5" s="255">
        <v>-1.5638900906230593</v>
      </c>
      <c r="Z5" s="255"/>
      <c r="AA5" s="255">
        <v>30.986000000000001</v>
      </c>
      <c r="AB5" s="255">
        <v>33.113</v>
      </c>
      <c r="AC5" s="255">
        <v>33.226999999999997</v>
      </c>
      <c r="AD5" s="255">
        <v>-4.3266104289460247E-2</v>
      </c>
      <c r="AE5" s="255"/>
      <c r="AF5" s="255"/>
      <c r="AG5" s="19" t="s">
        <v>144</v>
      </c>
      <c r="AH5" s="19" t="s">
        <v>3</v>
      </c>
      <c r="AI5" s="255"/>
      <c r="AJ5" s="255">
        <v>-1.86</v>
      </c>
      <c r="AK5" s="255">
        <v>-0.8</v>
      </c>
      <c r="AL5" s="255">
        <v>-1.2</v>
      </c>
      <c r="AM5" s="255">
        <v>1.0845274592794321</v>
      </c>
      <c r="AN5" s="255"/>
      <c r="AO5" s="255">
        <v>16.498999999999999</v>
      </c>
      <c r="AP5" s="255">
        <v>11.817</v>
      </c>
      <c r="AQ5" s="255">
        <v>11.394</v>
      </c>
      <c r="AR5" s="255">
        <v>-1.5543577645412876</v>
      </c>
      <c r="AS5" s="255"/>
      <c r="AT5" s="255">
        <v>1.5349999999999999</v>
      </c>
      <c r="AU5" s="255">
        <v>1.4359999999999999</v>
      </c>
      <c r="AV5" s="255">
        <v>1.68</v>
      </c>
      <c r="AW5" s="255">
        <v>-5.807424302204928E-3</v>
      </c>
      <c r="AX5" s="255"/>
      <c r="AY5" s="255">
        <v>7.6213410139230081E-2</v>
      </c>
      <c r="AZ5" s="255"/>
      <c r="BA5" s="255"/>
      <c r="BB5" s="255">
        <v>-1.4920444747711423</v>
      </c>
      <c r="BC5" s="255">
        <v>-0.98105313308093411</v>
      </c>
      <c r="BD5" s="255">
        <v>-1.2614417481540601</v>
      </c>
      <c r="BE5" s="255"/>
      <c r="BF5" s="255"/>
      <c r="BG5" s="255">
        <v>4.8736989738665084</v>
      </c>
      <c r="BH5" s="255">
        <v>5.0842885833453426</v>
      </c>
      <c r="BI5" s="255">
        <v>1.4696434964009257</v>
      </c>
      <c r="BJ5" s="255"/>
      <c r="BK5" s="255">
        <v>-1.9854080113797372</v>
      </c>
      <c r="BL5" s="255"/>
      <c r="BM5" s="255">
        <v>-3.4730846918635665</v>
      </c>
    </row>
    <row r="6" spans="1:65" x14ac:dyDescent="0.2">
      <c r="A6" s="19" t="s">
        <v>144</v>
      </c>
      <c r="C6" s="19" t="s">
        <v>4</v>
      </c>
      <c r="E6" s="255">
        <v>3.2</v>
      </c>
      <c r="F6" s="255">
        <v>3.7970000000000002</v>
      </c>
      <c r="G6" s="255">
        <v>4.91</v>
      </c>
      <c r="H6" s="255">
        <v>-0.52853037746624676</v>
      </c>
      <c r="I6" s="255"/>
      <c r="J6" s="255">
        <v>1.0605</v>
      </c>
      <c r="K6" s="255">
        <v>7.3339999999999996</v>
      </c>
      <c r="L6" s="255">
        <v>4.9530000000000003</v>
      </c>
      <c r="M6" s="255">
        <v>1.090980501726581</v>
      </c>
      <c r="N6" s="255"/>
      <c r="O6" s="255">
        <v>100.4</v>
      </c>
      <c r="P6" s="255">
        <v>95.1</v>
      </c>
      <c r="Q6" s="255">
        <v>94.5</v>
      </c>
      <c r="R6" s="255">
        <v>-2.4435833170307834E-2</v>
      </c>
      <c r="S6" s="255"/>
      <c r="T6" s="255">
        <v>-3.9</v>
      </c>
      <c r="U6" s="255">
        <v>-4</v>
      </c>
      <c r="V6" s="255">
        <v>-3.3</v>
      </c>
      <c r="W6" s="255">
        <v>-0.40635636500058187</v>
      </c>
      <c r="X6" s="255"/>
      <c r="Y6" s="255">
        <v>-0.77390548666219172</v>
      </c>
      <c r="Z6" s="255"/>
      <c r="AA6" s="255">
        <v>20.451000000000001</v>
      </c>
      <c r="AB6" s="255">
        <v>20.106000000000002</v>
      </c>
      <c r="AC6" s="255">
        <v>18.661000000000001</v>
      </c>
      <c r="AD6" s="255">
        <v>1.1428331587223646</v>
      </c>
      <c r="AE6" s="255"/>
      <c r="AF6" s="255"/>
      <c r="AG6" s="19" t="s">
        <v>144</v>
      </c>
      <c r="AH6" s="19" t="s">
        <v>4</v>
      </c>
      <c r="AI6" s="255"/>
      <c r="AJ6" s="255">
        <v>2.12</v>
      </c>
      <c r="AK6" s="255">
        <v>0.6</v>
      </c>
      <c r="AL6" s="255">
        <v>0.7</v>
      </c>
      <c r="AM6" s="255">
        <v>0.38994245726900933</v>
      </c>
      <c r="AN6" s="255"/>
      <c r="AO6" s="255">
        <v>5.8049999999999997</v>
      </c>
      <c r="AP6" s="255">
        <v>4.4859999999999998</v>
      </c>
      <c r="AQ6" s="255">
        <v>2.915</v>
      </c>
      <c r="AR6" s="255">
        <v>-0.13178779470529237</v>
      </c>
      <c r="AS6" s="255"/>
      <c r="AT6" s="255">
        <v>0.78</v>
      </c>
      <c r="AU6" s="255">
        <v>0.89200000000000002</v>
      </c>
      <c r="AV6" s="255">
        <v>0.89500000000000002</v>
      </c>
      <c r="AW6" s="255">
        <v>0.36382728466246084</v>
      </c>
      <c r="AX6" s="255"/>
      <c r="AY6" s="255">
        <v>-0.76473420555172034</v>
      </c>
      <c r="AZ6" s="255"/>
      <c r="BA6" s="255"/>
      <c r="BB6" s="255">
        <v>0.46141702574642507</v>
      </c>
      <c r="BC6" s="255">
        <v>0.25929215761190327</v>
      </c>
      <c r="BD6" s="255">
        <v>-0.23041450084288076</v>
      </c>
      <c r="BE6" s="255"/>
      <c r="BF6" s="255"/>
      <c r="BG6" s="255">
        <v>3.9048643674584222</v>
      </c>
      <c r="BH6" s="255">
        <v>4.0829310237089871</v>
      </c>
      <c r="BI6" s="255">
        <v>-1.0550931644931905</v>
      </c>
      <c r="BJ6" s="255"/>
      <c r="BK6" s="255">
        <v>0.45370812105531777</v>
      </c>
      <c r="BL6" s="255"/>
      <c r="BM6" s="255">
        <v>-1.0849315711585943</v>
      </c>
    </row>
    <row r="7" spans="1:65" x14ac:dyDescent="0.2">
      <c r="A7" s="19" t="s">
        <v>144</v>
      </c>
      <c r="C7" s="19" t="s">
        <v>77</v>
      </c>
      <c r="E7" s="255">
        <v>3.4</v>
      </c>
      <c r="F7" s="255">
        <v>5.9409999999999998</v>
      </c>
      <c r="G7" s="255">
        <v>7.8979999999999997</v>
      </c>
      <c r="H7" s="255">
        <v>0.27830652709905207</v>
      </c>
      <c r="I7" s="255"/>
      <c r="J7" s="255">
        <v>3.673</v>
      </c>
      <c r="K7" s="255">
        <v>9.1340000000000003</v>
      </c>
      <c r="L7" s="255">
        <v>6.95</v>
      </c>
      <c r="M7" s="255">
        <v>-0.25154064150931299</v>
      </c>
      <c r="N7" s="255"/>
      <c r="O7" s="255">
        <v>318</v>
      </c>
      <c r="P7" s="255">
        <v>287</v>
      </c>
      <c r="Q7" s="255">
        <v>275</v>
      </c>
      <c r="R7" s="255">
        <v>1.8932458569342758</v>
      </c>
      <c r="S7" s="255"/>
      <c r="T7" s="255">
        <v>-6.5</v>
      </c>
      <c r="U7" s="255">
        <v>-6.6</v>
      </c>
      <c r="V7" s="255">
        <v>-6.8</v>
      </c>
      <c r="W7" s="255">
        <v>1.0158909125014546</v>
      </c>
      <c r="X7" s="255"/>
      <c r="Y7" s="255">
        <v>0.78007943757746334</v>
      </c>
      <c r="Z7" s="255"/>
      <c r="AA7" s="255">
        <v>24.771000000000001</v>
      </c>
      <c r="AB7" s="255">
        <v>22.324000000000002</v>
      </c>
      <c r="AC7" s="255">
        <v>23.303999999999998</v>
      </c>
      <c r="AD7" s="255">
        <v>0.7647568935731196</v>
      </c>
      <c r="AE7" s="255"/>
      <c r="AF7" s="255"/>
      <c r="AG7" s="19" t="s">
        <v>144</v>
      </c>
      <c r="AH7" s="19" t="s">
        <v>77</v>
      </c>
      <c r="AI7" s="255"/>
      <c r="AJ7" s="255">
        <v>1.4</v>
      </c>
      <c r="AK7" s="255">
        <v>0.9</v>
      </c>
      <c r="AL7" s="255">
        <v>0.8</v>
      </c>
      <c r="AM7" s="255">
        <v>0.35338535190003967</v>
      </c>
      <c r="AN7" s="255"/>
      <c r="AO7" s="255">
        <v>-0.51100000000000001</v>
      </c>
      <c r="AP7" s="255">
        <v>-3.53</v>
      </c>
      <c r="AQ7" s="255">
        <v>-4.125</v>
      </c>
      <c r="AR7" s="255">
        <v>1.0493529751549984</v>
      </c>
      <c r="AS7" s="255"/>
      <c r="AT7" s="255">
        <v>0.25</v>
      </c>
      <c r="AU7" s="255">
        <v>0.35</v>
      </c>
      <c r="AV7" s="255">
        <v>0.36199999999999999</v>
      </c>
      <c r="AW7" s="255">
        <v>0.61480218896585814</v>
      </c>
      <c r="AX7" s="255"/>
      <c r="AY7" s="255">
        <v>-1.3011881089047854</v>
      </c>
      <c r="AZ7" s="255"/>
      <c r="BA7" s="255"/>
      <c r="BB7" s="255">
        <v>2.545948658387617</v>
      </c>
      <c r="BC7" s="255">
        <v>2.3804628391676967</v>
      </c>
      <c r="BD7" s="255">
        <v>1.5327919105428007</v>
      </c>
      <c r="BE7" s="255"/>
      <c r="BF7" s="255"/>
      <c r="BG7" s="255">
        <v>4.009438545598198</v>
      </c>
      <c r="BH7" s="255">
        <v>4.3272359819350985</v>
      </c>
      <c r="BI7" s="255">
        <v>-0.43912369531011164</v>
      </c>
      <c r="BJ7" s="255"/>
      <c r="BK7" s="255">
        <v>1.5818696169639748</v>
      </c>
      <c r="BL7" s="255"/>
      <c r="BM7" s="255">
        <v>1.0607609456366527</v>
      </c>
    </row>
    <row r="8" spans="1:65" x14ac:dyDescent="0.2">
      <c r="A8" s="19" t="s">
        <v>144</v>
      </c>
      <c r="C8" s="19" t="s">
        <v>64</v>
      </c>
      <c r="E8" s="255">
        <v>6.7</v>
      </c>
      <c r="F8" s="255">
        <v>9.2070000000000007</v>
      </c>
      <c r="G8" s="255">
        <v>13.464</v>
      </c>
      <c r="H8" s="255">
        <v>1.781269783729057</v>
      </c>
      <c r="I8" s="255"/>
      <c r="J8" s="255">
        <v>5.3235000000000001</v>
      </c>
      <c r="K8" s="255">
        <v>6.7839999999999998</v>
      </c>
      <c r="L8" s="255">
        <v>6.2590000000000003</v>
      </c>
      <c r="M8" s="255">
        <v>0.21299722027135931</v>
      </c>
      <c r="N8" s="255"/>
      <c r="O8" s="255">
        <v>51.1</v>
      </c>
      <c r="P8" s="255">
        <v>49.5</v>
      </c>
      <c r="Q8" s="255">
        <v>48.6</v>
      </c>
      <c r="R8" s="255">
        <v>-0.51209006904731824</v>
      </c>
      <c r="S8" s="255"/>
      <c r="T8" s="255">
        <v>-6.5</v>
      </c>
      <c r="U8" s="255">
        <v>-5.3999999999999995</v>
      </c>
      <c r="V8" s="255">
        <v>-7.3</v>
      </c>
      <c r="W8" s="255">
        <v>1.2190690950017455</v>
      </c>
      <c r="X8" s="255"/>
      <c r="Y8" s="255">
        <v>0.72324561773427465</v>
      </c>
      <c r="Z8" s="255"/>
      <c r="AA8" s="255">
        <v>31.564</v>
      </c>
      <c r="AB8" s="255">
        <v>34.284999999999997</v>
      </c>
      <c r="AC8" s="255">
        <v>32.365000000000002</v>
      </c>
      <c r="AD8" s="255">
        <v>2.692595699820878E-2</v>
      </c>
      <c r="AE8" s="255"/>
      <c r="AF8" s="255"/>
      <c r="AG8" s="19" t="s">
        <v>144</v>
      </c>
      <c r="AH8" s="19" t="s">
        <v>64</v>
      </c>
      <c r="AI8" s="255"/>
      <c r="AJ8" s="255">
        <v>10.175000000000001</v>
      </c>
      <c r="AK8" s="255">
        <v>7.1</v>
      </c>
      <c r="AL8" s="255">
        <v>6.9</v>
      </c>
      <c r="AM8" s="255">
        <v>-1.876598075607107</v>
      </c>
      <c r="AN8" s="255"/>
      <c r="AO8" s="255">
        <v>-6.5640000000000001</v>
      </c>
      <c r="AP8" s="255">
        <v>-3.7919999999999998</v>
      </c>
      <c r="AQ8" s="255">
        <v>-4.0090000000000003</v>
      </c>
      <c r="AR8" s="255">
        <v>1.0298909965607097</v>
      </c>
      <c r="AS8" s="255"/>
      <c r="AT8" s="255">
        <v>0.71499999999999997</v>
      </c>
      <c r="AU8" s="255">
        <v>0.65</v>
      </c>
      <c r="AV8" s="255">
        <v>0.6</v>
      </c>
      <c r="AW8" s="255">
        <v>0.50273459567466017</v>
      </c>
      <c r="AX8" s="255"/>
      <c r="AY8" s="255">
        <v>-0.50840532231600588</v>
      </c>
      <c r="AZ8" s="255"/>
      <c r="BA8" s="255"/>
      <c r="BB8" s="255">
        <v>0.20018272492862255</v>
      </c>
      <c r="BC8" s="255">
        <v>1.0199311111404934</v>
      </c>
      <c r="BD8" s="255">
        <v>0.40186063442705239</v>
      </c>
      <c r="BE8" s="255"/>
      <c r="BF8" s="255"/>
      <c r="BG8" s="255">
        <v>4.0262426492953862</v>
      </c>
      <c r="BH8" s="255">
        <v>4.239329277034865</v>
      </c>
      <c r="BI8" s="255">
        <v>-0.6607640858621322</v>
      </c>
      <c r="BJ8" s="255"/>
      <c r="BK8" s="255">
        <v>0.75127788563381426</v>
      </c>
      <c r="BL8" s="255"/>
      <c r="BM8" s="255">
        <v>0.96611818105208302</v>
      </c>
    </row>
    <row r="9" spans="1:65" ht="15" x14ac:dyDescent="0.25">
      <c r="A9" s="18" t="s">
        <v>200</v>
      </c>
      <c r="B9" s="18"/>
      <c r="E9" s="255"/>
      <c r="F9" s="300">
        <v>4.2</v>
      </c>
      <c r="G9" s="301">
        <v>6.8673333333333337</v>
      </c>
      <c r="H9" s="301"/>
      <c r="I9" s="301"/>
      <c r="J9" s="255"/>
      <c r="K9" s="300">
        <v>8.1999999999999993</v>
      </c>
      <c r="L9" s="301">
        <v>6.5758333333333328</v>
      </c>
      <c r="M9" s="301"/>
      <c r="N9" s="301"/>
      <c r="O9" s="255"/>
      <c r="P9" s="300">
        <v>101.08333333333333</v>
      </c>
      <c r="Q9" s="301">
        <v>96.800000000000011</v>
      </c>
      <c r="R9" s="301"/>
      <c r="S9" s="301"/>
      <c r="T9" s="301"/>
      <c r="U9" s="300">
        <v>-3.6</v>
      </c>
      <c r="V9" s="301">
        <v>-4.3</v>
      </c>
      <c r="W9" s="301"/>
      <c r="X9" s="301"/>
      <c r="Y9" s="301"/>
      <c r="Z9" s="301"/>
      <c r="AA9" s="301"/>
      <c r="AB9" s="300">
        <v>32.86483333333333</v>
      </c>
      <c r="AC9" s="301">
        <v>32.695666666666668</v>
      </c>
      <c r="AD9" s="301"/>
      <c r="AE9" s="301"/>
      <c r="AF9" s="301"/>
      <c r="AG9" s="18" t="s">
        <v>200</v>
      </c>
      <c r="AI9" s="301"/>
      <c r="AJ9" s="301"/>
      <c r="AK9" s="300">
        <v>2.2999999999999998</v>
      </c>
      <c r="AL9" s="301">
        <v>1.7666666666666668</v>
      </c>
      <c r="AM9" s="301"/>
      <c r="AN9" s="301"/>
      <c r="AO9" s="301"/>
      <c r="AP9" s="300">
        <v>4.0999999999999996</v>
      </c>
      <c r="AQ9" s="301">
        <v>2.1295000000000002</v>
      </c>
      <c r="AR9" s="301"/>
      <c r="AS9" s="301"/>
      <c r="AT9" s="301"/>
      <c r="AU9" s="300">
        <v>1.6881666666666664</v>
      </c>
      <c r="AV9" s="301">
        <v>1.6676666666666666</v>
      </c>
      <c r="AW9" s="301"/>
      <c r="AX9" s="255"/>
      <c r="AY9" s="255"/>
      <c r="AZ9" s="255"/>
      <c r="BA9" s="255"/>
      <c r="BB9" s="300">
        <v>0.32869180788055791</v>
      </c>
      <c r="BC9" s="301">
        <v>0.53648516271737479</v>
      </c>
      <c r="BD9" s="255"/>
      <c r="BE9" s="255"/>
      <c r="BF9" s="255"/>
      <c r="BG9" s="300">
        <v>4.3021009828780601</v>
      </c>
      <c r="BH9" s="301">
        <v>4.5014006141223257</v>
      </c>
      <c r="BI9" s="255"/>
      <c r="BJ9" s="255"/>
      <c r="BK9" s="255"/>
      <c r="BL9" s="255"/>
      <c r="BM9" s="255"/>
    </row>
    <row r="10" spans="1:65" ht="15" x14ac:dyDescent="0.25">
      <c r="A10" s="18" t="s">
        <v>163</v>
      </c>
      <c r="B10" s="18"/>
      <c r="E10" s="255"/>
      <c r="F10" s="300">
        <v>2.5925933477247582</v>
      </c>
      <c r="G10" s="301">
        <v>3.7033506810274752</v>
      </c>
      <c r="H10" s="301"/>
      <c r="I10" s="301"/>
      <c r="J10" s="301"/>
      <c r="K10" s="300">
        <v>1.4550121419882931</v>
      </c>
      <c r="L10" s="301">
        <v>1.4874998506069022</v>
      </c>
      <c r="M10" s="301"/>
      <c r="N10" s="301"/>
      <c r="O10" s="301"/>
      <c r="P10" s="300">
        <v>97.940949896693709</v>
      </c>
      <c r="Q10" s="301">
        <v>94.124067060449519</v>
      </c>
      <c r="R10" s="301"/>
      <c r="S10" s="301"/>
      <c r="T10" s="301"/>
      <c r="U10" s="300">
        <v>1.9663841605003498</v>
      </c>
      <c r="V10" s="301">
        <v>2.4608941464435241</v>
      </c>
      <c r="W10" s="301"/>
      <c r="X10" s="301"/>
      <c r="Y10" s="301"/>
      <c r="Z10" s="301"/>
      <c r="AA10" s="301"/>
      <c r="AB10" s="300">
        <v>12.018450472780025</v>
      </c>
      <c r="AC10" s="301">
        <v>12.280591055265482</v>
      </c>
      <c r="AD10" s="301"/>
      <c r="AE10" s="301"/>
      <c r="AF10" s="301"/>
      <c r="AG10" s="18" t="s">
        <v>163</v>
      </c>
      <c r="AI10" s="301"/>
      <c r="AJ10" s="301"/>
      <c r="AK10" s="300">
        <v>2.7316051447210783</v>
      </c>
      <c r="AL10" s="301">
        <v>2.7354463377421001</v>
      </c>
      <c r="AM10" s="301"/>
      <c r="AN10" s="301"/>
      <c r="AO10" s="301"/>
      <c r="AP10" s="300">
        <v>5.9435228190022116</v>
      </c>
      <c r="AQ10" s="301">
        <v>5.9603395121419052</v>
      </c>
      <c r="AR10" s="301"/>
      <c r="AS10" s="301"/>
      <c r="AT10" s="301"/>
      <c r="AU10" s="300">
        <v>2.2961054345710408</v>
      </c>
      <c r="AV10" s="301">
        <v>2.1237183115155993</v>
      </c>
      <c r="AW10" s="301"/>
      <c r="AX10" s="255"/>
      <c r="AY10" s="255"/>
      <c r="AZ10" s="255"/>
      <c r="BA10" s="255"/>
      <c r="BB10" s="300">
        <v>1.4775710526018315</v>
      </c>
      <c r="BC10" s="301">
        <v>1.2030189249872296</v>
      </c>
      <c r="BD10" s="255"/>
      <c r="BE10" s="255"/>
      <c r="BF10" s="255"/>
      <c r="BG10" s="300">
        <v>0.40905449721566617</v>
      </c>
      <c r="BH10" s="301">
        <v>0.39661861577346941</v>
      </c>
      <c r="BI10" s="255"/>
      <c r="BJ10" s="255"/>
      <c r="BK10" s="255"/>
      <c r="BL10" s="255"/>
      <c r="BM10" s="255"/>
    </row>
    <row r="11" spans="1:65" x14ac:dyDescent="0.2">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I11" s="255"/>
      <c r="AJ11" s="255"/>
      <c r="AK11" s="255"/>
      <c r="AL11" s="255"/>
      <c r="AM11" s="255"/>
      <c r="AN11" s="255"/>
      <c r="AO11" s="255"/>
      <c r="AP11" s="255"/>
      <c r="AQ11" s="255"/>
      <c r="AR11" s="255"/>
      <c r="AS11" s="255"/>
      <c r="AT11" s="255"/>
      <c r="AU11" s="255"/>
      <c r="AV11" s="255"/>
      <c r="AW11" s="255"/>
      <c r="AX11" s="255"/>
      <c r="AY11" s="255"/>
      <c r="AZ11" s="255"/>
      <c r="BA11" s="255"/>
      <c r="BB11" s="255"/>
      <c r="BC11" s="255"/>
      <c r="BD11" s="255"/>
      <c r="BE11" s="255"/>
      <c r="BF11" s="255"/>
      <c r="BG11" s="255"/>
      <c r="BH11" s="255"/>
      <c r="BI11" s="255"/>
      <c r="BJ11" s="255"/>
      <c r="BK11" s="255"/>
      <c r="BL11" s="255"/>
      <c r="BM11" s="255"/>
    </row>
    <row r="12" spans="1:65" x14ac:dyDescent="0.2">
      <c r="A12" s="19" t="s">
        <v>124</v>
      </c>
      <c r="C12" s="19" t="s">
        <v>65</v>
      </c>
      <c r="E12" s="255">
        <v>16.2</v>
      </c>
      <c r="F12" s="255">
        <v>11.702999999999999</v>
      </c>
      <c r="G12" s="255">
        <v>11.503</v>
      </c>
      <c r="H12" s="255">
        <v>0.80112592564052976</v>
      </c>
      <c r="I12" s="255"/>
      <c r="J12" s="255">
        <v>4.6615000000000002</v>
      </c>
      <c r="K12" s="255">
        <v>5.1470000000000002</v>
      </c>
      <c r="L12" s="255">
        <v>1</v>
      </c>
      <c r="M12" s="255">
        <v>3.8058201336378139</v>
      </c>
      <c r="N12" s="255"/>
      <c r="O12" s="255">
        <v>76.8</v>
      </c>
      <c r="P12" s="255">
        <v>73.5</v>
      </c>
      <c r="Q12" s="255">
        <v>74.5</v>
      </c>
      <c r="R12" s="255">
        <v>-1.1826440758012029</v>
      </c>
      <c r="S12" s="255"/>
      <c r="T12" s="255">
        <v>-7.3000000000000007</v>
      </c>
      <c r="U12" s="255">
        <v>-9.1</v>
      </c>
      <c r="V12" s="255">
        <v>-8.4</v>
      </c>
      <c r="W12" s="255">
        <v>2.9338584060203554</v>
      </c>
      <c r="X12" s="255"/>
      <c r="Y12" s="255">
        <v>-2.4385214502375923</v>
      </c>
      <c r="Z12" s="255"/>
      <c r="AA12" s="255">
        <v>16.844000000000001</v>
      </c>
      <c r="AB12" s="255">
        <v>16.911000000000001</v>
      </c>
      <c r="AC12" s="255">
        <v>15.273</v>
      </c>
      <c r="AD12" s="255">
        <v>0.72235083065439887</v>
      </c>
      <c r="AE12" s="255"/>
      <c r="AF12" s="255"/>
      <c r="AG12" s="19" t="s">
        <v>124</v>
      </c>
      <c r="AH12" s="19" t="s">
        <v>65</v>
      </c>
      <c r="AI12" s="255"/>
      <c r="AJ12" s="255">
        <v>3.6666666666666665</v>
      </c>
      <c r="AK12" s="255">
        <v>2.4</v>
      </c>
      <c r="AL12" s="255">
        <v>1.6</v>
      </c>
      <c r="AM12" s="255">
        <v>-0.23260317860884255</v>
      </c>
      <c r="AN12" s="255"/>
      <c r="AO12" s="255">
        <v>-2.3460000000000001</v>
      </c>
      <c r="AP12" s="255">
        <v>-1.976</v>
      </c>
      <c r="AQ12" s="255">
        <v>-2.0739999999999998</v>
      </c>
      <c r="AR12" s="255">
        <v>-0.12631351258134491</v>
      </c>
      <c r="AS12" s="255"/>
      <c r="AT12" s="255">
        <v>0.94500000000000006</v>
      </c>
      <c r="AU12" s="255">
        <v>0.99</v>
      </c>
      <c r="AV12" s="255">
        <v>0.97099999999999997</v>
      </c>
      <c r="AW12" s="255">
        <v>-1.8931272477820678</v>
      </c>
      <c r="AX12" s="255"/>
      <c r="AY12" s="255">
        <v>2.723439673830641</v>
      </c>
      <c r="AZ12" s="255"/>
      <c r="BA12" s="255"/>
      <c r="BB12" s="255">
        <v>-0.14484419924220371</v>
      </c>
      <c r="BC12" s="255">
        <v>0.35364858771665064</v>
      </c>
      <c r="BD12" s="255">
        <v>-0.36760441035483493</v>
      </c>
      <c r="BE12" s="255"/>
      <c r="BF12" s="255"/>
      <c r="BG12" s="255">
        <v>4.0448785133673955</v>
      </c>
      <c r="BH12" s="255">
        <v>3.8790840470507622</v>
      </c>
      <c r="BI12" s="255">
        <v>-0.8418137601305572</v>
      </c>
      <c r="BJ12" s="255"/>
      <c r="BK12" s="255">
        <v>0.20481643485737233</v>
      </c>
      <c r="BL12" s="255"/>
      <c r="BM12" s="255">
        <v>0.48973465845042108</v>
      </c>
    </row>
    <row r="13" spans="1:65" x14ac:dyDescent="0.2">
      <c r="A13" s="19" t="s">
        <v>124</v>
      </c>
      <c r="C13" s="19" t="s">
        <v>43</v>
      </c>
      <c r="E13" s="255">
        <v>4.2</v>
      </c>
      <c r="F13" s="255">
        <v>4.8520000000000003</v>
      </c>
      <c r="G13" s="255">
        <v>4.0869999999999997</v>
      </c>
      <c r="H13" s="255">
        <v>-0.95047837819225511</v>
      </c>
      <c r="I13" s="255"/>
      <c r="J13" s="255">
        <v>-6.4964999999999993</v>
      </c>
      <c r="K13" s="255">
        <v>1.21</v>
      </c>
      <c r="L13" s="255">
        <v>2.79</v>
      </c>
      <c r="M13" s="255">
        <v>1.53879249995672</v>
      </c>
      <c r="N13" s="255"/>
      <c r="O13" s="255">
        <v>186.2</v>
      </c>
      <c r="P13" s="255">
        <v>135.5</v>
      </c>
      <c r="Q13" s="255">
        <v>123.3</v>
      </c>
      <c r="R13" s="255">
        <v>-0.357975856237992</v>
      </c>
      <c r="S13" s="255"/>
      <c r="T13" s="255">
        <v>-4.4000000000000004</v>
      </c>
      <c r="U13" s="255">
        <v>-3.8</v>
      </c>
      <c r="V13" s="255">
        <v>-3</v>
      </c>
      <c r="W13" s="255">
        <v>-0.82333575821124616</v>
      </c>
      <c r="X13" s="255"/>
      <c r="Y13" s="255">
        <v>-1.3067741109197313</v>
      </c>
      <c r="Z13" s="255"/>
      <c r="AA13" s="255">
        <v>18.734999999999999</v>
      </c>
      <c r="AB13" s="255">
        <v>19.356000000000002</v>
      </c>
      <c r="AC13" s="255">
        <v>19.395</v>
      </c>
      <c r="AD13" s="255">
        <v>-3.6513358613487479E-2</v>
      </c>
      <c r="AE13" s="255"/>
      <c r="AF13" s="255"/>
      <c r="AG13" s="19" t="s">
        <v>124</v>
      </c>
      <c r="AH13" s="19" t="s">
        <v>43</v>
      </c>
      <c r="AI13" s="255"/>
      <c r="AJ13" s="255">
        <v>0.25</v>
      </c>
      <c r="AK13" s="255">
        <v>2.2999999999999998</v>
      </c>
      <c r="AL13" s="255">
        <v>4.9000000000000004</v>
      </c>
      <c r="AM13" s="255">
        <v>-2.003965846476182</v>
      </c>
      <c r="AN13" s="255"/>
      <c r="AO13" s="255">
        <v>-0.46200000000000002</v>
      </c>
      <c r="AP13" s="255">
        <v>1.569</v>
      </c>
      <c r="AQ13" s="255">
        <v>1.45</v>
      </c>
      <c r="AR13" s="255">
        <v>-0.90270098642435503</v>
      </c>
      <c r="AS13" s="255"/>
      <c r="AT13" s="255">
        <v>0.22</v>
      </c>
      <c r="AU13" s="255">
        <v>0.24399999999999999</v>
      </c>
      <c r="AV13" s="255">
        <v>0.24299999999999999</v>
      </c>
      <c r="AW13" s="255">
        <v>0.74036950964215897</v>
      </c>
      <c r="AX13" s="255"/>
      <c r="AY13" s="255">
        <v>-0.42756121115853085</v>
      </c>
      <c r="AZ13" s="255"/>
      <c r="BA13" s="255"/>
      <c r="BB13" s="255">
        <v>-1.4256564638110132</v>
      </c>
      <c r="BC13" s="255">
        <v>-0.87025794952395474</v>
      </c>
      <c r="BD13" s="255">
        <v>-0.70531611634676983</v>
      </c>
      <c r="BE13" s="255"/>
      <c r="BF13" s="255"/>
      <c r="BG13" s="255">
        <v>4.2161740370390026</v>
      </c>
      <c r="BH13" s="255">
        <v>4.3619315509340417</v>
      </c>
      <c r="BI13" s="255">
        <v>0.67889201578647262</v>
      </c>
      <c r="BJ13" s="255"/>
      <c r="BK13" s="255">
        <v>-1.0220086570691138</v>
      </c>
      <c r="BL13" s="255"/>
      <c r="BM13" s="255">
        <v>-2.7563439791473758</v>
      </c>
    </row>
    <row r="14" spans="1:65" x14ac:dyDescent="0.2">
      <c r="A14" s="19" t="s">
        <v>124</v>
      </c>
      <c r="C14" s="19" t="s">
        <v>45</v>
      </c>
      <c r="E14" s="255">
        <v>7.4</v>
      </c>
      <c r="F14" s="255">
        <v>7.4</v>
      </c>
      <c r="G14" s="255">
        <v>9.1199999999999992</v>
      </c>
      <c r="H14" s="255">
        <v>0.2382789655497089</v>
      </c>
      <c r="I14" s="255"/>
      <c r="J14" s="255">
        <v>1.1905000000000001</v>
      </c>
      <c r="K14" s="255">
        <v>7</v>
      </c>
      <c r="L14" s="255">
        <v>5.9390000000000001</v>
      </c>
      <c r="M14" s="255">
        <v>-2.449403041083372</v>
      </c>
      <c r="N14" s="255"/>
      <c r="O14" s="255">
        <v>221.4</v>
      </c>
      <c r="P14" s="255">
        <v>190</v>
      </c>
      <c r="Q14" s="255">
        <v>182.1</v>
      </c>
      <c r="R14" s="255">
        <v>0.63568175257997528</v>
      </c>
      <c r="S14" s="255"/>
      <c r="T14" s="255">
        <v>-4.2750000000000004</v>
      </c>
      <c r="U14" s="255">
        <v>-1.925</v>
      </c>
      <c r="V14" s="255">
        <v>-3</v>
      </c>
      <c r="W14" s="255">
        <v>-0.82333575821124616</v>
      </c>
      <c r="X14" s="255"/>
      <c r="Y14" s="255">
        <v>1.7765647890098772</v>
      </c>
      <c r="Z14" s="255"/>
      <c r="AA14" s="255">
        <v>26.709</v>
      </c>
      <c r="AB14" s="255">
        <v>35.335999999999999</v>
      </c>
      <c r="AC14" s="255">
        <v>39.347000000000001</v>
      </c>
      <c r="AD14" s="255">
        <v>-3.7096958681411127</v>
      </c>
      <c r="AE14" s="255"/>
      <c r="AF14" s="255"/>
      <c r="AG14" s="19" t="s">
        <v>124</v>
      </c>
      <c r="AH14" s="19" t="s">
        <v>45</v>
      </c>
      <c r="AI14" s="255"/>
      <c r="AJ14" s="255">
        <v>5.7</v>
      </c>
      <c r="AK14" s="255">
        <v>1.5</v>
      </c>
      <c r="AL14" s="255">
        <v>-2.2000000000000002</v>
      </c>
      <c r="AM14" s="255">
        <v>1.8071477722687002</v>
      </c>
      <c r="AN14" s="255"/>
      <c r="AO14" s="255">
        <v>-3.7389999999999999</v>
      </c>
      <c r="AP14" s="255">
        <v>2.5489999999999999</v>
      </c>
      <c r="AQ14" s="255">
        <v>5.8360000000000003</v>
      </c>
      <c r="AR14" s="255">
        <v>-1.8689993576716433</v>
      </c>
      <c r="AS14" s="255"/>
      <c r="AT14" s="255">
        <v>0.42499999999999999</v>
      </c>
      <c r="AU14" s="255">
        <v>0.55000000000000004</v>
      </c>
      <c r="AV14" s="255">
        <v>0.5</v>
      </c>
      <c r="AW14" s="255">
        <v>-0.18931272477820679</v>
      </c>
      <c r="AX14" s="255"/>
      <c r="AY14" s="255">
        <v>0.79121386930643633</v>
      </c>
      <c r="AZ14" s="255"/>
      <c r="BA14" s="255"/>
      <c r="BB14" s="255">
        <v>1.7523427629850281</v>
      </c>
      <c r="BC14" s="255">
        <v>1.5528544978506376</v>
      </c>
      <c r="BD14" s="255">
        <v>-3.6708331753904651E-2</v>
      </c>
      <c r="BE14" s="255"/>
      <c r="BF14" s="255"/>
      <c r="BG14" s="255">
        <v>4.0755899101065616</v>
      </c>
      <c r="BH14" s="255">
        <v>4.1847944726725217</v>
      </c>
      <c r="BI14" s="255">
        <v>0.12100701922971908</v>
      </c>
      <c r="BJ14" s="255"/>
      <c r="BK14" s="255">
        <v>-0.10603460514365831</v>
      </c>
      <c r="BL14" s="255"/>
      <c r="BM14" s="255">
        <v>2.4617440531726551</v>
      </c>
    </row>
    <row r="15" spans="1:65" x14ac:dyDescent="0.2">
      <c r="A15" s="19" t="s">
        <v>124</v>
      </c>
      <c r="C15" s="19" t="s">
        <v>70</v>
      </c>
      <c r="E15" s="255">
        <v>20.8</v>
      </c>
      <c r="F15" s="255">
        <v>11.73</v>
      </c>
      <c r="G15" s="255">
        <v>15.5</v>
      </c>
      <c r="H15" s="255">
        <v>1.7451877382645373</v>
      </c>
      <c r="I15" s="255"/>
      <c r="J15" s="255">
        <v>3.5</v>
      </c>
      <c r="K15" s="255">
        <v>4.7919999999999998</v>
      </c>
      <c r="L15" s="255">
        <v>2.75</v>
      </c>
      <c r="M15" s="255">
        <v>1.5894523353462418</v>
      </c>
      <c r="N15" s="255"/>
      <c r="O15" s="255">
        <v>224.2</v>
      </c>
      <c r="P15" s="255">
        <v>260.8</v>
      </c>
      <c r="Q15" s="255">
        <v>245.5</v>
      </c>
      <c r="R15" s="255">
        <v>1.7070744804551305</v>
      </c>
      <c r="S15" s="255"/>
      <c r="T15" s="255">
        <v>-4.95</v>
      </c>
      <c r="U15" s="255">
        <v>-5.0999999999999996</v>
      </c>
      <c r="V15" s="255">
        <v>-5</v>
      </c>
      <c r="W15" s="255">
        <v>0.56821763594860619</v>
      </c>
      <c r="X15" s="255"/>
      <c r="Y15" s="255">
        <v>1.2123541163893417</v>
      </c>
      <c r="Z15" s="255"/>
      <c r="AA15" s="255">
        <v>13.239000000000001</v>
      </c>
      <c r="AB15" s="255">
        <v>14.321</v>
      </c>
      <c r="AC15" s="255">
        <v>17.347000000000001</v>
      </c>
      <c r="AD15" s="255">
        <v>0.34052542343906711</v>
      </c>
      <c r="AE15" s="255"/>
      <c r="AF15" s="255"/>
      <c r="AG15" s="19" t="s">
        <v>124</v>
      </c>
      <c r="AH15" s="19" t="s">
        <v>70</v>
      </c>
      <c r="AI15" s="255"/>
      <c r="AJ15" s="255">
        <v>1.6</v>
      </c>
      <c r="AK15" s="255">
        <v>1.1000000000000001</v>
      </c>
      <c r="AL15" s="255">
        <v>1</v>
      </c>
      <c r="AM15" s="255">
        <v>8.9462761003401017E-2</v>
      </c>
      <c r="AN15" s="255"/>
      <c r="AO15" s="255">
        <v>-5.7160000000000002</v>
      </c>
      <c r="AP15" s="255">
        <v>-2.2570000000000001</v>
      </c>
      <c r="AQ15" s="255">
        <v>-1.506</v>
      </c>
      <c r="AR15" s="255">
        <v>-0.25145201574332837</v>
      </c>
      <c r="AS15" s="255"/>
      <c r="AT15" s="255">
        <v>0.18</v>
      </c>
      <c r="AU15" s="255">
        <v>0.25</v>
      </c>
      <c r="AV15" s="255">
        <v>0.25900000000000001</v>
      </c>
      <c r="AW15" s="255">
        <v>0.68249046002843961</v>
      </c>
      <c r="AX15" s="255"/>
      <c r="AY15" s="255">
        <v>-1.0140303225688134</v>
      </c>
      <c r="AZ15" s="255"/>
      <c r="BA15" s="255"/>
      <c r="BB15" s="255">
        <v>5.6397135501311393</v>
      </c>
      <c r="BC15" s="255">
        <v>5.1927975935728927</v>
      </c>
      <c r="BD15" s="255">
        <v>0.96765871357732847</v>
      </c>
      <c r="BE15" s="255"/>
      <c r="BF15" s="255"/>
      <c r="BG15" s="255">
        <v>3.5818794414232413</v>
      </c>
      <c r="BH15" s="255">
        <v>3.5788048191142057</v>
      </c>
      <c r="BI15" s="255">
        <v>-1.7875292347649918</v>
      </c>
      <c r="BJ15" s="255"/>
      <c r="BK15" s="255">
        <v>1.9302044492799617</v>
      </c>
      <c r="BL15" s="255"/>
      <c r="BM15" s="255">
        <v>2.1285282431004902</v>
      </c>
    </row>
    <row r="16" spans="1:65" x14ac:dyDescent="0.2">
      <c r="A16" s="19" t="s">
        <v>124</v>
      </c>
      <c r="C16" s="19" t="s">
        <v>48</v>
      </c>
      <c r="E16" s="255">
        <v>3.5</v>
      </c>
      <c r="F16" s="255">
        <v>2.581</v>
      </c>
      <c r="G16" s="255">
        <v>4.0529999999999999</v>
      </c>
      <c r="H16" s="255">
        <v>-0.958508926510798</v>
      </c>
      <c r="I16" s="255"/>
      <c r="J16" s="255">
        <v>1.6764999999999999</v>
      </c>
      <c r="K16" s="255">
        <v>3.8170000000000002</v>
      </c>
      <c r="L16" s="255">
        <v>3.8330000000000002</v>
      </c>
      <c r="M16" s="255">
        <v>0.21783729217494271</v>
      </c>
      <c r="N16" s="255"/>
      <c r="O16" s="255">
        <v>164.3</v>
      </c>
      <c r="P16" s="255">
        <v>115.8</v>
      </c>
      <c r="Q16" s="255">
        <v>108.8</v>
      </c>
      <c r="R16" s="255">
        <v>-0.60301047065738866</v>
      </c>
      <c r="S16" s="255"/>
      <c r="T16" s="255">
        <v>-7.2</v>
      </c>
      <c r="U16" s="255">
        <v>-7.5</v>
      </c>
      <c r="V16" s="255">
        <v>-6.5</v>
      </c>
      <c r="W16" s="255">
        <v>1.6118826815684955</v>
      </c>
      <c r="X16" s="255"/>
      <c r="Y16" s="255">
        <v>-1.6178220160215053</v>
      </c>
      <c r="Z16" s="255"/>
      <c r="AA16" s="255">
        <v>18.173999999999999</v>
      </c>
      <c r="AB16" s="255">
        <v>17.251000000000001</v>
      </c>
      <c r="AC16" s="255">
        <v>16.855</v>
      </c>
      <c r="AD16" s="255">
        <v>0.431103099596224</v>
      </c>
      <c r="AE16" s="255"/>
      <c r="AF16" s="255"/>
      <c r="AG16" s="19" t="s">
        <v>124</v>
      </c>
      <c r="AH16" s="19" t="s">
        <v>48</v>
      </c>
      <c r="AI16" s="255"/>
      <c r="AJ16" s="255">
        <v>1.8199999999999998</v>
      </c>
      <c r="AK16" s="255">
        <v>1.1000000000000001</v>
      </c>
      <c r="AL16" s="255">
        <v>0.3</v>
      </c>
      <c r="AM16" s="255">
        <v>0.46520635721768511</v>
      </c>
      <c r="AN16" s="255"/>
      <c r="AO16" s="255">
        <v>-2.2290000000000001</v>
      </c>
      <c r="AP16" s="255">
        <v>-3.2869999999999999</v>
      </c>
      <c r="AQ16" s="255">
        <v>-3.91</v>
      </c>
      <c r="AR16" s="255">
        <v>0.27818348003379895</v>
      </c>
      <c r="AS16" s="255"/>
      <c r="AT16" s="255">
        <v>0.27</v>
      </c>
      <c r="AU16" s="255">
        <v>0.28299999999999997</v>
      </c>
      <c r="AV16" s="255">
        <v>0.309</v>
      </c>
      <c r="AW16" s="255">
        <v>0.50161842998556694</v>
      </c>
      <c r="AX16" s="255"/>
      <c r="AY16" s="255">
        <v>-0.95756417677737593</v>
      </c>
      <c r="AZ16" s="255"/>
      <c r="BA16" s="255"/>
      <c r="BB16" s="255">
        <v>-1.8027322475100322</v>
      </c>
      <c r="BC16" s="255">
        <v>-1.3341029478881583</v>
      </c>
      <c r="BD16" s="255">
        <v>-0.83330455414576388</v>
      </c>
      <c r="BE16" s="255"/>
      <c r="BF16" s="255"/>
      <c r="BG16" s="255">
        <v>4.3293994662084447</v>
      </c>
      <c r="BH16" s="255">
        <v>4.4618091495807581</v>
      </c>
      <c r="BI16" s="255">
        <v>0.99345187148679359</v>
      </c>
      <c r="BJ16" s="255"/>
      <c r="BK16" s="255">
        <v>-1.3255002916922138</v>
      </c>
      <c r="BL16" s="255"/>
      <c r="BM16" s="255">
        <v>-3.9008864844910951</v>
      </c>
    </row>
    <row r="17" spans="1:65" x14ac:dyDescent="0.2">
      <c r="A17" s="19" t="s">
        <v>124</v>
      </c>
      <c r="C17" s="19" t="s">
        <v>13</v>
      </c>
      <c r="E17" s="255">
        <v>11.7</v>
      </c>
      <c r="F17" s="255">
        <v>6.8540000000000001</v>
      </c>
      <c r="G17" s="255">
        <v>9.3160000000000007</v>
      </c>
      <c r="H17" s="255">
        <v>0.28457271468013345</v>
      </c>
      <c r="I17" s="255"/>
      <c r="J17" s="255">
        <v>-7.8434999999999997</v>
      </c>
      <c r="K17" s="255">
        <v>3.9550000000000001</v>
      </c>
      <c r="L17" s="255">
        <v>4.8280000000000003</v>
      </c>
      <c r="M17" s="255">
        <v>-1.0423261131394084</v>
      </c>
      <c r="N17" s="255"/>
      <c r="O17" s="255">
        <v>123.8</v>
      </c>
      <c r="P17" s="255">
        <v>106.4</v>
      </c>
      <c r="Q17" s="255">
        <v>105.3</v>
      </c>
      <c r="R17" s="255">
        <v>-0.6621567568965534</v>
      </c>
      <c r="S17" s="255"/>
      <c r="T17" s="255">
        <v>-5.9</v>
      </c>
      <c r="U17" s="255">
        <v>-4</v>
      </c>
      <c r="V17" s="255">
        <v>-3</v>
      </c>
      <c r="W17" s="255">
        <v>-0.82333575821124616</v>
      </c>
      <c r="X17" s="255"/>
      <c r="Y17" s="255">
        <v>0.67116325009220867</v>
      </c>
      <c r="Z17" s="255"/>
      <c r="AA17" s="255">
        <v>20.94</v>
      </c>
      <c r="AB17" s="255">
        <v>24.693999999999999</v>
      </c>
      <c r="AC17" s="255">
        <v>29.963999999999999</v>
      </c>
      <c r="AD17" s="255">
        <v>-1.9822764872821654</v>
      </c>
      <c r="AE17" s="255"/>
      <c r="AF17" s="255"/>
      <c r="AG17" s="19" t="s">
        <v>124</v>
      </c>
      <c r="AH17" s="19" t="s">
        <v>13</v>
      </c>
      <c r="AI17" s="255"/>
      <c r="AJ17" s="255">
        <v>0.25999999999999995</v>
      </c>
      <c r="AK17" s="255">
        <v>-0.7</v>
      </c>
      <c r="AL17" s="255">
        <v>-0.7</v>
      </c>
      <c r="AM17" s="255">
        <v>1.001982923238091</v>
      </c>
      <c r="AN17" s="255"/>
      <c r="AO17" s="255">
        <v>4.0510000000000002</v>
      </c>
      <c r="AP17" s="255">
        <v>4.8789999999999996</v>
      </c>
      <c r="AQ17" s="255">
        <v>5.55</v>
      </c>
      <c r="AR17" s="255">
        <v>-1.8059894775583907</v>
      </c>
      <c r="AS17" s="255"/>
      <c r="AT17" s="255">
        <v>0.875</v>
      </c>
      <c r="AU17" s="255">
        <v>0.93500000000000005</v>
      </c>
      <c r="AV17" s="255">
        <v>0.98</v>
      </c>
      <c r="AW17" s="255">
        <v>-1.9256842131897847</v>
      </c>
      <c r="AX17" s="255"/>
      <c r="AY17" s="255">
        <v>3.2296309925574924</v>
      </c>
      <c r="AZ17" s="255"/>
      <c r="BA17" s="255"/>
      <c r="BB17" s="255">
        <v>0.8719714221033068</v>
      </c>
      <c r="BC17" s="255">
        <v>0.32427645790122839</v>
      </c>
      <c r="BD17" s="255">
        <v>-0.37570904234000818</v>
      </c>
      <c r="BE17" s="255"/>
      <c r="BF17" s="255"/>
      <c r="BG17" s="255">
        <v>4.1529730168772367</v>
      </c>
      <c r="BH17" s="255">
        <v>4.2149304916794197</v>
      </c>
      <c r="BI17" s="255">
        <v>0.21591901069361893</v>
      </c>
      <c r="BJ17" s="255"/>
      <c r="BK17" s="255">
        <v>-0.45452831145878891</v>
      </c>
      <c r="BL17" s="255"/>
      <c r="BM17" s="255">
        <v>3.4462659311909123</v>
      </c>
    </row>
    <row r="18" spans="1:65" x14ac:dyDescent="0.2">
      <c r="A18" s="19" t="s">
        <v>124</v>
      </c>
      <c r="C18" s="19" t="s">
        <v>23</v>
      </c>
      <c r="E18" s="255">
        <v>7.1</v>
      </c>
      <c r="F18" s="255">
        <v>4.274</v>
      </c>
      <c r="G18" s="255">
        <v>4.931</v>
      </c>
      <c r="H18" s="255">
        <v>-0.75113182581430593</v>
      </c>
      <c r="I18" s="255"/>
      <c r="J18" s="255">
        <v>-1.73</v>
      </c>
      <c r="K18" s="255">
        <v>2.7839999999999998</v>
      </c>
      <c r="L18" s="255">
        <v>3.5190000000000001</v>
      </c>
      <c r="M18" s="255">
        <v>0.61551699998268772</v>
      </c>
      <c r="N18" s="255"/>
      <c r="O18" s="255">
        <v>96.3</v>
      </c>
      <c r="P18" s="255">
        <v>84.7</v>
      </c>
      <c r="Q18" s="255">
        <v>84.6</v>
      </c>
      <c r="R18" s="255">
        <v>-1.011964792653899</v>
      </c>
      <c r="S18" s="255"/>
      <c r="T18" s="255">
        <v>-6.7</v>
      </c>
      <c r="U18" s="255">
        <v>-5</v>
      </c>
      <c r="V18" s="255">
        <v>-4.4000000000000004</v>
      </c>
      <c r="W18" s="255">
        <v>0.15075161770065076</v>
      </c>
      <c r="X18" s="255"/>
      <c r="Y18" s="255">
        <v>-1.326160264035934</v>
      </c>
      <c r="Z18" s="255"/>
      <c r="AA18" s="255">
        <v>15.561</v>
      </c>
      <c r="AB18" s="255">
        <v>19.956</v>
      </c>
      <c r="AC18" s="255">
        <v>18.37</v>
      </c>
      <c r="AD18" s="255">
        <v>0.15219013338058882</v>
      </c>
      <c r="AE18" s="255"/>
      <c r="AF18" s="255"/>
      <c r="AG18" s="19" t="s">
        <v>124</v>
      </c>
      <c r="AH18" s="19" t="s">
        <v>23</v>
      </c>
      <c r="AI18" s="255"/>
      <c r="AJ18" s="255">
        <v>2.2800000000000002</v>
      </c>
      <c r="AK18" s="255">
        <v>0.3</v>
      </c>
      <c r="AL18" s="255">
        <v>0.4</v>
      </c>
      <c r="AM18" s="255">
        <v>0.41152870061564456</v>
      </c>
      <c r="AN18" s="255"/>
      <c r="AO18" s="255">
        <v>-4.0510000000000002</v>
      </c>
      <c r="AP18" s="255">
        <v>-2.8319999999999999</v>
      </c>
      <c r="AQ18" s="255">
        <v>-4.3639999999999999</v>
      </c>
      <c r="AR18" s="255">
        <v>0.3782061568569336</v>
      </c>
      <c r="AS18" s="255"/>
      <c r="AT18" s="255">
        <v>0.89500000000000002</v>
      </c>
      <c r="AU18" s="255">
        <v>0.45700000000000002</v>
      </c>
      <c r="AV18" s="255">
        <v>0.52</v>
      </c>
      <c r="AW18" s="255">
        <v>-0.26166153679535598</v>
      </c>
      <c r="AX18" s="255"/>
      <c r="AY18" s="255">
        <v>0.18678210713462168</v>
      </c>
      <c r="AZ18" s="255"/>
      <c r="BA18" s="255"/>
      <c r="BB18" s="255">
        <v>-1.0473686910483253</v>
      </c>
      <c r="BC18" s="255">
        <v>-0.69962645076850194</v>
      </c>
      <c r="BD18" s="255">
        <v>-0.65823388188907739</v>
      </c>
      <c r="BE18" s="255"/>
      <c r="BF18" s="255"/>
      <c r="BG18" s="255">
        <v>4.3401506065050741</v>
      </c>
      <c r="BH18" s="255">
        <v>4.3420593240855094</v>
      </c>
      <c r="BI18" s="255">
        <v>0.61630536077457954</v>
      </c>
      <c r="BJ18" s="255"/>
      <c r="BK18" s="255">
        <v>-0.94313497447059891</v>
      </c>
      <c r="BL18" s="255"/>
      <c r="BM18" s="255">
        <v>-2.0825131313719112</v>
      </c>
    </row>
    <row r="19" spans="1:65" x14ac:dyDescent="0.2">
      <c r="A19" s="19" t="s">
        <v>124</v>
      </c>
      <c r="C19" s="19" t="s">
        <v>14</v>
      </c>
      <c r="E19" s="255">
        <v>6.3</v>
      </c>
      <c r="F19" s="255">
        <v>8.5660000000000007</v>
      </c>
      <c r="G19" s="255">
        <v>5.69</v>
      </c>
      <c r="H19" s="255">
        <v>-0.57186164423271424</v>
      </c>
      <c r="I19" s="255"/>
      <c r="J19" s="255">
        <v>-4.6879999999999997</v>
      </c>
      <c r="K19" s="255">
        <v>8.1999999999999993</v>
      </c>
      <c r="L19" s="255">
        <v>4.5999999999999996</v>
      </c>
      <c r="M19" s="255">
        <v>-0.75356505141913421</v>
      </c>
      <c r="N19" s="255"/>
      <c r="O19" s="255">
        <v>181.8</v>
      </c>
      <c r="P19" s="255">
        <v>164</v>
      </c>
      <c r="Q19" s="255">
        <v>148.30000000000001</v>
      </c>
      <c r="R19" s="255">
        <v>6.4497616898899088E-2</v>
      </c>
      <c r="S19" s="255"/>
      <c r="T19" s="255">
        <v>-5.5</v>
      </c>
      <c r="U19" s="255">
        <v>-3.6</v>
      </c>
      <c r="V19" s="255">
        <v>-2.6</v>
      </c>
      <c r="W19" s="255">
        <v>-1.1016464370432166</v>
      </c>
      <c r="X19" s="255"/>
      <c r="Y19" s="255">
        <v>0.25162707233366738</v>
      </c>
      <c r="Z19" s="255"/>
      <c r="AA19" s="255">
        <v>12.598000000000001</v>
      </c>
      <c r="AB19" s="255">
        <v>13.819000000000001</v>
      </c>
      <c r="AC19" s="255">
        <v>14.667999999999999</v>
      </c>
      <c r="AD19" s="255">
        <v>0.83373191617285392</v>
      </c>
      <c r="AE19" s="255"/>
      <c r="AF19" s="255"/>
      <c r="AG19" s="19" t="s">
        <v>124</v>
      </c>
      <c r="AH19" s="19" t="s">
        <v>14</v>
      </c>
      <c r="AI19" s="255"/>
      <c r="AJ19" s="255">
        <v>0.98000000000000009</v>
      </c>
      <c r="AK19" s="255">
        <v>1.1000000000000001</v>
      </c>
      <c r="AL19" s="255">
        <v>1.3</v>
      </c>
      <c r="AM19" s="255">
        <v>-7.1570208802720775E-2</v>
      </c>
      <c r="AN19" s="255"/>
      <c r="AO19" s="255">
        <v>-2.327</v>
      </c>
      <c r="AP19" s="255">
        <v>-6.5460000000000003</v>
      </c>
      <c r="AQ19" s="255">
        <v>-8.0350000000000001</v>
      </c>
      <c r="AR19" s="255">
        <v>1.1869798278210908</v>
      </c>
      <c r="AS19" s="255"/>
      <c r="AT19" s="255">
        <v>0.26</v>
      </c>
      <c r="AU19" s="255">
        <v>0.28899999999999998</v>
      </c>
      <c r="AV19" s="255">
        <v>0.29899999999999999</v>
      </c>
      <c r="AW19" s="255">
        <v>0.53779283599414152</v>
      </c>
      <c r="AX19" s="255"/>
      <c r="AY19" s="255">
        <v>-1.1290600362121008</v>
      </c>
      <c r="AZ19" s="255"/>
      <c r="BA19" s="255"/>
      <c r="BB19" s="255">
        <v>-0.69175642570341656</v>
      </c>
      <c r="BC19" s="255">
        <v>-0.64589418372316565</v>
      </c>
      <c r="BD19" s="255">
        <v>-0.64340757365511181</v>
      </c>
      <c r="BE19" s="255"/>
      <c r="BF19" s="255"/>
      <c r="BG19" s="255">
        <v>4.1608594699504176</v>
      </c>
      <c r="BH19" s="255">
        <v>4.2806376683966647</v>
      </c>
      <c r="BI19" s="255">
        <v>0.42286071040108975</v>
      </c>
      <c r="BJ19" s="255"/>
      <c r="BK19" s="255">
        <v>-0.81113659945387007</v>
      </c>
      <c r="BL19" s="255"/>
      <c r="BM19" s="255">
        <v>-1.6885695633323037</v>
      </c>
    </row>
    <row r="20" spans="1:65" x14ac:dyDescent="0.2">
      <c r="A20" s="19" t="s">
        <v>124</v>
      </c>
      <c r="C20" s="19" t="s">
        <v>58</v>
      </c>
      <c r="E20" s="255">
        <v>15.9</v>
      </c>
      <c r="F20" s="255">
        <v>9.3689999999999998</v>
      </c>
      <c r="G20" s="255">
        <v>9.1769999999999996</v>
      </c>
      <c r="H20" s="255">
        <v>0.25174194361314867</v>
      </c>
      <c r="I20" s="255"/>
      <c r="J20" s="255">
        <v>-14.959</v>
      </c>
      <c r="K20" s="255">
        <v>4.2140000000000004</v>
      </c>
      <c r="L20" s="255">
        <v>4.5</v>
      </c>
      <c r="M20" s="255">
        <v>-0.62691546294533051</v>
      </c>
      <c r="N20" s="255"/>
      <c r="O20" s="255">
        <v>195</v>
      </c>
      <c r="P20" s="255">
        <v>167.2</v>
      </c>
      <c r="Q20" s="255">
        <v>174.4</v>
      </c>
      <c r="R20" s="255">
        <v>0.50555992285381302</v>
      </c>
      <c r="S20" s="255"/>
      <c r="T20" s="255">
        <v>-10.6</v>
      </c>
      <c r="U20" s="255">
        <v>-5.9</v>
      </c>
      <c r="V20" s="255">
        <v>-3.6</v>
      </c>
      <c r="W20" s="255">
        <v>-0.4058697399632904</v>
      </c>
      <c r="X20" s="255"/>
      <c r="Y20" s="255">
        <v>0.80883784124222435</v>
      </c>
      <c r="Z20" s="255"/>
      <c r="AA20" s="255">
        <v>15.632</v>
      </c>
      <c r="AB20" s="255">
        <v>17.753</v>
      </c>
      <c r="AC20" s="255">
        <v>17.975999999999999</v>
      </c>
      <c r="AD20" s="255">
        <v>0.2247259146934342</v>
      </c>
      <c r="AE20" s="255"/>
      <c r="AF20" s="255"/>
      <c r="AG20" s="19" t="s">
        <v>124</v>
      </c>
      <c r="AH20" s="19" t="s">
        <v>58</v>
      </c>
      <c r="AI20" s="255"/>
      <c r="AJ20" s="255">
        <v>3.6</v>
      </c>
      <c r="AK20" s="255">
        <v>4.2</v>
      </c>
      <c r="AL20" s="255">
        <v>4.7</v>
      </c>
      <c r="AM20" s="255">
        <v>-1.8966105332721008</v>
      </c>
      <c r="AN20" s="255"/>
      <c r="AO20" s="255">
        <v>-1.4750000000000001</v>
      </c>
      <c r="AP20" s="255">
        <v>-1.875</v>
      </c>
      <c r="AQ20" s="255">
        <v>-3.6190000000000002</v>
      </c>
      <c r="AR20" s="255">
        <v>0.21407202858989546</v>
      </c>
      <c r="AS20" s="255"/>
      <c r="AT20" s="255">
        <v>0.255</v>
      </c>
      <c r="AU20" s="255">
        <v>0.3</v>
      </c>
      <c r="AV20" s="255">
        <v>0.31900000000000001</v>
      </c>
      <c r="AW20" s="255">
        <v>0.46544402397699242</v>
      </c>
      <c r="AX20" s="255"/>
      <c r="AY20" s="255">
        <v>-0.31575856413382386</v>
      </c>
      <c r="AZ20" s="255"/>
      <c r="BA20" s="255"/>
      <c r="BB20" s="255">
        <v>7.9597543452814534</v>
      </c>
      <c r="BC20" s="255">
        <v>7.2778881240805449</v>
      </c>
      <c r="BD20" s="255">
        <v>1.5429963384526326</v>
      </c>
      <c r="BE20" s="255"/>
      <c r="BF20" s="255"/>
      <c r="BG20" s="255">
        <v>3.95196496039449</v>
      </c>
      <c r="BH20" s="255">
        <v>3.9999958299432326</v>
      </c>
      <c r="BI20" s="255">
        <v>-0.46100771859108702</v>
      </c>
      <c r="BJ20" s="255"/>
      <c r="BK20" s="255">
        <v>1.6040957277955079</v>
      </c>
      <c r="BL20" s="255"/>
      <c r="BM20" s="255">
        <v>2.0971750049039084</v>
      </c>
    </row>
    <row r="21" spans="1:65" ht="15" x14ac:dyDescent="0.25">
      <c r="A21" s="18" t="s">
        <v>200</v>
      </c>
      <c r="B21" s="18"/>
      <c r="E21" s="255"/>
      <c r="F21" s="300">
        <v>5.4</v>
      </c>
      <c r="G21" s="301">
        <v>8.1111666666666657</v>
      </c>
      <c r="H21" s="301"/>
      <c r="I21" s="301"/>
      <c r="J21" s="301"/>
      <c r="K21" s="300">
        <v>3.6</v>
      </c>
      <c r="L21" s="301">
        <v>4.0049999999999999</v>
      </c>
      <c r="M21" s="301"/>
      <c r="N21" s="301"/>
      <c r="O21" s="301"/>
      <c r="P21" s="300">
        <v>144.21111111111111</v>
      </c>
      <c r="Q21" s="301">
        <v>144.48333333333332</v>
      </c>
      <c r="R21" s="301"/>
      <c r="S21" s="301"/>
      <c r="T21" s="301"/>
      <c r="U21" s="300">
        <v>-4.5</v>
      </c>
      <c r="V21" s="301">
        <v>-4.1833333333333336</v>
      </c>
      <c r="W21" s="301"/>
      <c r="X21" s="301"/>
      <c r="Y21" s="301"/>
      <c r="Z21" s="301"/>
      <c r="AA21" s="301"/>
      <c r="AB21" s="300">
        <v>19.933</v>
      </c>
      <c r="AC21" s="301">
        <v>19.196666666666669</v>
      </c>
      <c r="AD21" s="301"/>
      <c r="AE21" s="301"/>
      <c r="AF21" s="301"/>
      <c r="AG21" s="18" t="s">
        <v>200</v>
      </c>
      <c r="AI21" s="301"/>
      <c r="AJ21" s="301"/>
      <c r="AK21" s="300">
        <v>2.2999999999999998</v>
      </c>
      <c r="AL21" s="301">
        <v>1.1666666666666667</v>
      </c>
      <c r="AM21" s="301"/>
      <c r="AN21" s="301"/>
      <c r="AO21" s="301"/>
      <c r="AP21" s="300">
        <v>-0.1</v>
      </c>
      <c r="AQ21" s="301">
        <v>-2.6473333333333335</v>
      </c>
      <c r="AR21" s="301"/>
      <c r="AS21" s="301"/>
      <c r="AT21" s="301"/>
      <c r="AU21" s="300">
        <v>0.47755555555555557</v>
      </c>
      <c r="AV21" s="301">
        <v>0.44766666666666666</v>
      </c>
      <c r="AW21" s="301"/>
      <c r="AX21" s="255"/>
      <c r="AY21" s="255"/>
      <c r="AZ21" s="255"/>
      <c r="BA21" s="255"/>
      <c r="BB21" s="300">
        <v>1.7026283157774948</v>
      </c>
      <c r="BC21" s="301">
        <v>1.68588976552914</v>
      </c>
      <c r="BD21" s="255"/>
      <c r="BE21" s="255"/>
      <c r="BF21" s="255"/>
      <c r="BG21" s="300">
        <v>4.0455825183188994</v>
      </c>
      <c r="BH21" s="301">
        <v>4.1463728804666315</v>
      </c>
      <c r="BI21" s="255"/>
      <c r="BJ21" s="255"/>
      <c r="BK21" s="255"/>
      <c r="BL21" s="255"/>
      <c r="BM21" s="255"/>
    </row>
    <row r="22" spans="1:65" ht="15" x14ac:dyDescent="0.25">
      <c r="A22" s="18" t="s">
        <v>163</v>
      </c>
      <c r="B22" s="18"/>
      <c r="E22" s="255"/>
      <c r="F22" s="300">
        <v>3.2059950483430213</v>
      </c>
      <c r="G22" s="301">
        <v>4.2338329403351143</v>
      </c>
      <c r="H22" s="301"/>
      <c r="I22" s="301"/>
      <c r="J22" s="301"/>
      <c r="K22" s="300">
        <v>2.0921091497444495</v>
      </c>
      <c r="L22" s="301">
        <v>0.78958014159425194</v>
      </c>
      <c r="M22" s="301"/>
      <c r="N22" s="301"/>
      <c r="O22" s="301"/>
      <c r="P22" s="300">
        <v>58.591881785031553</v>
      </c>
      <c r="Q22" s="301">
        <v>59.175312983259047</v>
      </c>
      <c r="R22" s="301"/>
      <c r="S22" s="301"/>
      <c r="T22" s="301"/>
      <c r="U22" s="300">
        <v>2.1691172039436806</v>
      </c>
      <c r="V22" s="301">
        <v>1.4372427306014341</v>
      </c>
      <c r="W22" s="301"/>
      <c r="X22" s="301"/>
      <c r="Y22" s="301"/>
      <c r="Z22" s="301"/>
      <c r="AA22" s="301"/>
      <c r="AB22" s="300">
        <v>6.6163295715978414</v>
      </c>
      <c r="AC22" s="301">
        <v>5.4318019723353874</v>
      </c>
      <c r="AD22" s="301"/>
      <c r="AE22" s="301"/>
      <c r="AF22" s="301"/>
      <c r="AG22" s="18" t="s">
        <v>163</v>
      </c>
      <c r="AI22" s="301"/>
      <c r="AJ22" s="301"/>
      <c r="AK22" s="300">
        <v>1.3917415149532784</v>
      </c>
      <c r="AL22" s="301">
        <v>1.8629725351348225</v>
      </c>
      <c r="AM22" s="301"/>
      <c r="AN22" s="301"/>
      <c r="AO22" s="301"/>
      <c r="AP22" s="300">
        <v>3.4701198386286958</v>
      </c>
      <c r="AQ22" s="301">
        <v>4.5389707056409465</v>
      </c>
      <c r="AR22" s="301"/>
      <c r="AS22" s="301"/>
      <c r="AT22" s="301"/>
      <c r="AU22" s="300">
        <v>0.293425080348933</v>
      </c>
      <c r="AV22" s="301">
        <v>0.27643854048715177</v>
      </c>
      <c r="AW22" s="301"/>
      <c r="AX22" s="255"/>
      <c r="AY22" s="255"/>
      <c r="AZ22" s="255"/>
      <c r="BA22" s="255"/>
      <c r="BB22" s="300">
        <v>3.6663076726854342</v>
      </c>
      <c r="BC22" s="301">
        <v>3.6241164150520566</v>
      </c>
      <c r="BD22" s="255"/>
      <c r="BE22" s="255"/>
      <c r="BF22" s="255"/>
      <c r="BG22" s="300">
        <v>0.28345232267288578</v>
      </c>
      <c r="BH22" s="301">
        <v>0.31751540076324658</v>
      </c>
      <c r="BI22" s="255"/>
      <c r="BJ22" s="255"/>
      <c r="BK22" s="255"/>
      <c r="BL22" s="255"/>
      <c r="BM22" s="255"/>
    </row>
    <row r="23" spans="1:65" x14ac:dyDescent="0.2">
      <c r="E23" s="255"/>
      <c r="F23" s="255"/>
      <c r="G23" s="255"/>
      <c r="H23" s="255"/>
      <c r="I23" s="255"/>
      <c r="J23" s="255"/>
      <c r="K23" s="255"/>
      <c r="L23" s="255"/>
      <c r="M23" s="255"/>
      <c r="N23" s="255"/>
      <c r="O23" s="255"/>
      <c r="P23" s="255"/>
      <c r="Q23" s="255"/>
      <c r="R23" s="255"/>
      <c r="S23" s="255"/>
      <c r="T23" s="255"/>
      <c r="U23" s="255"/>
      <c r="V23" s="255"/>
      <c r="W23" s="255"/>
      <c r="X23" s="255"/>
      <c r="Y23" s="255"/>
      <c r="Z23" s="255"/>
      <c r="AA23" s="255"/>
      <c r="AB23" s="255"/>
      <c r="AC23" s="255"/>
      <c r="AD23" s="255"/>
      <c r="AE23" s="255"/>
      <c r="AF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c r="BI23" s="255"/>
      <c r="BJ23" s="255"/>
      <c r="BK23" s="255"/>
      <c r="BL23" s="255"/>
      <c r="BM23" s="255"/>
    </row>
    <row r="24" spans="1:65" x14ac:dyDescent="0.2">
      <c r="A24" s="19" t="s">
        <v>169</v>
      </c>
      <c r="C24" s="19" t="s">
        <v>10</v>
      </c>
      <c r="E24" s="255">
        <v>6.3</v>
      </c>
      <c r="F24" s="255">
        <v>10.461</v>
      </c>
      <c r="G24" s="255">
        <v>10.239000000000001</v>
      </c>
      <c r="H24" s="255">
        <v>0.15255359080736358</v>
      </c>
      <c r="I24" s="255"/>
      <c r="J24" s="255">
        <v>0.84250000000000003</v>
      </c>
      <c r="K24" s="255">
        <v>9.1609999999999996</v>
      </c>
      <c r="L24" s="255">
        <v>6.0019999999999998</v>
      </c>
      <c r="M24" s="255">
        <v>-0.47716010996317676</v>
      </c>
      <c r="N24" s="255"/>
      <c r="O24" s="255">
        <v>165.1</v>
      </c>
      <c r="P24" s="255">
        <v>139.69999999999999</v>
      </c>
      <c r="Q24" s="255">
        <v>130.69999999999999</v>
      </c>
      <c r="R24" s="255">
        <v>1.7435811000403769</v>
      </c>
      <c r="S24" s="255"/>
      <c r="T24" s="255">
        <v>-1.5</v>
      </c>
      <c r="U24" s="255">
        <v>-1</v>
      </c>
      <c r="V24" s="255">
        <v>-0.7</v>
      </c>
      <c r="W24" s="255">
        <v>-0.54768832805429946</v>
      </c>
      <c r="X24" s="255"/>
      <c r="Y24" s="255">
        <v>1.2167270366215135</v>
      </c>
      <c r="Z24" s="255"/>
      <c r="AA24" s="255">
        <v>22.721</v>
      </c>
      <c r="AB24" s="255">
        <v>22.893999999999998</v>
      </c>
      <c r="AC24" s="255">
        <v>22.861000000000001</v>
      </c>
      <c r="AD24" s="255">
        <v>-3.059802077185968E-3</v>
      </c>
      <c r="AE24" s="255"/>
      <c r="AF24" s="255"/>
      <c r="AG24" s="19" t="s">
        <v>169</v>
      </c>
      <c r="AH24" s="19" t="s">
        <v>10</v>
      </c>
      <c r="AI24" s="255"/>
      <c r="AJ24" s="255">
        <v>0.74</v>
      </c>
      <c r="AK24" s="255">
        <v>1.4</v>
      </c>
      <c r="AL24" s="255">
        <v>1.2</v>
      </c>
      <c r="AM24" s="255">
        <v>0.49483326927764781</v>
      </c>
      <c r="AN24" s="255"/>
      <c r="AO24" s="255">
        <v>1.758</v>
      </c>
      <c r="AP24" s="255">
        <v>0.88700000000000001</v>
      </c>
      <c r="AQ24" s="255">
        <v>0.114</v>
      </c>
      <c r="AR24" s="255">
        <v>-0.37705937837446135</v>
      </c>
      <c r="AS24" s="255"/>
      <c r="AT24" s="255">
        <v>0.36499999999999999</v>
      </c>
      <c r="AU24" s="255">
        <v>0.40699999999999997</v>
      </c>
      <c r="AV24" s="255">
        <v>0.36199999999999999</v>
      </c>
      <c r="AW24" s="255">
        <v>0.27777550301893122</v>
      </c>
      <c r="AX24" s="255"/>
      <c r="AY24" s="255">
        <v>-0.44214809971240082</v>
      </c>
      <c r="AZ24" s="255"/>
      <c r="BA24" s="255"/>
      <c r="BB24" s="255">
        <v>5.0495513269850276</v>
      </c>
      <c r="BC24" s="255">
        <v>4.673360822920543</v>
      </c>
      <c r="BD24" s="255">
        <v>1.0071836964179981</v>
      </c>
      <c r="BE24" s="255"/>
      <c r="BF24" s="255"/>
      <c r="BG24" s="255">
        <v>3.9091766930715233</v>
      </c>
      <c r="BH24" s="255">
        <v>3.9945822170492189</v>
      </c>
      <c r="BI24" s="255">
        <v>-0.23576406760233332</v>
      </c>
      <c r="BJ24" s="255"/>
      <c r="BK24" s="255">
        <v>1.0068772646714337</v>
      </c>
      <c r="BL24" s="255"/>
      <c r="BM24" s="255">
        <v>1.7814562015805464</v>
      </c>
    </row>
    <row r="25" spans="1:65" x14ac:dyDescent="0.2">
      <c r="A25" s="19" t="s">
        <v>169</v>
      </c>
      <c r="C25" s="19" t="s">
        <v>9</v>
      </c>
      <c r="E25" s="255">
        <v>4.9000000000000004</v>
      </c>
      <c r="F25" s="255">
        <v>5.0369999999999999</v>
      </c>
      <c r="G25" s="255">
        <v>6.2679999999999998</v>
      </c>
      <c r="H25" s="255">
        <v>-0.22626265250438679</v>
      </c>
      <c r="I25" s="255"/>
      <c r="J25" s="255">
        <v>-0.64500000000000002</v>
      </c>
      <c r="K25" s="255">
        <v>7.49</v>
      </c>
      <c r="L25" s="255">
        <v>4.4610000000000003</v>
      </c>
      <c r="M25" s="255">
        <v>0.20095584096205082</v>
      </c>
      <c r="N25" s="255"/>
      <c r="O25" s="255">
        <v>109.4</v>
      </c>
      <c r="P25" s="255">
        <v>123.8</v>
      </c>
      <c r="Q25" s="255">
        <v>135.1</v>
      </c>
      <c r="R25" s="255">
        <v>1.9190023692517568</v>
      </c>
      <c r="S25" s="255"/>
      <c r="T25" s="255">
        <v>-3.3</v>
      </c>
      <c r="U25" s="255">
        <v>-2.2000000000000002</v>
      </c>
      <c r="V25" s="255">
        <v>-2.7</v>
      </c>
      <c r="W25" s="255">
        <v>0.27384416402714989</v>
      </c>
      <c r="X25" s="255"/>
      <c r="Y25" s="255">
        <v>0.43041291018337419</v>
      </c>
      <c r="Z25" s="255"/>
      <c r="AA25" s="255">
        <v>14.984999999999999</v>
      </c>
      <c r="AB25" s="255">
        <v>16.975000000000001</v>
      </c>
      <c r="AC25" s="255">
        <v>17.103999999999999</v>
      </c>
      <c r="AD25" s="255">
        <v>1.351961779335288</v>
      </c>
      <c r="AE25" s="255"/>
      <c r="AF25" s="255"/>
      <c r="AG25" s="19" t="s">
        <v>169</v>
      </c>
      <c r="AH25" s="19" t="s">
        <v>9</v>
      </c>
      <c r="AI25" s="255"/>
      <c r="AJ25" s="255">
        <v>1.7399999999999998</v>
      </c>
      <c r="AK25" s="255">
        <v>1.8</v>
      </c>
      <c r="AL25" s="255">
        <v>2.9</v>
      </c>
      <c r="AM25" s="255">
        <v>3.5987874129283469E-2</v>
      </c>
      <c r="AN25" s="255"/>
      <c r="AO25" s="255">
        <v>-1.518</v>
      </c>
      <c r="AP25" s="255">
        <v>-2.2730000000000001</v>
      </c>
      <c r="AQ25" s="255">
        <v>-2.585</v>
      </c>
      <c r="AR25" s="255">
        <v>5.1288539787308386E-2</v>
      </c>
      <c r="AS25" s="255"/>
      <c r="AT25" s="255">
        <v>1.1599999999999999</v>
      </c>
      <c r="AU25" s="255">
        <v>0.92300000000000004</v>
      </c>
      <c r="AV25" s="255">
        <v>0.88</v>
      </c>
      <c r="AW25" s="255">
        <v>-0.98255480848886156</v>
      </c>
      <c r="AX25" s="255"/>
      <c r="AY25" s="255">
        <v>1.2068200629446164</v>
      </c>
      <c r="AZ25" s="255"/>
      <c r="BA25" s="255"/>
      <c r="BB25" s="255">
        <v>-0.76762482803965693</v>
      </c>
      <c r="BC25" s="255">
        <v>-0.60764528750148994</v>
      </c>
      <c r="BD25" s="255">
        <v>-0.50963430147601652</v>
      </c>
      <c r="BE25" s="255"/>
      <c r="BF25" s="255"/>
      <c r="BG25" s="255">
        <v>4.227963170529951</v>
      </c>
      <c r="BH25" s="255">
        <v>4.3202817984145794</v>
      </c>
      <c r="BI25" s="255">
        <v>0.73737242575736861</v>
      </c>
      <c r="BJ25" s="255"/>
      <c r="BK25" s="255">
        <v>-0.89071035510231455</v>
      </c>
      <c r="BL25" s="255"/>
      <c r="BM25" s="255">
        <v>0.7465226180256761</v>
      </c>
    </row>
    <row r="26" spans="1:65" x14ac:dyDescent="0.2">
      <c r="A26" s="19" t="s">
        <v>169</v>
      </c>
      <c r="C26" s="19" t="s">
        <v>36</v>
      </c>
      <c r="E26" s="255">
        <v>1.7</v>
      </c>
      <c r="F26" s="255">
        <v>1.516</v>
      </c>
      <c r="G26" s="255">
        <v>3.605</v>
      </c>
      <c r="H26" s="255">
        <v>-0.48030134702445498</v>
      </c>
      <c r="I26" s="255"/>
      <c r="J26" s="255">
        <v>-1.6095000000000002</v>
      </c>
      <c r="K26" s="255">
        <v>5.26</v>
      </c>
      <c r="L26" s="255">
        <v>5.8860000000000001</v>
      </c>
      <c r="M26" s="255">
        <v>-0.4261143926969041</v>
      </c>
      <c r="N26" s="255"/>
      <c r="O26" s="255">
        <v>82</v>
      </c>
      <c r="P26" s="255">
        <v>81.400000000000006</v>
      </c>
      <c r="Q26" s="255">
        <v>76.5</v>
      </c>
      <c r="R26" s="255">
        <v>-0.4172899888816155</v>
      </c>
      <c r="S26" s="255"/>
      <c r="T26" s="255">
        <v>-4.5999999999999996</v>
      </c>
      <c r="U26" s="255">
        <v>-1.5</v>
      </c>
      <c r="V26" s="255">
        <v>-0.8</v>
      </c>
      <c r="W26" s="255">
        <v>-0.50661170345022699</v>
      </c>
      <c r="X26" s="255"/>
      <c r="Y26" s="255">
        <v>-0.20515749453777121</v>
      </c>
      <c r="Z26" s="255"/>
      <c r="AA26" s="255">
        <v>25.132000000000001</v>
      </c>
      <c r="AB26" s="255">
        <v>28.164000000000001</v>
      </c>
      <c r="AC26" s="255">
        <v>28.489000000000001</v>
      </c>
      <c r="AD26" s="255">
        <v>-1.3277187321083486</v>
      </c>
      <c r="AE26" s="255"/>
      <c r="AF26" s="255"/>
      <c r="AG26" s="19" t="s">
        <v>169</v>
      </c>
      <c r="AH26" s="19" t="s">
        <v>36</v>
      </c>
      <c r="AI26" s="255"/>
      <c r="AJ26" s="255">
        <v>3.2399999999999998</v>
      </c>
      <c r="AK26" s="255">
        <v>3.1</v>
      </c>
      <c r="AL26" s="255">
        <v>3.2</v>
      </c>
      <c r="AM26" s="255">
        <v>-4.4984842661604428E-2</v>
      </c>
      <c r="AN26" s="255"/>
      <c r="AO26" s="255">
        <v>1.595</v>
      </c>
      <c r="AP26" s="255">
        <v>1.87</v>
      </c>
      <c r="AQ26" s="255">
        <v>0.52800000000000002</v>
      </c>
      <c r="AR26" s="255">
        <v>-0.44276372743669656</v>
      </c>
      <c r="AS26" s="255"/>
      <c r="AT26" s="255">
        <v>0.39</v>
      </c>
      <c r="AU26" s="255">
        <v>0.32600000000000001</v>
      </c>
      <c r="AV26" s="255">
        <v>0.438</v>
      </c>
      <c r="AW26" s="255">
        <v>9.2862175461803295E-2</v>
      </c>
      <c r="AX26" s="255"/>
      <c r="AY26" s="255">
        <v>0.16396215410711296</v>
      </c>
      <c r="AZ26" s="255"/>
      <c r="BA26" s="255"/>
      <c r="BB26" s="255">
        <v>-2.4467841488030686</v>
      </c>
      <c r="BC26" s="255">
        <v>-2.0539420449374255</v>
      </c>
      <c r="BD26" s="255">
        <v>-0.92504168902764072</v>
      </c>
      <c r="BE26" s="255"/>
      <c r="BF26" s="255"/>
      <c r="BG26" s="255">
        <v>4.6959829166907854</v>
      </c>
      <c r="BH26" s="255">
        <v>4.7031548884579779</v>
      </c>
      <c r="BI26" s="255">
        <v>1.8813339091731793</v>
      </c>
      <c r="BJ26" s="255"/>
      <c r="BK26" s="255">
        <v>-1.9516125602692478</v>
      </c>
      <c r="BL26" s="255"/>
      <c r="BM26" s="255">
        <v>-1.992807900699906</v>
      </c>
    </row>
    <row r="27" spans="1:65" x14ac:dyDescent="0.2">
      <c r="A27" s="19" t="s">
        <v>169</v>
      </c>
      <c r="C27" s="19" t="s">
        <v>37</v>
      </c>
      <c r="E27" s="255">
        <v>4.2</v>
      </c>
      <c r="F27" s="255">
        <v>2.27</v>
      </c>
      <c r="G27" s="255">
        <v>3.5569999999999999</v>
      </c>
      <c r="H27" s="255">
        <v>-0.48488033964066346</v>
      </c>
      <c r="I27" s="255"/>
      <c r="J27" s="255">
        <v>1.141</v>
      </c>
      <c r="K27" s="255">
        <v>4.3079999999999998</v>
      </c>
      <c r="L27" s="255">
        <v>4.6059999999999999</v>
      </c>
      <c r="M27" s="255">
        <v>0.13714869437920998</v>
      </c>
      <c r="N27" s="255"/>
      <c r="O27" s="255">
        <v>142</v>
      </c>
      <c r="P27" s="255">
        <v>138.9</v>
      </c>
      <c r="Q27" s="255">
        <v>133.69999999999999</v>
      </c>
      <c r="R27" s="255">
        <v>1.8631865108663175</v>
      </c>
      <c r="S27" s="255"/>
      <c r="T27" s="255">
        <v>-2.2000000000000002</v>
      </c>
      <c r="U27" s="255">
        <v>-3.6</v>
      </c>
      <c r="V27" s="255">
        <v>-3</v>
      </c>
      <c r="W27" s="255">
        <v>0.39707403783936723</v>
      </c>
      <c r="X27" s="255"/>
      <c r="Y27" s="255">
        <v>0.1904947561101189</v>
      </c>
      <c r="Z27" s="255"/>
      <c r="AA27" s="255">
        <v>19.786000000000001</v>
      </c>
      <c r="AB27" s="255">
        <v>19.263999999999999</v>
      </c>
      <c r="AC27" s="255">
        <v>20.744</v>
      </c>
      <c r="AD27" s="255">
        <v>0.49521719772309336</v>
      </c>
      <c r="AE27" s="255"/>
      <c r="AF27" s="255"/>
      <c r="AG27" s="19" t="s">
        <v>169</v>
      </c>
      <c r="AH27" s="19" t="s">
        <v>37</v>
      </c>
      <c r="AI27" s="255"/>
      <c r="AJ27" s="255">
        <v>3.46</v>
      </c>
      <c r="AK27" s="255">
        <v>0.1</v>
      </c>
      <c r="AL27" s="255">
        <v>-0.8</v>
      </c>
      <c r="AM27" s="255">
        <v>1.0346513812168998</v>
      </c>
      <c r="AN27" s="255"/>
      <c r="AO27" s="255">
        <v>-2.157</v>
      </c>
      <c r="AP27" s="255">
        <v>-3.105</v>
      </c>
      <c r="AQ27" s="255">
        <v>-2.0920000000000001</v>
      </c>
      <c r="AR27" s="255">
        <v>-2.6953595690184184E-2</v>
      </c>
      <c r="AS27" s="255"/>
      <c r="AT27" s="255">
        <v>0.51</v>
      </c>
      <c r="AU27" s="255">
        <v>0.46500000000000002</v>
      </c>
      <c r="AV27" s="255">
        <v>0.53400000000000003</v>
      </c>
      <c r="AW27" s="255">
        <v>-0.14071255408404254</v>
      </c>
      <c r="AX27" s="255"/>
      <c r="AY27" s="255">
        <v>-0.10337427650824757</v>
      </c>
      <c r="AZ27" s="255"/>
      <c r="BA27" s="255"/>
      <c r="BB27" s="255">
        <v>-1.0608939516151255</v>
      </c>
      <c r="BC27" s="255">
        <v>-0.85018235686261368</v>
      </c>
      <c r="BD27" s="255">
        <v>-0.57929613944234715</v>
      </c>
      <c r="BE27" s="255"/>
      <c r="BF27" s="255"/>
      <c r="BG27" s="255">
        <v>4.0537743000544104</v>
      </c>
      <c r="BH27" s="255">
        <v>4.2029067712377577</v>
      </c>
      <c r="BI27" s="255">
        <v>0.38667525299459166</v>
      </c>
      <c r="BJ27" s="255"/>
      <c r="BK27" s="255">
        <v>-0.73398195938515931</v>
      </c>
      <c r="BL27" s="255"/>
      <c r="BM27" s="255">
        <v>-0.64686147978328801</v>
      </c>
    </row>
    <row r="28" spans="1:65" x14ac:dyDescent="0.2">
      <c r="A28" s="19" t="s">
        <v>169</v>
      </c>
      <c r="C28" s="19" t="s">
        <v>39</v>
      </c>
      <c r="E28" s="255">
        <v>5.2</v>
      </c>
      <c r="F28" s="255">
        <v>3.55</v>
      </c>
      <c r="G28" s="255">
        <v>3.5</v>
      </c>
      <c r="H28" s="255">
        <v>-0.49031789337241116</v>
      </c>
      <c r="I28" s="255"/>
      <c r="J28" s="255">
        <v>0.36199999999999999</v>
      </c>
      <c r="K28" s="255">
        <v>3.2</v>
      </c>
      <c r="L28" s="255">
        <v>3.2</v>
      </c>
      <c r="M28" s="255">
        <v>0.75585799158937872</v>
      </c>
      <c r="N28" s="255"/>
      <c r="O28" s="255">
        <v>85.8</v>
      </c>
      <c r="P28" s="255">
        <v>68.8</v>
      </c>
      <c r="Q28" s="255">
        <v>78</v>
      </c>
      <c r="R28" s="255">
        <v>-0.35748728346864522</v>
      </c>
      <c r="S28" s="255"/>
      <c r="T28" s="255">
        <v>-5.0999999999999996</v>
      </c>
      <c r="U28" s="255">
        <v>-3.7</v>
      </c>
      <c r="V28" s="255">
        <v>-6.2</v>
      </c>
      <c r="W28" s="255">
        <v>1.7115260251696862</v>
      </c>
      <c r="X28" s="255"/>
      <c r="Y28" s="255">
        <v>-1.4110905305660895</v>
      </c>
      <c r="Z28" s="255"/>
      <c r="AA28" s="255">
        <v>22.63</v>
      </c>
      <c r="AB28" s="255">
        <v>20.876999999999999</v>
      </c>
      <c r="AC28" s="255">
        <v>22.175000000000001</v>
      </c>
      <c r="AD28" s="255">
        <v>0.15840359984203531</v>
      </c>
      <c r="AE28" s="255"/>
      <c r="AF28" s="255"/>
      <c r="AG28" s="19" t="s">
        <v>169</v>
      </c>
      <c r="AH28" s="19" t="s">
        <v>39</v>
      </c>
      <c r="AI28" s="255"/>
      <c r="AJ28" s="255">
        <v>0.40000000000000008</v>
      </c>
      <c r="AK28" s="255">
        <v>0.3</v>
      </c>
      <c r="AL28" s="255">
        <v>0.9</v>
      </c>
      <c r="AM28" s="255">
        <v>0.57580598606853561</v>
      </c>
      <c r="AN28" s="255"/>
      <c r="AO28" s="255">
        <v>-0.71</v>
      </c>
      <c r="AP28" s="255">
        <v>-4.3630000000000004</v>
      </c>
      <c r="AQ28" s="255">
        <v>-4.0419999999999998</v>
      </c>
      <c r="AR28" s="255">
        <v>0.2825234107623727</v>
      </c>
      <c r="AS28" s="255"/>
      <c r="AT28" s="255">
        <v>0.245</v>
      </c>
      <c r="AU28" s="255">
        <v>0.106</v>
      </c>
      <c r="AV28" s="255">
        <v>0.11600000000000001</v>
      </c>
      <c r="AW28" s="255">
        <v>0.87631074748016091</v>
      </c>
      <c r="AX28" s="255"/>
      <c r="AY28" s="255">
        <v>-1.4878299620640705</v>
      </c>
      <c r="AZ28" s="255"/>
      <c r="BA28" s="255"/>
      <c r="BB28" s="255">
        <v>6.5633022071786584</v>
      </c>
      <c r="BC28" s="255">
        <v>5.5865411580444038</v>
      </c>
      <c r="BD28" s="255">
        <v>1.2694686358171816</v>
      </c>
      <c r="BE28" s="255"/>
      <c r="BF28" s="255"/>
      <c r="BG28" s="255">
        <v>3.5566525727499796</v>
      </c>
      <c r="BH28" s="255">
        <v>3.822890454121195</v>
      </c>
      <c r="BI28" s="255">
        <v>-0.74875066529493961</v>
      </c>
      <c r="BJ28" s="255"/>
      <c r="BK28" s="255">
        <v>1.5476246494219295</v>
      </c>
      <c r="BL28" s="255"/>
      <c r="BM28" s="255">
        <v>-1.3512958432082307</v>
      </c>
    </row>
    <row r="29" spans="1:65" x14ac:dyDescent="0.2">
      <c r="A29" s="19" t="s">
        <v>169</v>
      </c>
      <c r="C29" s="19" t="s">
        <v>11</v>
      </c>
      <c r="E29" s="255">
        <v>5.3</v>
      </c>
      <c r="F29" s="255">
        <v>4.1520000000000001</v>
      </c>
      <c r="G29" s="255">
        <v>3.6309999999999998</v>
      </c>
      <c r="H29" s="255">
        <v>-0.47782105935734204</v>
      </c>
      <c r="I29" s="255"/>
      <c r="J29" s="255">
        <v>-6.3254999999999999</v>
      </c>
      <c r="K29" s="255">
        <v>5.5179999999999998</v>
      </c>
      <c r="L29" s="255">
        <v>4.6420000000000003</v>
      </c>
      <c r="M29" s="255">
        <v>0.12130692005519407</v>
      </c>
      <c r="N29" s="255"/>
      <c r="O29" s="255">
        <v>73.8</v>
      </c>
      <c r="P29" s="255">
        <v>71.099999999999994</v>
      </c>
      <c r="Q29" s="255">
        <v>67.8</v>
      </c>
      <c r="R29" s="255">
        <v>-0.76414568027684326</v>
      </c>
      <c r="S29" s="255"/>
      <c r="T29" s="255">
        <v>-2.2999999999999998</v>
      </c>
      <c r="U29" s="255">
        <v>-2.6</v>
      </c>
      <c r="V29" s="255">
        <v>-2.5</v>
      </c>
      <c r="W29" s="255">
        <v>0.19169091481900488</v>
      </c>
      <c r="X29" s="255"/>
      <c r="Y29" s="255">
        <v>-0.80607580340319529</v>
      </c>
      <c r="Z29" s="255"/>
      <c r="AA29" s="255">
        <v>23.198</v>
      </c>
      <c r="AB29" s="255">
        <v>25.077000000000002</v>
      </c>
      <c r="AC29" s="255">
        <v>25.593</v>
      </c>
      <c r="AD29" s="255">
        <v>-0.6460889770674374</v>
      </c>
      <c r="AE29" s="255"/>
      <c r="AF29" s="255"/>
      <c r="AG29" s="19" t="s">
        <v>169</v>
      </c>
      <c r="AH29" s="19" t="s">
        <v>11</v>
      </c>
      <c r="AI29" s="255"/>
      <c r="AJ29" s="255">
        <v>1.2000000000000002</v>
      </c>
      <c r="AK29" s="255">
        <v>0.4</v>
      </c>
      <c r="AL29" s="255">
        <v>0.6</v>
      </c>
      <c r="AM29" s="255">
        <v>0.65677870285942341</v>
      </c>
      <c r="AN29" s="255"/>
      <c r="AO29" s="255">
        <v>-0.71299999999999997</v>
      </c>
      <c r="AP29" s="255">
        <v>-0.54800000000000004</v>
      </c>
      <c r="AQ29" s="255">
        <v>-0.89700000000000002</v>
      </c>
      <c r="AR29" s="255">
        <v>-0.21660745349059726</v>
      </c>
      <c r="AS29" s="255"/>
      <c r="AT29" s="255">
        <v>0.56000000000000005</v>
      </c>
      <c r="AU29" s="255">
        <v>0.61599999999999999</v>
      </c>
      <c r="AV29" s="255">
        <v>0.629</v>
      </c>
      <c r="AW29" s="255">
        <v>-0.37185421353045234</v>
      </c>
      <c r="AX29" s="255"/>
      <c r="AY29" s="255">
        <v>0.52982894723221774</v>
      </c>
      <c r="AZ29" s="255"/>
      <c r="BA29" s="255"/>
      <c r="BB29" s="255">
        <v>-2.0082602065870354</v>
      </c>
      <c r="BC29" s="255">
        <v>-1.6418430158482955</v>
      </c>
      <c r="BD29" s="255">
        <v>-0.80667802665590982</v>
      </c>
      <c r="BE29" s="255"/>
      <c r="BF29" s="255"/>
      <c r="BG29" s="255">
        <v>4.1890428814501526</v>
      </c>
      <c r="BH29" s="255">
        <v>4.2943372805219955</v>
      </c>
      <c r="BI29" s="255">
        <v>0.65985449632664228</v>
      </c>
      <c r="BJ29" s="255"/>
      <c r="BK29" s="255">
        <v>-1.0969624145527432</v>
      </c>
      <c r="BL29" s="255"/>
      <c r="BM29" s="255">
        <v>-1.3732092707237209</v>
      </c>
    </row>
    <row r="30" spans="1:65" x14ac:dyDescent="0.2">
      <c r="A30" s="19" t="s">
        <v>169</v>
      </c>
      <c r="C30" s="19" t="s">
        <v>71</v>
      </c>
      <c r="E30" s="255">
        <v>2.4</v>
      </c>
      <c r="F30" s="255">
        <v>3.49</v>
      </c>
      <c r="G30" s="255">
        <v>5.0190000000000001</v>
      </c>
      <c r="H30" s="255">
        <v>-0.34541185620531251</v>
      </c>
      <c r="I30" s="255"/>
      <c r="J30" s="255">
        <v>2.7960000000000003</v>
      </c>
      <c r="K30" s="255">
        <v>7.5049999999999999</v>
      </c>
      <c r="L30" s="255">
        <v>7.4</v>
      </c>
      <c r="M30" s="255">
        <v>-1.0923490128791202</v>
      </c>
      <c r="N30" s="255"/>
      <c r="O30" s="255">
        <v>75.099999999999994</v>
      </c>
      <c r="P30" s="255">
        <v>66.599999999999994</v>
      </c>
      <c r="Q30" s="255">
        <v>61.9</v>
      </c>
      <c r="R30" s="255">
        <v>-0.99936965490119301</v>
      </c>
      <c r="S30" s="255"/>
      <c r="T30" s="255">
        <v>-1.1000000000000001</v>
      </c>
      <c r="U30" s="255">
        <v>0.01</v>
      </c>
      <c r="V30" s="255">
        <v>0.5</v>
      </c>
      <c r="W30" s="255">
        <v>-1.040607823303169</v>
      </c>
      <c r="X30" s="255"/>
      <c r="Y30" s="255">
        <v>0.12400013709171825</v>
      </c>
      <c r="Z30" s="255"/>
      <c r="AA30" s="255">
        <v>23.646999999999998</v>
      </c>
      <c r="AB30" s="255">
        <v>16.324999999999999</v>
      </c>
      <c r="AC30" s="255">
        <v>15.861000000000001</v>
      </c>
      <c r="AD30" s="255">
        <v>1.644525931792419</v>
      </c>
      <c r="AE30" s="255"/>
      <c r="AF30" s="255"/>
      <c r="AG30" s="19" t="s">
        <v>169</v>
      </c>
      <c r="AH30" s="19" t="s">
        <v>71</v>
      </c>
      <c r="AI30" s="255"/>
      <c r="AJ30" s="255">
        <v>6.2666666666666657</v>
      </c>
      <c r="AK30" s="255">
        <v>8.8000000000000007</v>
      </c>
      <c r="AL30" s="255">
        <v>8.5</v>
      </c>
      <c r="AM30" s="255">
        <v>-1.4755028393006226</v>
      </c>
      <c r="AN30" s="255"/>
      <c r="AO30" s="255">
        <v>-0.215</v>
      </c>
      <c r="AP30" s="255">
        <v>-11.175000000000001</v>
      </c>
      <c r="AQ30" s="255">
        <v>-12.548999999999999</v>
      </c>
      <c r="AR30" s="255">
        <v>1.6326366896812965</v>
      </c>
      <c r="AS30" s="255"/>
      <c r="AT30" s="255">
        <v>0.37</v>
      </c>
      <c r="AU30" s="255">
        <v>0.3</v>
      </c>
      <c r="AV30" s="255">
        <v>0.19600000000000001</v>
      </c>
      <c r="AW30" s="255">
        <v>0.6816651395252894</v>
      </c>
      <c r="AX30" s="255"/>
      <c r="AY30" s="255">
        <v>-1.2255566882269264</v>
      </c>
      <c r="AZ30" s="255"/>
      <c r="BA30" s="255"/>
      <c r="BB30" s="255">
        <v>-2.1232194058777498</v>
      </c>
      <c r="BC30" s="255">
        <v>-1.6113538459607861</v>
      </c>
      <c r="BD30" s="255">
        <v>-0.79792088442595566</v>
      </c>
      <c r="BE30" s="255"/>
      <c r="BF30" s="255"/>
      <c r="BG30" s="255">
        <v>4.2079687686886045</v>
      </c>
      <c r="BH30" s="255">
        <v>4.3527080222364045</v>
      </c>
      <c r="BI30" s="255">
        <v>0.83425662072804041</v>
      </c>
      <c r="BJ30" s="255"/>
      <c r="BK30" s="255">
        <v>-1.1970440712808277</v>
      </c>
      <c r="BL30" s="255"/>
      <c r="BM30" s="255">
        <v>-2.2986006224160356</v>
      </c>
    </row>
    <row r="31" spans="1:65" x14ac:dyDescent="0.2">
      <c r="A31" s="19" t="s">
        <v>169</v>
      </c>
      <c r="C31" s="19" t="s">
        <v>47</v>
      </c>
      <c r="E31" s="255">
        <v>2.9</v>
      </c>
      <c r="F31" s="255">
        <v>1.5309999999999999</v>
      </c>
      <c r="G31" s="255">
        <v>2.6960000000000002</v>
      </c>
      <c r="H31" s="255">
        <v>-0.56701601969390381</v>
      </c>
      <c r="I31" s="255"/>
      <c r="J31" s="255">
        <v>0.85599999999999998</v>
      </c>
      <c r="K31" s="255">
        <v>8.7949999999999999</v>
      </c>
      <c r="L31" s="255">
        <v>7.5010000000000003</v>
      </c>
      <c r="M31" s="255">
        <v>-1.1367939908437199</v>
      </c>
      <c r="N31" s="255"/>
      <c r="O31" s="255">
        <v>108</v>
      </c>
      <c r="P31" s="255">
        <v>91</v>
      </c>
      <c r="Q31" s="255">
        <v>91</v>
      </c>
      <c r="R31" s="255">
        <v>0.16080283011043056</v>
      </c>
      <c r="S31" s="255"/>
      <c r="T31" s="255">
        <v>-2</v>
      </c>
      <c r="U31" s="255">
        <v>-1</v>
      </c>
      <c r="V31" s="255">
        <v>-0.5</v>
      </c>
      <c r="W31" s="255">
        <v>-0.62984157726244439</v>
      </c>
      <c r="X31" s="255"/>
      <c r="Y31" s="255">
        <v>0.31056742200559373</v>
      </c>
      <c r="Z31" s="255"/>
      <c r="AA31" s="255">
        <v>20.873999999999999</v>
      </c>
      <c r="AB31" s="255">
        <v>23.518999999999998</v>
      </c>
      <c r="AC31" s="255">
        <v>25.152000000000001</v>
      </c>
      <c r="AD31" s="255">
        <v>-0.54229107583365255</v>
      </c>
      <c r="AE31" s="255"/>
      <c r="AF31" s="255"/>
      <c r="AG31" s="19" t="s">
        <v>169</v>
      </c>
      <c r="AH31" s="19" t="s">
        <v>47</v>
      </c>
      <c r="AI31" s="255"/>
      <c r="AJ31" s="255">
        <v>3.7399999999999998</v>
      </c>
      <c r="AK31" s="255">
        <v>4.3</v>
      </c>
      <c r="AL31" s="255">
        <v>4.0999999999999996</v>
      </c>
      <c r="AM31" s="255">
        <v>-0.28790299303426775</v>
      </c>
      <c r="AN31" s="255"/>
      <c r="AO31" s="255">
        <v>0.16600000000000001</v>
      </c>
      <c r="AP31" s="255">
        <v>-1.5149999999999999</v>
      </c>
      <c r="AQ31" s="255">
        <v>-2.0550000000000002</v>
      </c>
      <c r="AR31" s="255">
        <v>-3.2825723504924999E-2</v>
      </c>
      <c r="AS31" s="255"/>
      <c r="AT31" s="255">
        <v>0.95</v>
      </c>
      <c r="AU31" s="255">
        <v>1.2250000000000001</v>
      </c>
      <c r="AV31" s="255">
        <v>1.1870000000000001</v>
      </c>
      <c r="AW31" s="255">
        <v>-1.729507329015681</v>
      </c>
      <c r="AX31" s="255"/>
      <c r="AY31" s="255">
        <v>2.6698705123896689</v>
      </c>
      <c r="AZ31" s="255"/>
      <c r="BA31" s="255"/>
      <c r="BB31" s="255">
        <v>-0.54521842216565586</v>
      </c>
      <c r="BC31" s="255">
        <v>-0.91256975110526417</v>
      </c>
      <c r="BD31" s="255">
        <v>-0.5972151345069826</v>
      </c>
      <c r="BE31" s="255"/>
      <c r="BF31" s="255"/>
      <c r="BG31" s="255">
        <v>4.0146439188648255</v>
      </c>
      <c r="BH31" s="255">
        <v>4.2120149798379583</v>
      </c>
      <c r="BI31" s="255">
        <v>0.41388907421238741</v>
      </c>
      <c r="BJ31" s="255"/>
      <c r="BK31" s="255">
        <v>-0.76609387494316072</v>
      </c>
      <c r="BL31" s="255"/>
      <c r="BM31" s="255">
        <v>2.214344059452102</v>
      </c>
    </row>
    <row r="32" spans="1:65" x14ac:dyDescent="0.2">
      <c r="A32" s="19" t="s">
        <v>169</v>
      </c>
      <c r="C32" s="19" t="s">
        <v>72</v>
      </c>
      <c r="E32" s="255">
        <v>7.1</v>
      </c>
      <c r="F32" s="255">
        <v>6.7</v>
      </c>
      <c r="G32" s="255">
        <v>7.2009999999999996</v>
      </c>
      <c r="H32" s="255">
        <v>-0.13725848352683379</v>
      </c>
      <c r="I32" s="255"/>
      <c r="J32" s="255">
        <v>2.7195</v>
      </c>
      <c r="K32" s="255">
        <v>8.468</v>
      </c>
      <c r="L32" s="255">
        <v>5</v>
      </c>
      <c r="M32" s="255">
        <v>-3.6230724611406404E-2</v>
      </c>
      <c r="N32" s="255"/>
      <c r="O32" s="255">
        <v>164.7</v>
      </c>
      <c r="P32" s="255">
        <v>141.5</v>
      </c>
      <c r="Q32" s="255">
        <v>132.1</v>
      </c>
      <c r="R32" s="255">
        <v>1.7993969584258163</v>
      </c>
      <c r="S32" s="255"/>
      <c r="T32" s="255">
        <v>-1.7</v>
      </c>
      <c r="U32" s="255">
        <v>-0.8</v>
      </c>
      <c r="V32" s="255">
        <v>-0.5</v>
      </c>
      <c r="W32" s="255">
        <v>-0.62984157726244439</v>
      </c>
      <c r="X32" s="255"/>
      <c r="Y32" s="255">
        <v>0.84405631237271672</v>
      </c>
      <c r="Z32" s="255"/>
      <c r="AA32" s="255">
        <v>17.773</v>
      </c>
      <c r="AB32" s="255">
        <v>18.353000000000002</v>
      </c>
      <c r="AC32" s="255">
        <v>20.637</v>
      </c>
      <c r="AD32" s="255">
        <v>0.52040172251224293</v>
      </c>
      <c r="AE32" s="255"/>
      <c r="AF32" s="255"/>
      <c r="AG32" s="19" t="s">
        <v>169</v>
      </c>
      <c r="AH32" s="19" t="s">
        <v>72</v>
      </c>
      <c r="AI32" s="255"/>
      <c r="AJ32" s="255">
        <v>3.65</v>
      </c>
      <c r="AK32" s="255">
        <v>5.8</v>
      </c>
      <c r="AL32" s="255">
        <v>5.6</v>
      </c>
      <c r="AM32" s="255">
        <v>-0.69276657698870692</v>
      </c>
      <c r="AN32" s="255"/>
      <c r="AO32" s="255">
        <v>0.56799999999999995</v>
      </c>
      <c r="AP32" s="255">
        <v>0.48899999999999999</v>
      </c>
      <c r="AQ32" s="255">
        <v>-1.0469999999999999</v>
      </c>
      <c r="AR32" s="255">
        <v>-0.19280152991732369</v>
      </c>
      <c r="AS32" s="255"/>
      <c r="AT32" s="255">
        <v>0.58000000000000007</v>
      </c>
      <c r="AU32" s="255">
        <v>0.6</v>
      </c>
      <c r="AV32" s="255">
        <v>0.56799999999999995</v>
      </c>
      <c r="AW32" s="255">
        <v>-0.22343693746486271</v>
      </c>
      <c r="AX32" s="255"/>
      <c r="AY32" s="255">
        <v>0.44520524513534787</v>
      </c>
      <c r="AZ32" s="255"/>
      <c r="BA32" s="255"/>
      <c r="BB32" s="255">
        <v>1.8206734828811058</v>
      </c>
      <c r="BC32" s="255">
        <v>-2.7723646438730931E-2</v>
      </c>
      <c r="BD32" s="255">
        <v>-0.343068392605684</v>
      </c>
      <c r="BE32" s="255"/>
      <c r="BF32" s="255"/>
      <c r="BG32" s="255">
        <v>4.0991704949173657</v>
      </c>
      <c r="BH32" s="255">
        <v>4.2510429885700924</v>
      </c>
      <c r="BI32" s="255">
        <v>0.53049831086288368</v>
      </c>
      <c r="BJ32" s="255"/>
      <c r="BK32" s="255">
        <v>-0.62064379739515141</v>
      </c>
      <c r="BL32" s="255"/>
      <c r="BM32" s="255">
        <v>0.66861776011291318</v>
      </c>
    </row>
    <row r="33" spans="1:65" x14ac:dyDescent="0.2">
      <c r="A33" s="19" t="s">
        <v>169</v>
      </c>
      <c r="C33" s="19" t="s">
        <v>12</v>
      </c>
      <c r="E33" s="255">
        <v>27.1</v>
      </c>
      <c r="F33" s="255">
        <v>28.126999999999999</v>
      </c>
      <c r="G33" s="255">
        <v>29.792000000000002</v>
      </c>
      <c r="H33" s="255">
        <v>2.0178253121558032</v>
      </c>
      <c r="I33" s="255"/>
      <c r="J33" s="255">
        <v>-3.2869999999999999</v>
      </c>
      <c r="K33" s="255">
        <v>-1.905</v>
      </c>
      <c r="L33" s="255">
        <v>1.7629999999999999</v>
      </c>
      <c r="M33" s="255">
        <v>1.3882088166896724</v>
      </c>
      <c r="N33" s="255"/>
      <c r="O33" s="255">
        <v>100.5</v>
      </c>
      <c r="P33" s="255">
        <v>92.9</v>
      </c>
      <c r="Q33" s="255">
        <v>91</v>
      </c>
      <c r="R33" s="255">
        <v>0.16080283011043056</v>
      </c>
      <c r="S33" s="255"/>
      <c r="T33" s="255">
        <v>-7.6</v>
      </c>
      <c r="U33" s="255">
        <v>-5.2</v>
      </c>
      <c r="V33" s="255">
        <v>-3</v>
      </c>
      <c r="W33" s="255">
        <v>0.39707403783936723</v>
      </c>
      <c r="X33" s="255"/>
      <c r="Y33" s="255">
        <v>0.93854246249925433</v>
      </c>
      <c r="Z33" s="255"/>
      <c r="AA33" s="255">
        <v>27.393000000000001</v>
      </c>
      <c r="AB33" s="255">
        <v>25.629000000000001</v>
      </c>
      <c r="AC33" s="255">
        <v>27.67</v>
      </c>
      <c r="AD33" s="255">
        <v>-1.1349512012456049</v>
      </c>
      <c r="AE33" s="255"/>
      <c r="AF33" s="255"/>
      <c r="AG33" s="19" t="s">
        <v>169</v>
      </c>
      <c r="AH33" s="19" t="s">
        <v>12</v>
      </c>
      <c r="AI33" s="255"/>
      <c r="AJ33" s="255">
        <v>0</v>
      </c>
      <c r="AK33" s="255">
        <v>-1.6</v>
      </c>
      <c r="AL33" s="255">
        <v>-1.5</v>
      </c>
      <c r="AM33" s="255">
        <v>1.2235877203956382</v>
      </c>
      <c r="AN33" s="255"/>
      <c r="AO33" s="255">
        <v>2.629</v>
      </c>
      <c r="AP33" s="255">
        <v>4.9459999999999997</v>
      </c>
      <c r="AQ33" s="255">
        <v>7.0190000000000001</v>
      </c>
      <c r="AR33" s="255">
        <v>-1.4729253935308233</v>
      </c>
      <c r="AS33" s="255"/>
      <c r="AT33" s="255">
        <v>0.47000000000000003</v>
      </c>
      <c r="AU33" s="255">
        <v>0.185</v>
      </c>
      <c r="AV33" s="255">
        <v>0.161</v>
      </c>
      <c r="AW33" s="255">
        <v>0.76682259300554578</v>
      </c>
      <c r="AX33" s="255"/>
      <c r="AY33" s="255">
        <v>-0.93151805446623781</v>
      </c>
      <c r="AZ33" s="255"/>
      <c r="BA33" s="255"/>
      <c r="BB33" s="255">
        <v>6.1903056141825816</v>
      </c>
      <c r="BC33" s="255">
        <v>5.607240055984251</v>
      </c>
      <c r="BD33" s="255">
        <v>1.2754138023773509</v>
      </c>
      <c r="BE33" s="255"/>
      <c r="BF33" s="255"/>
      <c r="BG33" s="255">
        <v>3.4761114721463038</v>
      </c>
      <c r="BH33" s="255">
        <v>3.5079475998269607</v>
      </c>
      <c r="BI33" s="255">
        <v>-1.6897478368350023</v>
      </c>
      <c r="BJ33" s="255"/>
      <c r="BK33" s="255">
        <v>2.1331195087499468</v>
      </c>
      <c r="BL33" s="255"/>
      <c r="BM33" s="255">
        <v>2.1401439167829635</v>
      </c>
    </row>
    <row r="34" spans="1:65" ht="15" x14ac:dyDescent="0.25">
      <c r="A34" s="18" t="s">
        <v>200</v>
      </c>
      <c r="B34" s="18"/>
      <c r="E34" s="255"/>
      <c r="F34" s="300">
        <v>7.4</v>
      </c>
      <c r="G34" s="301">
        <v>8.6398333333333337</v>
      </c>
      <c r="H34" s="301"/>
      <c r="I34" s="301"/>
      <c r="J34" s="301"/>
      <c r="K34" s="300">
        <v>4.5999999999999996</v>
      </c>
      <c r="L34" s="301">
        <v>4.9176666666666664</v>
      </c>
      <c r="M34" s="301"/>
      <c r="N34" s="301"/>
      <c r="O34" s="301"/>
      <c r="P34" s="300">
        <v>101.57</v>
      </c>
      <c r="Q34" s="301">
        <v>86.966666666666683</v>
      </c>
      <c r="R34" s="301"/>
      <c r="S34" s="301"/>
      <c r="T34" s="301"/>
      <c r="U34" s="300">
        <v>-2.5</v>
      </c>
      <c r="V34" s="301">
        <v>-2.0333333333333332</v>
      </c>
      <c r="W34" s="301"/>
      <c r="X34" s="301"/>
      <c r="Y34" s="301"/>
      <c r="Z34" s="301"/>
      <c r="AA34" s="301"/>
      <c r="AB34" s="300">
        <v>21.707699999999999</v>
      </c>
      <c r="AC34" s="301">
        <v>22.848000000000003</v>
      </c>
      <c r="AD34" s="301"/>
      <c r="AE34" s="301"/>
      <c r="AF34" s="301"/>
      <c r="AG34" s="18" t="s">
        <v>200</v>
      </c>
      <c r="AI34" s="301"/>
      <c r="AJ34" s="301"/>
      <c r="AK34" s="300">
        <v>2.8</v>
      </c>
      <c r="AL34" s="301">
        <v>3.0333333333333332</v>
      </c>
      <c r="AM34" s="301"/>
      <c r="AN34" s="301"/>
      <c r="AO34" s="301"/>
      <c r="AP34" s="300">
        <v>-0.8</v>
      </c>
      <c r="AQ34" s="301">
        <v>-2.2618333333333331</v>
      </c>
      <c r="AR34" s="301"/>
      <c r="AS34" s="301"/>
      <c r="AT34" s="301"/>
      <c r="AU34" s="300">
        <v>0.51529999999999998</v>
      </c>
      <c r="AV34" s="301">
        <v>0.47616666666666668</v>
      </c>
      <c r="AW34" s="301"/>
      <c r="AX34" s="255"/>
      <c r="AY34" s="255"/>
      <c r="AZ34" s="255"/>
      <c r="BA34" s="255"/>
      <c r="BB34" s="300">
        <v>1.3102079394960182</v>
      </c>
      <c r="BC34" s="301">
        <v>1.1667151591125962</v>
      </c>
      <c r="BD34" s="255"/>
      <c r="BE34" s="255"/>
      <c r="BF34" s="255"/>
      <c r="BG34" s="300">
        <v>4.0006577682151141</v>
      </c>
      <c r="BH34" s="301">
        <v>4.0734902208524337</v>
      </c>
      <c r="BI34" s="255"/>
      <c r="BJ34" s="255"/>
      <c r="BK34" s="255"/>
      <c r="BL34" s="255"/>
      <c r="BM34" s="255"/>
    </row>
    <row r="35" spans="1:65" ht="15" x14ac:dyDescent="0.25">
      <c r="A35" s="18" t="s">
        <v>163</v>
      </c>
      <c r="B35" s="18"/>
      <c r="E35" s="255"/>
      <c r="F35" s="300">
        <v>7.9997255814045127</v>
      </c>
      <c r="G35" s="301">
        <v>10.482655034229959</v>
      </c>
      <c r="H35" s="301"/>
      <c r="I35" s="301"/>
      <c r="J35" s="301"/>
      <c r="K35" s="300">
        <v>3.3643210971077733</v>
      </c>
      <c r="L35" s="301">
        <v>2.2724727207750313</v>
      </c>
      <c r="M35" s="301"/>
      <c r="N35" s="301"/>
      <c r="O35" s="301"/>
      <c r="P35" s="300">
        <v>31.189244941165246</v>
      </c>
      <c r="Q35" s="301">
        <v>25.082477283288142</v>
      </c>
      <c r="R35" s="301"/>
      <c r="S35" s="301"/>
      <c r="T35" s="301"/>
      <c r="U35" s="300">
        <v>1.6182051099220329</v>
      </c>
      <c r="V35" s="301">
        <v>2.4344746182013624</v>
      </c>
      <c r="W35" s="301"/>
      <c r="X35" s="301"/>
      <c r="Y35" s="301"/>
      <c r="Z35" s="301"/>
      <c r="AA35" s="301"/>
      <c r="AB35" s="300">
        <v>3.9775530459483859</v>
      </c>
      <c r="AC35" s="301">
        <v>4.24864081795576</v>
      </c>
      <c r="AD35" s="301"/>
      <c r="AE35" s="301"/>
      <c r="AF35" s="301"/>
      <c r="AG35" s="18" t="s">
        <v>163</v>
      </c>
      <c r="AI35" s="301"/>
      <c r="AJ35" s="301"/>
      <c r="AK35" s="300">
        <v>3.1209685106460854</v>
      </c>
      <c r="AL35" s="301">
        <v>3.704951641609735</v>
      </c>
      <c r="AM35" s="301"/>
      <c r="AN35" s="301"/>
      <c r="AO35" s="301"/>
      <c r="AP35" s="300">
        <v>4.3261433440575381</v>
      </c>
      <c r="AQ35" s="301">
        <v>6.3009527665795639</v>
      </c>
      <c r="AR35" s="301"/>
      <c r="AS35" s="301"/>
      <c r="AT35" s="301"/>
      <c r="AU35" s="300">
        <v>0.34323301123289429</v>
      </c>
      <c r="AV35" s="301">
        <v>0.41100336576075214</v>
      </c>
      <c r="AW35" s="301"/>
      <c r="AX35" s="255"/>
      <c r="AY35" s="255"/>
      <c r="AZ35" s="255"/>
      <c r="BA35" s="255"/>
      <c r="BB35" s="300">
        <v>3.3796354733236917</v>
      </c>
      <c r="BC35" s="301">
        <v>3.4816346573908699</v>
      </c>
      <c r="BD35" s="255"/>
      <c r="BE35" s="255"/>
      <c r="BF35" s="255"/>
      <c r="BG35" s="300">
        <v>0.31698584526040202</v>
      </c>
      <c r="BH35" s="301">
        <v>0.33469054298940121</v>
      </c>
      <c r="BI35" s="255"/>
      <c r="BJ35" s="255"/>
      <c r="BK35" s="255"/>
      <c r="BL35" s="255"/>
      <c r="BM35" s="255"/>
    </row>
    <row r="36" spans="1:65" x14ac:dyDescent="0.2">
      <c r="E36" s="302"/>
      <c r="F36" s="302"/>
      <c r="G36" s="302"/>
      <c r="H36" s="302"/>
      <c r="I36" s="302"/>
      <c r="J36" s="302"/>
      <c r="K36" s="302"/>
      <c r="L36" s="302"/>
      <c r="M36" s="302"/>
      <c r="N36" s="213"/>
      <c r="O36" s="302"/>
      <c r="P36" s="302"/>
      <c r="Q36" s="302"/>
      <c r="R36" s="302"/>
      <c r="S36" s="302"/>
      <c r="T36" s="302"/>
      <c r="U36" s="302"/>
      <c r="V36" s="302"/>
      <c r="W36" s="302"/>
      <c r="X36" s="213"/>
      <c r="Y36" s="213"/>
      <c r="Z36" s="213"/>
      <c r="AA36" s="302"/>
      <c r="AB36" s="302"/>
      <c r="AC36" s="302"/>
      <c r="AD36" s="302"/>
      <c r="AE36" s="213"/>
      <c r="AF36" s="213"/>
      <c r="AI36" s="213"/>
      <c r="AJ36" s="302"/>
      <c r="AK36" s="302"/>
      <c r="AL36" s="302"/>
      <c r="AM36" s="302"/>
      <c r="AN36" s="213"/>
      <c r="AO36" s="302"/>
      <c r="AP36" s="302"/>
      <c r="AQ36" s="302"/>
      <c r="AR36" s="302"/>
      <c r="AS36" s="213"/>
      <c r="AT36" s="302"/>
      <c r="AU36" s="302"/>
      <c r="AV36" s="302"/>
      <c r="AW36" s="302"/>
      <c r="AX36" s="213"/>
      <c r="AY36" s="213"/>
      <c r="AZ36" s="213"/>
      <c r="BA36" s="302"/>
      <c r="BB36" s="302"/>
      <c r="BC36" s="302"/>
      <c r="BD36" s="213"/>
      <c r="BE36" s="213"/>
      <c r="BF36" s="302"/>
      <c r="BG36" s="302"/>
      <c r="BH36" s="302"/>
      <c r="BI36" s="302"/>
      <c r="BJ36" s="213"/>
      <c r="BK36" s="213"/>
      <c r="BL36" s="213"/>
      <c r="BM36" s="255"/>
    </row>
    <row r="37" spans="1:65" x14ac:dyDescent="0.2">
      <c r="E37" s="302"/>
      <c r="F37" s="302"/>
      <c r="G37" s="302"/>
      <c r="H37" s="302"/>
      <c r="I37" s="302"/>
      <c r="J37" s="302"/>
      <c r="K37" s="302"/>
      <c r="L37" s="302"/>
      <c r="M37" s="302"/>
      <c r="N37" s="213"/>
      <c r="O37" s="302"/>
      <c r="P37" s="302"/>
      <c r="Q37" s="302"/>
      <c r="R37" s="302"/>
      <c r="S37" s="302"/>
      <c r="T37" s="302"/>
      <c r="U37" s="302"/>
      <c r="V37" s="302"/>
      <c r="W37" s="302"/>
      <c r="X37" s="213"/>
      <c r="Y37" s="213"/>
      <c r="Z37" s="213"/>
      <c r="AA37" s="302"/>
      <c r="AB37" s="302"/>
      <c r="AC37" s="302"/>
      <c r="AD37" s="302"/>
      <c r="AE37" s="213"/>
      <c r="AF37" s="213"/>
      <c r="AI37" s="213"/>
      <c r="AJ37" s="302"/>
      <c r="AK37" s="302"/>
      <c r="AL37" s="302"/>
      <c r="AM37" s="302"/>
      <c r="AN37" s="213"/>
      <c r="AO37" s="302"/>
      <c r="AP37" s="302"/>
      <c r="AQ37" s="302"/>
      <c r="AR37" s="302"/>
      <c r="AS37" s="213"/>
      <c r="AT37" s="302"/>
      <c r="AU37" s="302"/>
      <c r="AV37" s="302"/>
      <c r="AW37" s="302"/>
      <c r="AX37" s="213"/>
      <c r="AY37" s="213"/>
      <c r="AZ37" s="213"/>
      <c r="BA37" s="302"/>
      <c r="BB37" s="302"/>
      <c r="BC37" s="302"/>
      <c r="BD37" s="213"/>
      <c r="BE37" s="213"/>
      <c r="BF37" s="302"/>
      <c r="BG37" s="302"/>
      <c r="BH37" s="302"/>
      <c r="BI37" s="302"/>
      <c r="BJ37" s="213"/>
      <c r="BK37" s="213"/>
      <c r="BL37" s="213"/>
      <c r="BM37" s="255"/>
    </row>
    <row r="38" spans="1:65" x14ac:dyDescent="0.2">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row>
    <row r="39" spans="1:65" x14ac:dyDescent="0.2">
      <c r="C39" s="19" t="s">
        <v>181</v>
      </c>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H39" s="19" t="s">
        <v>181</v>
      </c>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row>
    <row r="40" spans="1:65" ht="15" x14ac:dyDescent="0.25">
      <c r="C40" s="18" t="s">
        <v>709</v>
      </c>
      <c r="D40" s="18"/>
      <c r="E40" s="303">
        <v>0.79430763400157911</v>
      </c>
      <c r="F40" s="213"/>
      <c r="G40" s="304">
        <v>0.79430763400157911</v>
      </c>
      <c r="H40" s="213"/>
      <c r="I40" s="213"/>
      <c r="J40" s="303">
        <v>-0.4344438713547758</v>
      </c>
      <c r="K40" s="213"/>
      <c r="L40" s="304">
        <v>0.43444387135477602</v>
      </c>
      <c r="M40" s="213"/>
      <c r="N40" s="213"/>
      <c r="O40" s="303">
        <v>0.40904709292582375</v>
      </c>
      <c r="P40" s="213"/>
      <c r="Q40" s="304">
        <v>0.40904709292582375</v>
      </c>
      <c r="R40" s="213"/>
      <c r="S40" s="213"/>
      <c r="T40" s="303">
        <v>-0.31960967616442937</v>
      </c>
      <c r="U40" s="213"/>
      <c r="V40" s="304">
        <v>0.31960967616442898</v>
      </c>
      <c r="W40" s="213"/>
      <c r="X40" s="213"/>
      <c r="Y40" s="213"/>
      <c r="Z40" s="213"/>
      <c r="AA40" s="303">
        <v>-0.1505226403959298</v>
      </c>
      <c r="AB40" s="213"/>
      <c r="AC40" s="304">
        <v>0.15052264039593</v>
      </c>
      <c r="AD40" s="213"/>
      <c r="AE40" s="213"/>
      <c r="AF40" s="213"/>
      <c r="AH40" s="18" t="s">
        <v>709</v>
      </c>
      <c r="AI40" s="213"/>
      <c r="AJ40" s="303">
        <v>-0.23087278260713512</v>
      </c>
      <c r="AK40" s="213"/>
      <c r="AL40" s="304">
        <v>0.23087278260713501</v>
      </c>
      <c r="AM40" s="213"/>
      <c r="AN40" s="213"/>
      <c r="AO40" s="303">
        <v>-0.20049638710730583</v>
      </c>
      <c r="AP40" s="213"/>
      <c r="AQ40" s="304">
        <v>0.200496387107306</v>
      </c>
      <c r="AR40" s="213"/>
      <c r="AS40" s="213"/>
      <c r="AT40" s="303">
        <v>-1.4542829518588116</v>
      </c>
      <c r="AU40" s="213"/>
      <c r="AV40" s="304">
        <v>1.4542829518588101</v>
      </c>
      <c r="AW40" s="213"/>
      <c r="AX40" s="213"/>
      <c r="AY40" s="213"/>
      <c r="AZ40" s="213"/>
      <c r="BA40" s="303">
        <v>0.85531297104004989</v>
      </c>
      <c r="BB40" s="213"/>
      <c r="BC40" s="304">
        <v>0.85531297104004989</v>
      </c>
      <c r="BD40" s="213"/>
      <c r="BE40" s="213"/>
      <c r="BF40" s="303">
        <v>-0.6168030030358066</v>
      </c>
      <c r="BG40" s="213"/>
      <c r="BH40" s="304">
        <v>0.61680300303580704</v>
      </c>
      <c r="BI40" s="213"/>
      <c r="BJ40" s="213"/>
      <c r="BK40" s="213"/>
      <c r="BL40" s="213"/>
      <c r="BM40" s="255">
        <v>3.3377668639490744E-3</v>
      </c>
    </row>
    <row r="41" spans="1:65" ht="15" x14ac:dyDescent="0.25">
      <c r="C41" s="18" t="s">
        <v>315</v>
      </c>
      <c r="D41" s="18"/>
      <c r="E41" s="303">
        <v>7.0035178147864668E-2</v>
      </c>
      <c r="F41" s="213"/>
      <c r="G41" s="304">
        <v>7.0035178147864668E-2</v>
      </c>
      <c r="H41" s="213"/>
      <c r="I41" s="213"/>
      <c r="J41" s="303">
        <v>0.16365362199693603</v>
      </c>
      <c r="K41" s="213"/>
      <c r="L41" s="304">
        <v>0.16365362199693603</v>
      </c>
      <c r="M41" s="213"/>
      <c r="N41" s="213"/>
      <c r="O41" s="303">
        <v>-4.0509460033485156E-2</v>
      </c>
      <c r="P41" s="213"/>
      <c r="Q41" s="304">
        <v>-4.0509460033485156E-2</v>
      </c>
      <c r="R41" s="213"/>
      <c r="S41" s="213"/>
      <c r="T41" s="303">
        <v>-7.07699732186923E-2</v>
      </c>
      <c r="U41" s="213"/>
      <c r="V41" s="304">
        <v>-7.07699732186923E-2</v>
      </c>
      <c r="W41" s="213"/>
      <c r="X41" s="213"/>
      <c r="Y41" s="213"/>
      <c r="Z41" s="213"/>
      <c r="AA41" s="303">
        <v>0.21117555451099407</v>
      </c>
      <c r="AB41" s="213"/>
      <c r="AC41" s="304">
        <v>0.21117555451099407</v>
      </c>
      <c r="AD41" s="213"/>
      <c r="AE41" s="213"/>
      <c r="AF41" s="213"/>
      <c r="AH41" s="18" t="s">
        <v>315</v>
      </c>
      <c r="AI41" s="213"/>
      <c r="AJ41" s="303">
        <v>0.15922802053366852</v>
      </c>
      <c r="AK41" s="213"/>
      <c r="AL41" s="304">
        <v>0.15922802053366852</v>
      </c>
      <c r="AM41" s="213"/>
      <c r="AN41" s="213"/>
      <c r="AO41" s="303">
        <v>5.8302855713347437E-2</v>
      </c>
      <c r="AP41" s="213"/>
      <c r="AQ41" s="304">
        <v>5.8302855713347437E-2</v>
      </c>
      <c r="AR41" s="213"/>
      <c r="AS41" s="213"/>
      <c r="AT41" s="303">
        <v>-0.10727143539580408</v>
      </c>
      <c r="AU41" s="213"/>
      <c r="AV41" s="304">
        <v>-0.10727143539580408</v>
      </c>
      <c r="AW41" s="213"/>
      <c r="AX41" s="213"/>
      <c r="AY41" s="213"/>
      <c r="AZ41" s="213"/>
      <c r="BA41" s="303">
        <v>0.2922465237980616</v>
      </c>
      <c r="BB41" s="213"/>
      <c r="BC41" s="304">
        <v>0.2922465237980616</v>
      </c>
      <c r="BD41" s="213"/>
      <c r="BE41" s="213"/>
      <c r="BF41" s="303">
        <v>0.19816276049694945</v>
      </c>
      <c r="BG41" s="213"/>
      <c r="BH41" s="304">
        <v>0.19816276049694945</v>
      </c>
      <c r="BI41" s="213"/>
      <c r="BJ41" s="213"/>
      <c r="BK41" s="213"/>
      <c r="BL41" s="213"/>
      <c r="BM41" s="255">
        <v>2.0961627233856341</v>
      </c>
    </row>
  </sheetData>
  <phoneticPr fontId="3" type="noConversion"/>
  <pageMargins left="0.36" right="0.44" top="1" bottom="1" header="0.5" footer="0.5"/>
  <pageSetup paperSize="5" scale="61" fitToWidth="2" orientation="landscape" r:id="rId1"/>
  <headerFooter alignWithMargins="0">
    <oddHeader>&amp;C&amp;11Relative Sovereign Model Indicators by Region</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2" tint="-0.249977111117893"/>
    <pageSetUpPr fitToPage="1"/>
  </sheetPr>
  <dimension ref="A1:BM45"/>
  <sheetViews>
    <sheetView workbookViewId="0">
      <pane xSplit="2" ySplit="2" topLeftCell="C3" activePane="bottomRight" state="frozen"/>
      <selection pane="topRight" activeCell="B1" sqref="B1"/>
      <selection pane="bottomLeft" activeCell="A3" sqref="A3"/>
      <selection pane="bottomRight"/>
    </sheetView>
  </sheetViews>
  <sheetFormatPr defaultRowHeight="14.25" x14ac:dyDescent="0.2"/>
  <cols>
    <col min="1" max="1" width="9.140625" style="19" customWidth="1"/>
    <col min="2" max="2" width="11.85546875" style="19" customWidth="1"/>
    <col min="3" max="3" width="4.42578125" style="19" customWidth="1"/>
    <col min="4" max="6" width="9.140625" style="19"/>
    <col min="7" max="7" width="12.28515625" style="19" customWidth="1"/>
    <col min="8" max="8" width="3.7109375" style="19" customWidth="1"/>
    <col min="9" max="11" width="9.140625" style="19"/>
    <col min="12" max="12" width="13.85546875" style="19" customWidth="1"/>
    <col min="13" max="13" width="5.7109375" style="19" bestFit="1" customWidth="1"/>
    <col min="14" max="16" width="9.5703125" style="19" customWidth="1"/>
    <col min="17" max="17" width="13" style="19" customWidth="1"/>
    <col min="18" max="18" width="3.7109375" style="19" customWidth="1"/>
    <col min="19" max="21" width="9.140625" style="19"/>
    <col min="22" max="22" width="12.7109375" style="19" customWidth="1"/>
    <col min="23" max="23" width="5.7109375" style="19" bestFit="1" customWidth="1"/>
    <col min="24" max="24" width="10.42578125" style="19" customWidth="1"/>
    <col min="25" max="25" width="5.42578125" style="19" customWidth="1"/>
    <col min="26" max="28" width="9.140625" style="19"/>
    <col min="29" max="29" width="12.7109375" style="19" customWidth="1"/>
    <col min="30" max="30" width="4.28515625" style="19" customWidth="1"/>
    <col min="31" max="31" width="13" style="19" customWidth="1"/>
    <col min="32" max="32" width="13" style="19" hidden="1" customWidth="1"/>
    <col min="33" max="34" width="11.42578125" style="19" customWidth="1"/>
    <col min="35" max="35" width="3.7109375" style="19" customWidth="1"/>
    <col min="36" max="38" width="9.140625" style="19"/>
    <col min="39" max="39" width="12.85546875" style="19" customWidth="1"/>
    <col min="40" max="40" width="3.85546875" style="19" customWidth="1"/>
    <col min="41" max="43" width="9.140625" style="19"/>
    <col min="44" max="44" width="12.5703125" style="19" customWidth="1"/>
    <col min="45" max="45" width="3.7109375" style="19" customWidth="1"/>
    <col min="46" max="46" width="10.7109375" style="19" customWidth="1"/>
    <col min="47" max="48" width="9.140625" style="19"/>
    <col min="49" max="49" width="12.5703125" style="19" customWidth="1"/>
    <col min="50" max="50" width="3.5703125" style="19" customWidth="1"/>
    <col min="51" max="51" width="10.28515625" style="19" customWidth="1"/>
    <col min="52" max="52" width="6.85546875" style="19" customWidth="1"/>
    <col min="53" max="53" width="6.140625" style="19" hidden="1" customWidth="1"/>
    <col min="54" max="55" width="9.140625" style="19"/>
    <col min="56" max="56" width="12.5703125" style="19" customWidth="1"/>
    <col min="57" max="57" width="3.7109375" style="19" customWidth="1"/>
    <col min="58" max="58" width="8.5703125" style="19" hidden="1" customWidth="1"/>
    <col min="59" max="60" width="9.140625" style="19"/>
    <col min="61" max="61" width="12.28515625" style="19" customWidth="1"/>
    <col min="62" max="62" width="6.7109375" style="19" customWidth="1"/>
    <col min="63" max="63" width="9.140625" style="19"/>
    <col min="64" max="64" width="6.7109375" style="19" customWidth="1"/>
    <col min="65" max="16384" width="9.140625" style="19"/>
  </cols>
  <sheetData>
    <row r="1" spans="1:65" ht="45" x14ac:dyDescent="0.2">
      <c r="A1" s="326" t="s">
        <v>441</v>
      </c>
      <c r="B1" s="326" t="s">
        <v>210</v>
      </c>
      <c r="C1" s="310"/>
      <c r="D1" s="297" t="s">
        <v>164</v>
      </c>
      <c r="E1" s="297"/>
      <c r="F1" s="297"/>
      <c r="G1" s="297"/>
      <c r="H1" s="297"/>
      <c r="I1" s="297" t="s">
        <v>182</v>
      </c>
      <c r="J1" s="297"/>
      <c r="K1" s="297"/>
      <c r="L1" s="297"/>
      <c r="N1" s="297" t="s">
        <v>189</v>
      </c>
      <c r="O1" s="297"/>
      <c r="P1" s="297"/>
      <c r="Q1" s="297"/>
      <c r="R1" s="297"/>
      <c r="S1" s="297" t="s">
        <v>183</v>
      </c>
      <c r="T1" s="297"/>
      <c r="U1" s="297"/>
      <c r="V1" s="297"/>
      <c r="X1" s="298" t="s">
        <v>198</v>
      </c>
      <c r="Z1" s="297" t="s">
        <v>184</v>
      </c>
      <c r="AA1" s="297"/>
      <c r="AB1" s="297"/>
      <c r="AC1" s="297"/>
      <c r="AG1" s="326" t="s">
        <v>441</v>
      </c>
      <c r="AH1" s="326" t="s">
        <v>210</v>
      </c>
      <c r="AJ1" s="297" t="s">
        <v>185</v>
      </c>
      <c r="AK1" s="297"/>
      <c r="AL1" s="297"/>
      <c r="AM1" s="297"/>
      <c r="AO1" s="297" t="s">
        <v>186</v>
      </c>
      <c r="AP1" s="297"/>
      <c r="AQ1" s="297"/>
      <c r="AR1" s="297"/>
      <c r="AT1" s="297" t="s">
        <v>187</v>
      </c>
      <c r="AU1" s="297"/>
      <c r="AV1" s="297"/>
      <c r="AW1" s="297"/>
      <c r="AY1" s="298" t="s">
        <v>199</v>
      </c>
      <c r="BA1" s="297" t="s">
        <v>188</v>
      </c>
      <c r="BB1" s="297" t="s">
        <v>188</v>
      </c>
      <c r="BC1" s="297"/>
      <c r="BD1" s="297"/>
      <c r="BF1" s="297" t="s">
        <v>190</v>
      </c>
      <c r="BG1" s="297" t="s">
        <v>190</v>
      </c>
      <c r="BH1" s="297"/>
      <c r="BI1" s="297"/>
      <c r="BK1" s="298" t="s">
        <v>201</v>
      </c>
      <c r="BM1" s="298" t="s">
        <v>76</v>
      </c>
    </row>
    <row r="2" spans="1:65" ht="30" x14ac:dyDescent="0.2">
      <c r="D2" s="297">
        <v>2009</v>
      </c>
      <c r="E2" s="297">
        <v>2010</v>
      </c>
      <c r="F2" s="297">
        <v>2011</v>
      </c>
      <c r="G2" s="297" t="s">
        <v>711</v>
      </c>
      <c r="H2" s="297"/>
      <c r="I2" s="297">
        <v>2009</v>
      </c>
      <c r="J2" s="297">
        <v>2010</v>
      </c>
      <c r="K2" s="297">
        <v>2011</v>
      </c>
      <c r="L2" s="297" t="s">
        <v>711</v>
      </c>
      <c r="N2" s="297">
        <v>2009</v>
      </c>
      <c r="O2" s="297">
        <v>2010</v>
      </c>
      <c r="P2" s="297">
        <v>2011</v>
      </c>
      <c r="Q2" s="297" t="s">
        <v>711</v>
      </c>
      <c r="R2" s="297"/>
      <c r="S2" s="297">
        <v>2009</v>
      </c>
      <c r="T2" s="297">
        <v>2010</v>
      </c>
      <c r="U2" s="297">
        <v>2011</v>
      </c>
      <c r="V2" s="297" t="s">
        <v>711</v>
      </c>
      <c r="Z2" s="297">
        <v>2009</v>
      </c>
      <c r="AA2" s="297">
        <v>2010</v>
      </c>
      <c r="AB2" s="297">
        <v>2011</v>
      </c>
      <c r="AC2" s="297" t="s">
        <v>711</v>
      </c>
      <c r="AJ2" s="297">
        <v>2009</v>
      </c>
      <c r="AK2" s="297">
        <v>2010</v>
      </c>
      <c r="AL2" s="297">
        <v>2011</v>
      </c>
      <c r="AM2" s="297" t="s">
        <v>711</v>
      </c>
      <c r="AO2" s="297">
        <v>2009</v>
      </c>
      <c r="AP2" s="297">
        <v>2010</v>
      </c>
      <c r="AQ2" s="297">
        <v>2011</v>
      </c>
      <c r="AR2" s="297" t="s">
        <v>711</v>
      </c>
      <c r="AT2" s="297">
        <v>2009</v>
      </c>
      <c r="AU2" s="297">
        <v>2010</v>
      </c>
      <c r="AV2" s="297">
        <v>2011</v>
      </c>
      <c r="AW2" s="297" t="s">
        <v>711</v>
      </c>
      <c r="BA2" s="297">
        <v>2009</v>
      </c>
      <c r="BB2" s="297">
        <v>2010</v>
      </c>
      <c r="BC2" s="297">
        <v>2011</v>
      </c>
      <c r="BD2" s="297" t="s">
        <v>711</v>
      </c>
      <c r="BF2" s="297">
        <v>2009</v>
      </c>
      <c r="BG2" s="297">
        <v>2010</v>
      </c>
      <c r="BH2" s="297">
        <v>2011</v>
      </c>
      <c r="BI2" s="297" t="s">
        <v>711</v>
      </c>
      <c r="BM2" s="299"/>
    </row>
    <row r="3" spans="1:65" x14ac:dyDescent="0.2">
      <c r="A3" s="19" t="s">
        <v>204</v>
      </c>
      <c r="B3" s="19" t="s">
        <v>0</v>
      </c>
      <c r="D3" s="255">
        <v>-0.7</v>
      </c>
      <c r="E3" s="255">
        <v>3.3260000000000001</v>
      </c>
      <c r="F3" s="255">
        <v>4.9850000000000003</v>
      </c>
      <c r="G3" s="255">
        <v>1.2336539712103594</v>
      </c>
      <c r="H3" s="255"/>
      <c r="I3" s="255">
        <v>9.15</v>
      </c>
      <c r="J3" s="255">
        <v>10.3</v>
      </c>
      <c r="K3" s="255">
        <v>9.593</v>
      </c>
      <c r="L3" s="255">
        <v>-1.3954951430774605</v>
      </c>
      <c r="M3" s="255"/>
      <c r="N3" s="255">
        <v>27.6</v>
      </c>
      <c r="O3" s="255">
        <v>23.6</v>
      </c>
      <c r="P3" s="255">
        <v>21.4</v>
      </c>
      <c r="Q3" s="255">
        <v>-0.93182981371955187</v>
      </c>
      <c r="R3" s="255"/>
      <c r="S3" s="255">
        <v>-2.2999999999999998</v>
      </c>
      <c r="T3" s="255">
        <v>-2.7</v>
      </c>
      <c r="U3" s="255">
        <v>-1.8</v>
      </c>
      <c r="V3" s="255">
        <v>-0.64545203572110676</v>
      </c>
      <c r="W3" s="255"/>
      <c r="X3" s="255">
        <v>1.4112955191770118</v>
      </c>
      <c r="Y3" s="255"/>
      <c r="Z3" s="255">
        <v>54.198</v>
      </c>
      <c r="AA3" s="255">
        <v>53.982999999999997</v>
      </c>
      <c r="AB3" s="255">
        <v>54.277999999999999</v>
      </c>
      <c r="AC3" s="255">
        <v>-1.3470930746421019</v>
      </c>
      <c r="AD3" s="255"/>
      <c r="AG3" s="19" t="s">
        <v>204</v>
      </c>
      <c r="AH3" s="19" t="s">
        <v>0</v>
      </c>
      <c r="AI3" s="255"/>
      <c r="AJ3" s="255">
        <v>1.34</v>
      </c>
      <c r="AK3" s="255">
        <v>2.1</v>
      </c>
      <c r="AL3" s="255">
        <v>2</v>
      </c>
      <c r="AM3" s="255">
        <v>-0.47985897233026481</v>
      </c>
      <c r="AN3" s="255"/>
      <c r="AO3" s="255">
        <v>5.9539999999999997</v>
      </c>
      <c r="AP3" s="255">
        <v>5.2089999999999996</v>
      </c>
      <c r="AQ3" s="255">
        <v>5.7130000000000001</v>
      </c>
      <c r="AR3" s="255">
        <v>-0.34538343326598342</v>
      </c>
      <c r="AS3" s="255"/>
      <c r="AT3" s="255">
        <v>6.29</v>
      </c>
      <c r="AU3" s="255">
        <v>6.31</v>
      </c>
      <c r="AV3" s="255">
        <v>5.899</v>
      </c>
      <c r="AW3" s="255">
        <v>-1.457621873886064</v>
      </c>
      <c r="AX3" s="255"/>
      <c r="AY3" s="255">
        <v>2.5025971546406338</v>
      </c>
      <c r="AZ3" s="255"/>
      <c r="BA3" s="255"/>
      <c r="BB3" s="255">
        <v>-1.0053314744724395</v>
      </c>
      <c r="BC3" s="255">
        <v>-0.46493242973913307</v>
      </c>
      <c r="BD3" s="255">
        <v>1.1145940812002715</v>
      </c>
      <c r="BE3" s="255"/>
      <c r="BF3" s="255"/>
      <c r="BG3" s="255">
        <v>4.7365377740348542</v>
      </c>
      <c r="BH3" s="255">
        <v>4.8977891043925155</v>
      </c>
      <c r="BI3" s="255">
        <v>0.41625972396812927</v>
      </c>
      <c r="BJ3" s="255"/>
      <c r="BK3" s="255">
        <v>0.69657652730866082</v>
      </c>
      <c r="BL3" s="255"/>
      <c r="BM3" s="255">
        <v>4.6104692011263069</v>
      </c>
    </row>
    <row r="4" spans="1:65" ht="15" hidden="1" x14ac:dyDescent="0.2">
      <c r="D4" s="297"/>
      <c r="E4" s="297"/>
      <c r="F4" s="297"/>
      <c r="G4" s="297"/>
      <c r="H4" s="297"/>
      <c r="I4" s="297"/>
      <c r="J4" s="297"/>
      <c r="K4" s="297"/>
      <c r="L4" s="297"/>
      <c r="M4" s="213"/>
      <c r="N4" s="297"/>
      <c r="O4" s="297"/>
      <c r="P4" s="297"/>
      <c r="Q4" s="297"/>
      <c r="R4" s="297"/>
      <c r="S4" s="297"/>
      <c r="T4" s="297"/>
      <c r="U4" s="297"/>
      <c r="V4" s="297"/>
      <c r="W4" s="213"/>
      <c r="X4" s="213"/>
      <c r="Y4" s="213"/>
      <c r="Z4" s="297"/>
      <c r="AA4" s="297"/>
      <c r="AB4" s="297"/>
      <c r="AC4" s="297"/>
      <c r="AD4" s="213"/>
      <c r="AI4" s="213"/>
      <c r="AJ4" s="297"/>
      <c r="AK4" s="297"/>
      <c r="AL4" s="297"/>
      <c r="AM4" s="297"/>
      <c r="AN4" s="213"/>
      <c r="AO4" s="297"/>
      <c r="AP4" s="297"/>
      <c r="AQ4" s="297"/>
      <c r="AR4" s="297"/>
      <c r="AS4" s="213"/>
      <c r="AT4" s="297"/>
      <c r="AU4" s="297"/>
      <c r="AV4" s="297"/>
      <c r="AW4" s="297"/>
      <c r="AX4" s="213"/>
      <c r="AY4" s="213"/>
      <c r="AZ4" s="213"/>
      <c r="BA4" s="297"/>
      <c r="BB4" s="297"/>
      <c r="BC4" s="297"/>
      <c r="BD4" s="297"/>
      <c r="BE4" s="213"/>
      <c r="BF4" s="297"/>
      <c r="BG4" s="297"/>
      <c r="BH4" s="297"/>
      <c r="BI4" s="297"/>
      <c r="BJ4" s="213"/>
      <c r="BK4" s="213"/>
      <c r="BL4" s="213"/>
      <c r="BM4" s="299"/>
    </row>
    <row r="5" spans="1:65" x14ac:dyDescent="0.2">
      <c r="A5" s="19" t="s">
        <v>204</v>
      </c>
      <c r="B5" s="19" t="s">
        <v>36</v>
      </c>
      <c r="D5" s="255">
        <v>1.7</v>
      </c>
      <c r="E5" s="255">
        <v>1.516</v>
      </c>
      <c r="F5" s="255">
        <v>3.605</v>
      </c>
      <c r="G5" s="255">
        <v>-0.28063776129601947</v>
      </c>
      <c r="H5" s="255"/>
      <c r="I5" s="255">
        <v>-1.6095000000000002</v>
      </c>
      <c r="J5" s="255">
        <v>5.26</v>
      </c>
      <c r="K5" s="255">
        <v>5.8860000000000001</v>
      </c>
      <c r="L5" s="255">
        <v>0.13049320364470618</v>
      </c>
      <c r="M5" s="255"/>
      <c r="N5" s="255">
        <v>82</v>
      </c>
      <c r="O5" s="255">
        <v>81.400000000000006</v>
      </c>
      <c r="P5" s="255">
        <v>76.5</v>
      </c>
      <c r="Q5" s="255">
        <v>0.41932341617379809</v>
      </c>
      <c r="R5" s="255"/>
      <c r="S5" s="255">
        <v>-4.5999999999999996</v>
      </c>
      <c r="T5" s="255">
        <v>-1.5</v>
      </c>
      <c r="U5" s="255">
        <v>-0.8</v>
      </c>
      <c r="V5" s="255">
        <v>-1.0196271288927627</v>
      </c>
      <c r="W5" s="255"/>
      <c r="X5" s="255">
        <v>0.21780103209206578</v>
      </c>
      <c r="Y5" s="255"/>
      <c r="Z5" s="255">
        <v>25.132000000000001</v>
      </c>
      <c r="AA5" s="255">
        <v>28.164000000000001</v>
      </c>
      <c r="AB5" s="255">
        <v>28.489000000000001</v>
      </c>
      <c r="AC5" s="255">
        <v>0.30203801738857167</v>
      </c>
      <c r="AD5" s="255"/>
      <c r="AG5" s="19" t="s">
        <v>204</v>
      </c>
      <c r="AH5" s="19" t="s">
        <v>36</v>
      </c>
      <c r="AI5" s="255"/>
      <c r="AJ5" s="255">
        <v>3.2399999999999998</v>
      </c>
      <c r="AK5" s="255">
        <v>3.1</v>
      </c>
      <c r="AL5" s="255">
        <v>3.2</v>
      </c>
      <c r="AM5" s="255">
        <v>-1.1023787202181758</v>
      </c>
      <c r="AN5" s="255"/>
      <c r="AO5" s="255">
        <v>1.595</v>
      </c>
      <c r="AP5" s="255">
        <v>1.87</v>
      </c>
      <c r="AQ5" s="255">
        <v>0.52800000000000002</v>
      </c>
      <c r="AR5" s="255">
        <v>0.43945850887672444</v>
      </c>
      <c r="AS5" s="255"/>
      <c r="AT5" s="255">
        <v>0.39</v>
      </c>
      <c r="AU5" s="255">
        <v>0.32600000000000001</v>
      </c>
      <c r="AV5" s="255">
        <v>0.438</v>
      </c>
      <c r="AW5" s="255">
        <v>0.62753151269986784</v>
      </c>
      <c r="AX5" s="255"/>
      <c r="AY5" s="255">
        <v>-0.79167254124055308</v>
      </c>
      <c r="AZ5" s="255"/>
      <c r="BA5" s="255"/>
      <c r="BB5" s="255">
        <v>-2.4467841488030686</v>
      </c>
      <c r="BC5" s="255">
        <v>-2.0539420449374255</v>
      </c>
      <c r="BD5" s="255">
        <v>-1.2672775710860675</v>
      </c>
      <c r="BE5" s="255"/>
      <c r="BF5" s="255"/>
      <c r="BG5" s="255">
        <v>4.6959829166907854</v>
      </c>
      <c r="BH5" s="255">
        <v>4.7031548884579779</v>
      </c>
      <c r="BI5" s="255">
        <v>-0.31344714226939252</v>
      </c>
      <c r="BJ5" s="255"/>
      <c r="BK5" s="255">
        <v>-0.89058380581328933</v>
      </c>
      <c r="BL5" s="255"/>
      <c r="BM5" s="255">
        <v>-1.4644553149617767</v>
      </c>
    </row>
    <row r="6" spans="1:65" x14ac:dyDescent="0.2">
      <c r="A6" s="19" t="s">
        <v>204</v>
      </c>
      <c r="B6" s="19" t="s">
        <v>3</v>
      </c>
      <c r="D6" s="255">
        <v>0.6</v>
      </c>
      <c r="E6" s="255">
        <v>1.7</v>
      </c>
      <c r="F6" s="255">
        <v>2.8</v>
      </c>
      <c r="G6" s="255">
        <v>-1.1639746052580737</v>
      </c>
      <c r="H6" s="255"/>
      <c r="I6" s="255">
        <v>-1.714</v>
      </c>
      <c r="J6" s="255">
        <v>7.1559999999999997</v>
      </c>
      <c r="K6" s="255">
        <v>5.5</v>
      </c>
      <c r="L6" s="255">
        <v>0.28939029073258221</v>
      </c>
      <c r="M6" s="255"/>
      <c r="N6" s="255">
        <v>34.5</v>
      </c>
      <c r="O6" s="255">
        <v>34.4</v>
      </c>
      <c r="P6" s="255">
        <v>30.9</v>
      </c>
      <c r="Q6" s="255">
        <v>-0.69887236028966393</v>
      </c>
      <c r="R6" s="255"/>
      <c r="S6" s="255">
        <v>-7</v>
      </c>
      <c r="T6" s="255">
        <v>-5.4</v>
      </c>
      <c r="U6" s="255">
        <v>-5</v>
      </c>
      <c r="V6" s="255">
        <v>0.5519082624281928</v>
      </c>
      <c r="W6" s="255"/>
      <c r="X6" s="255">
        <v>-1.5125446813086532</v>
      </c>
      <c r="Y6" s="255"/>
      <c r="Z6" s="255">
        <v>30.986000000000001</v>
      </c>
      <c r="AA6" s="255">
        <v>33.113</v>
      </c>
      <c r="AB6" s="255">
        <v>33.226999999999997</v>
      </c>
      <c r="AC6" s="255">
        <v>-9.4321934186868074E-4</v>
      </c>
      <c r="AD6" s="255"/>
      <c r="AG6" s="19" t="s">
        <v>204</v>
      </c>
      <c r="AH6" s="19" t="s">
        <v>3</v>
      </c>
      <c r="AI6" s="255"/>
      <c r="AJ6" s="255">
        <v>-1.86</v>
      </c>
      <c r="AK6" s="255">
        <v>-0.8</v>
      </c>
      <c r="AL6" s="255">
        <v>-1.2</v>
      </c>
      <c r="AM6" s="255">
        <v>1.1801936887041646</v>
      </c>
      <c r="AN6" s="255"/>
      <c r="AO6" s="255">
        <v>16.498999999999999</v>
      </c>
      <c r="AP6" s="255">
        <v>11.817</v>
      </c>
      <c r="AQ6" s="255">
        <v>11.394</v>
      </c>
      <c r="AR6" s="255">
        <v>-1.2053037945606262</v>
      </c>
      <c r="AS6" s="255"/>
      <c r="AT6" s="255">
        <v>1.5349999999999999</v>
      </c>
      <c r="AU6" s="255">
        <v>1.4359999999999999</v>
      </c>
      <c r="AV6" s="255">
        <v>1.68</v>
      </c>
      <c r="AW6" s="255">
        <v>0.15330325667721134</v>
      </c>
      <c r="AX6" s="255"/>
      <c r="AY6" s="255">
        <v>-0.25361988153467097</v>
      </c>
      <c r="AZ6" s="255"/>
      <c r="BA6" s="255"/>
      <c r="BB6" s="255">
        <v>-1.4920444747711423</v>
      </c>
      <c r="BC6" s="255">
        <v>-0.98105313308093411</v>
      </c>
      <c r="BD6" s="255">
        <v>0.34094660878109762</v>
      </c>
      <c r="BE6" s="255"/>
      <c r="BF6" s="255"/>
      <c r="BG6" s="255">
        <v>4.8736989738665084</v>
      </c>
      <c r="BH6" s="255">
        <v>5.0842885833453426</v>
      </c>
      <c r="BI6" s="255">
        <v>1.1154684920059652</v>
      </c>
      <c r="BJ6" s="255"/>
      <c r="BK6" s="255">
        <v>-0.39640825873851182</v>
      </c>
      <c r="BL6" s="255"/>
      <c r="BM6" s="255">
        <v>-2.1625728215818363</v>
      </c>
    </row>
    <row r="7" spans="1:65" x14ac:dyDescent="0.2">
      <c r="A7" s="19" t="s">
        <v>204</v>
      </c>
      <c r="B7" s="19" t="s">
        <v>48</v>
      </c>
      <c r="D7" s="255">
        <v>3.5</v>
      </c>
      <c r="E7" s="255">
        <v>2.581</v>
      </c>
      <c r="F7" s="255">
        <v>4.0529999999999999</v>
      </c>
      <c r="G7" s="255">
        <v>0.21095839534373234</v>
      </c>
      <c r="H7" s="255"/>
      <c r="I7" s="255">
        <v>1.6764999999999999</v>
      </c>
      <c r="J7" s="255">
        <v>3.8170000000000002</v>
      </c>
      <c r="K7" s="255">
        <v>3.8330000000000002</v>
      </c>
      <c r="L7" s="255">
        <v>0.97561164870017103</v>
      </c>
      <c r="M7" s="255"/>
      <c r="N7" s="255">
        <v>164.3</v>
      </c>
      <c r="O7" s="255">
        <v>115.8</v>
      </c>
      <c r="P7" s="255">
        <v>108.8</v>
      </c>
      <c r="Q7" s="255">
        <v>1.2113787578354169</v>
      </c>
      <c r="R7" s="255"/>
      <c r="S7" s="255">
        <v>-7.2</v>
      </c>
      <c r="T7" s="255">
        <v>-7.5</v>
      </c>
      <c r="U7" s="255">
        <v>-6.5</v>
      </c>
      <c r="V7" s="255">
        <v>1.1131709021856768</v>
      </c>
      <c r="W7" s="255"/>
      <c r="X7" s="255">
        <v>-0.11655186996042516</v>
      </c>
      <c r="Y7" s="255"/>
      <c r="Z7" s="255">
        <v>18.173999999999999</v>
      </c>
      <c r="AA7" s="255">
        <v>17.251000000000001</v>
      </c>
      <c r="AB7" s="255">
        <v>16.855</v>
      </c>
      <c r="AC7" s="255">
        <v>1.0459982765953986</v>
      </c>
      <c r="AD7" s="255"/>
      <c r="AG7" s="19" t="s">
        <v>204</v>
      </c>
      <c r="AH7" s="19" t="s">
        <v>48</v>
      </c>
      <c r="AI7" s="255"/>
      <c r="AJ7" s="255">
        <v>1.8199999999999998</v>
      </c>
      <c r="AK7" s="255">
        <v>1.1000000000000001</v>
      </c>
      <c r="AL7" s="255">
        <v>0.3</v>
      </c>
      <c r="AM7" s="255">
        <v>0.40204400384427585</v>
      </c>
      <c r="AN7" s="255"/>
      <c r="AO7" s="255">
        <v>-2.2290000000000001</v>
      </c>
      <c r="AP7" s="255">
        <v>-3.2869999999999999</v>
      </c>
      <c r="AQ7" s="255">
        <v>-3.91</v>
      </c>
      <c r="AR7" s="255">
        <v>1.1112287189498851</v>
      </c>
      <c r="AS7" s="255"/>
      <c r="AT7" s="255">
        <v>0.27</v>
      </c>
      <c r="AU7" s="255">
        <v>0.28299999999999997</v>
      </c>
      <c r="AV7" s="255">
        <v>0.309</v>
      </c>
      <c r="AW7" s="255">
        <v>0.67678710450898438</v>
      </c>
      <c r="AX7" s="255"/>
      <c r="AY7" s="255">
        <v>-1.4573047318654087</v>
      </c>
      <c r="AZ7" s="255"/>
      <c r="BA7" s="255"/>
      <c r="BB7" s="255">
        <v>-1.8027322475100322</v>
      </c>
      <c r="BC7" s="255">
        <v>-1.3341029478881583</v>
      </c>
      <c r="BD7" s="255">
        <v>-0.18826311889530215</v>
      </c>
      <c r="BE7" s="255"/>
      <c r="BF7" s="255"/>
      <c r="BG7" s="255">
        <v>4.3293994662084447</v>
      </c>
      <c r="BH7" s="255">
        <v>4.4618091495807581</v>
      </c>
      <c r="BI7" s="255">
        <v>-1.2182810737046954</v>
      </c>
      <c r="BJ7" s="255"/>
      <c r="BK7" s="255">
        <v>0.59041553724313589</v>
      </c>
      <c r="BL7" s="255"/>
      <c r="BM7" s="255">
        <v>-0.98344106458269787</v>
      </c>
    </row>
    <row r="8" spans="1:65" ht="15" x14ac:dyDescent="0.25">
      <c r="A8" s="18" t="s">
        <v>200</v>
      </c>
      <c r="D8" s="255"/>
      <c r="E8" s="300">
        <v>1.9323333333333335</v>
      </c>
      <c r="F8" s="301">
        <v>3.8607500000000003</v>
      </c>
      <c r="G8" s="301"/>
      <c r="H8" s="301"/>
      <c r="I8" s="301"/>
      <c r="J8" s="300">
        <v>5.4110000000000005</v>
      </c>
      <c r="K8" s="301">
        <v>6.2029999999999994</v>
      </c>
      <c r="L8" s="301"/>
      <c r="M8" s="301"/>
      <c r="N8" s="301"/>
      <c r="O8" s="300">
        <v>77.2</v>
      </c>
      <c r="P8" s="301">
        <v>59.400000000000006</v>
      </c>
      <c r="Q8" s="301"/>
      <c r="R8" s="301"/>
      <c r="S8" s="301"/>
      <c r="T8" s="300">
        <v>-4.8</v>
      </c>
      <c r="U8" s="301">
        <v>-3.5249999999999999</v>
      </c>
      <c r="V8" s="255"/>
      <c r="W8" s="301"/>
      <c r="X8" s="255"/>
      <c r="Y8" s="255"/>
      <c r="Z8" s="255"/>
      <c r="AA8" s="300">
        <v>26.176000000000002</v>
      </c>
      <c r="AB8" s="301">
        <v>33.212249999999997</v>
      </c>
      <c r="AC8" s="301"/>
      <c r="AD8" s="301"/>
      <c r="AG8" s="18" t="s">
        <v>200</v>
      </c>
      <c r="AI8" s="255"/>
      <c r="AJ8" s="255"/>
      <c r="AK8" s="300">
        <v>1.1333333333333333</v>
      </c>
      <c r="AL8" s="301">
        <v>1.075</v>
      </c>
      <c r="AM8" s="301"/>
      <c r="AN8" s="301"/>
      <c r="AO8" s="255"/>
      <c r="AP8" s="300">
        <v>3.4666666666666672</v>
      </c>
      <c r="AQ8" s="301">
        <v>3.4312499999999995</v>
      </c>
      <c r="AR8" s="301"/>
      <c r="AS8" s="301"/>
      <c r="AT8" s="255"/>
      <c r="AU8" s="300">
        <v>0.68166666666666664</v>
      </c>
      <c r="AV8" s="301">
        <v>2.0814999999999997</v>
      </c>
      <c r="AW8" s="301"/>
      <c r="AX8" s="301"/>
      <c r="AY8" s="255"/>
      <c r="AZ8" s="255"/>
      <c r="BA8" s="255"/>
      <c r="BB8" s="300">
        <v>-1.9138536236947477</v>
      </c>
      <c r="BC8" s="301">
        <v>-1.2085076389114127</v>
      </c>
      <c r="BD8" s="301"/>
      <c r="BE8" s="255"/>
      <c r="BF8" s="255"/>
      <c r="BG8" s="300">
        <v>4.6330271189219134</v>
      </c>
      <c r="BH8" s="301">
        <v>4.7867604314441481</v>
      </c>
      <c r="BI8" s="301"/>
      <c r="BJ8" s="255"/>
      <c r="BK8" s="255"/>
      <c r="BL8" s="255"/>
      <c r="BM8" s="255"/>
    </row>
    <row r="9" spans="1:65" ht="15" x14ac:dyDescent="0.25">
      <c r="A9" s="18" t="s">
        <v>163</v>
      </c>
      <c r="D9" s="255"/>
      <c r="E9" s="300">
        <v>0.56924540694970116</v>
      </c>
      <c r="F9" s="301">
        <v>0.91131713287233918</v>
      </c>
      <c r="G9" s="301"/>
      <c r="H9" s="301"/>
      <c r="I9" s="301"/>
      <c r="J9" s="300">
        <v>1.6746136867946582</v>
      </c>
      <c r="K9" s="301">
        <v>2.4292452874641284</v>
      </c>
      <c r="L9" s="301"/>
      <c r="M9" s="301"/>
      <c r="N9" s="301"/>
      <c r="O9" s="300">
        <v>40.86220747830442</v>
      </c>
      <c r="P9" s="301">
        <v>40.779978747746611</v>
      </c>
      <c r="Q9" s="301"/>
      <c r="R9" s="301"/>
      <c r="S9" s="301"/>
      <c r="T9" s="300">
        <v>3.0446674695276652</v>
      </c>
      <c r="U9" s="301">
        <v>2.6725456029785533</v>
      </c>
      <c r="V9" s="255"/>
      <c r="W9" s="301"/>
      <c r="X9" s="255"/>
      <c r="Y9" s="255"/>
      <c r="Z9" s="255"/>
      <c r="AA9" s="300">
        <v>8.1157174051343119</v>
      </c>
      <c r="AB9" s="301">
        <v>15.637932075032593</v>
      </c>
      <c r="AC9" s="301"/>
      <c r="AD9" s="301"/>
      <c r="AG9" s="18" t="s">
        <v>163</v>
      </c>
      <c r="AI9" s="255"/>
      <c r="AJ9" s="255"/>
      <c r="AK9" s="300">
        <v>1.9502136635080103</v>
      </c>
      <c r="AL9" s="301">
        <v>1.9276496915501358</v>
      </c>
      <c r="AM9" s="301"/>
      <c r="AN9" s="301"/>
      <c r="AO9" s="255"/>
      <c r="AP9" s="300">
        <v>7.6775459837980353</v>
      </c>
      <c r="AQ9" s="301">
        <v>6.6064257292931616</v>
      </c>
      <c r="AR9" s="301"/>
      <c r="AS9" s="301"/>
      <c r="AT9" s="255"/>
      <c r="AU9" s="300">
        <v>0.6536255298971525</v>
      </c>
      <c r="AV9" s="301">
        <v>2.6189919816601201</v>
      </c>
      <c r="AW9" s="301"/>
      <c r="AX9" s="301"/>
      <c r="AY9" s="255"/>
      <c r="AZ9" s="255"/>
      <c r="BA9" s="255"/>
      <c r="BB9" s="300">
        <v>0.48697323486669808</v>
      </c>
      <c r="BC9" s="301">
        <v>0.6671264648844597</v>
      </c>
      <c r="BD9" s="301"/>
      <c r="BE9" s="255"/>
      <c r="BF9" s="255"/>
      <c r="BG9" s="300">
        <v>0.27755731455636151</v>
      </c>
      <c r="BH9" s="301">
        <v>0.26672931959390872</v>
      </c>
      <c r="BI9" s="301"/>
      <c r="BJ9" s="255"/>
      <c r="BK9" s="255"/>
      <c r="BL9" s="255"/>
      <c r="BM9" s="255"/>
    </row>
    <row r="10" spans="1:65" x14ac:dyDescent="0.2">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c r="AB10" s="255"/>
      <c r="AC10" s="255"/>
      <c r="AD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row>
    <row r="11" spans="1:65" x14ac:dyDescent="0.2">
      <c r="A11" s="19" t="s">
        <v>205</v>
      </c>
      <c r="B11" s="19" t="s">
        <v>9</v>
      </c>
      <c r="D11" s="255">
        <v>4.9000000000000004</v>
      </c>
      <c r="E11" s="255">
        <v>5.0369999999999999</v>
      </c>
      <c r="F11" s="255">
        <v>6.2679999999999998</v>
      </c>
      <c r="G11" s="255">
        <v>0.36139844765131934</v>
      </c>
      <c r="H11" s="255"/>
      <c r="I11" s="255">
        <v>-0.64500000000000002</v>
      </c>
      <c r="J11" s="255">
        <v>7.49</v>
      </c>
      <c r="K11" s="255">
        <v>4.4610000000000003</v>
      </c>
      <c r="L11" s="255">
        <v>0.38408840573732073</v>
      </c>
      <c r="M11" s="255"/>
      <c r="N11" s="255">
        <v>109.4</v>
      </c>
      <c r="O11" s="255">
        <v>123.8</v>
      </c>
      <c r="P11" s="255">
        <v>135.1</v>
      </c>
      <c r="Q11" s="255">
        <v>0.67182562408912949</v>
      </c>
      <c r="R11" s="255"/>
      <c r="S11" s="255">
        <v>-3.3</v>
      </c>
      <c r="T11" s="255">
        <v>-2.2000000000000002</v>
      </c>
      <c r="U11" s="255">
        <v>-2.7</v>
      </c>
      <c r="V11" s="255">
        <v>0.202490192118848</v>
      </c>
      <c r="W11" s="255"/>
      <c r="X11" s="255">
        <v>0.33028718571191507</v>
      </c>
      <c r="Y11" s="255"/>
      <c r="Z11" s="255">
        <v>14.984999999999999</v>
      </c>
      <c r="AA11" s="255">
        <v>16.975000000000001</v>
      </c>
      <c r="AB11" s="255">
        <v>17.103999999999999</v>
      </c>
      <c r="AC11" s="255">
        <v>0.85319993132119942</v>
      </c>
      <c r="AD11" s="255"/>
      <c r="AG11" s="19" t="s">
        <v>205</v>
      </c>
      <c r="AH11" s="19" t="s">
        <v>9</v>
      </c>
      <c r="AI11" s="255"/>
      <c r="AJ11" s="255">
        <v>1.7399999999999998</v>
      </c>
      <c r="AK11" s="255">
        <v>1.8</v>
      </c>
      <c r="AL11" s="255">
        <v>2.9</v>
      </c>
      <c r="AM11" s="255">
        <v>-0.27350610840763906</v>
      </c>
      <c r="AN11" s="255"/>
      <c r="AO11" s="255">
        <v>-1.518</v>
      </c>
      <c r="AP11" s="255">
        <v>-2.2730000000000001</v>
      </c>
      <c r="AQ11" s="255">
        <v>-2.585</v>
      </c>
      <c r="AR11" s="255">
        <v>0.23239119855493415</v>
      </c>
      <c r="AS11" s="255"/>
      <c r="AT11" s="255">
        <v>1.1599999999999999</v>
      </c>
      <c r="AU11" s="255">
        <v>0.92300000000000004</v>
      </c>
      <c r="AV11" s="255">
        <v>0.88</v>
      </c>
      <c r="AW11" s="255">
        <v>-0.75774248551703038</v>
      </c>
      <c r="AX11" s="255"/>
      <c r="AY11" s="255">
        <v>0.99009759274076647</v>
      </c>
      <c r="AZ11" s="255"/>
      <c r="BA11" s="255"/>
      <c r="BB11" s="255">
        <v>-0.76762482803965693</v>
      </c>
      <c r="BC11" s="255">
        <v>-0.60764528750148994</v>
      </c>
      <c r="BD11" s="255">
        <v>-1.7112102553910401E-2</v>
      </c>
      <c r="BE11" s="255"/>
      <c r="BF11" s="255"/>
      <c r="BG11" s="255">
        <v>4.227963170529951</v>
      </c>
      <c r="BH11" s="255">
        <v>4.3202817984145794</v>
      </c>
      <c r="BI11" s="255">
        <v>0.61242493962184241</v>
      </c>
      <c r="BJ11" s="255"/>
      <c r="BK11" s="255">
        <v>-0.39238174516890206</v>
      </c>
      <c r="BL11" s="255"/>
      <c r="BM11" s="255">
        <v>0.92800303328377964</v>
      </c>
    </row>
    <row r="12" spans="1:65" x14ac:dyDescent="0.2">
      <c r="A12" s="19" t="s">
        <v>205</v>
      </c>
      <c r="B12" s="19" t="s">
        <v>37</v>
      </c>
      <c r="D12" s="255">
        <v>4.2</v>
      </c>
      <c r="E12" s="255">
        <v>2.27</v>
      </c>
      <c r="F12" s="255">
        <v>3.5569999999999999</v>
      </c>
      <c r="G12" s="255">
        <v>-0.77097097886011412</v>
      </c>
      <c r="H12" s="255"/>
      <c r="I12" s="255">
        <v>1.141</v>
      </c>
      <c r="J12" s="255">
        <v>4.3079999999999998</v>
      </c>
      <c r="K12" s="255">
        <v>4.6059999999999999</v>
      </c>
      <c r="L12" s="255">
        <v>0.29356368666793259</v>
      </c>
      <c r="M12" s="255"/>
      <c r="N12" s="255">
        <v>142</v>
      </c>
      <c r="O12" s="255">
        <v>138.9</v>
      </c>
      <c r="P12" s="255">
        <v>133.69999999999999</v>
      </c>
      <c r="Q12" s="255">
        <v>0.63519644683459442</v>
      </c>
      <c r="R12" s="255"/>
      <c r="S12" s="255">
        <v>-2.2000000000000002</v>
      </c>
      <c r="T12" s="255">
        <v>-3.6</v>
      </c>
      <c r="U12" s="255">
        <v>-3</v>
      </c>
      <c r="V12" s="255">
        <v>0.404980384237696</v>
      </c>
      <c r="W12" s="255"/>
      <c r="X12" s="255">
        <v>-0.60953546807210857</v>
      </c>
      <c r="Y12" s="255"/>
      <c r="Z12" s="255">
        <v>19.786000000000001</v>
      </c>
      <c r="AA12" s="255">
        <v>19.263999999999999</v>
      </c>
      <c r="AB12" s="255">
        <v>20.744</v>
      </c>
      <c r="AC12" s="255">
        <v>0.36789191746415745</v>
      </c>
      <c r="AD12" s="255"/>
      <c r="AG12" s="19" t="s">
        <v>205</v>
      </c>
      <c r="AH12" s="19" t="s">
        <v>37</v>
      </c>
      <c r="AI12" s="255"/>
      <c r="AJ12" s="255">
        <v>3.46</v>
      </c>
      <c r="AK12" s="255">
        <v>0.1</v>
      </c>
      <c r="AL12" s="255">
        <v>-0.8</v>
      </c>
      <c r="AM12" s="255">
        <v>0.81075024992264433</v>
      </c>
      <c r="AN12" s="255"/>
      <c r="AO12" s="255">
        <v>-2.157</v>
      </c>
      <c r="AP12" s="255">
        <v>-3.105</v>
      </c>
      <c r="AQ12" s="255">
        <v>-2.0920000000000001</v>
      </c>
      <c r="AR12" s="255">
        <v>0.1431862718321863</v>
      </c>
      <c r="AS12" s="255"/>
      <c r="AT12" s="255">
        <v>0.51</v>
      </c>
      <c r="AU12" s="255">
        <v>0.46500000000000002</v>
      </c>
      <c r="AV12" s="255">
        <v>0.53400000000000003</v>
      </c>
      <c r="AW12" s="255">
        <v>0.29050722567800863</v>
      </c>
      <c r="AX12" s="255"/>
      <c r="AY12" s="255">
        <v>-0.69374426487714391</v>
      </c>
      <c r="AZ12" s="255"/>
      <c r="BA12" s="255"/>
      <c r="BB12" s="255">
        <v>-1.0608939516151255</v>
      </c>
      <c r="BC12" s="255">
        <v>-0.85018235686261368</v>
      </c>
      <c r="BD12" s="255">
        <v>-0.26211341989171627</v>
      </c>
      <c r="BE12" s="255"/>
      <c r="BF12" s="255"/>
      <c r="BG12" s="255">
        <v>4.0537743000544104</v>
      </c>
      <c r="BH12" s="255">
        <v>4.2029067712377577</v>
      </c>
      <c r="BI12" s="255">
        <v>-1.0189342351900916</v>
      </c>
      <c r="BJ12" s="255"/>
      <c r="BK12" s="255">
        <v>0.4042926882441894</v>
      </c>
      <c r="BL12" s="255"/>
      <c r="BM12" s="255">
        <v>-0.89898704470506308</v>
      </c>
    </row>
    <row r="13" spans="1:65" x14ac:dyDescent="0.2">
      <c r="A13" s="19" t="s">
        <v>205</v>
      </c>
      <c r="B13" s="19" t="s">
        <v>43</v>
      </c>
      <c r="D13" s="255">
        <v>4.2</v>
      </c>
      <c r="E13" s="255">
        <v>4.8520000000000003</v>
      </c>
      <c r="F13" s="255">
        <v>4.0869999999999997</v>
      </c>
      <c r="G13" s="255">
        <v>-0.54959296482431208</v>
      </c>
      <c r="H13" s="255"/>
      <c r="I13" s="255">
        <v>-6.4964999999999993</v>
      </c>
      <c r="J13" s="255">
        <v>1.21</v>
      </c>
      <c r="K13" s="255">
        <v>2.79</v>
      </c>
      <c r="L13" s="255">
        <v>1.4273077544611006</v>
      </c>
      <c r="M13" s="255"/>
      <c r="N13" s="255">
        <v>186.2</v>
      </c>
      <c r="O13" s="255">
        <v>135.5</v>
      </c>
      <c r="P13" s="255">
        <v>123.3</v>
      </c>
      <c r="Q13" s="255">
        <v>0.36309398722947783</v>
      </c>
      <c r="R13" s="255"/>
      <c r="S13" s="255">
        <v>-4.4000000000000004</v>
      </c>
      <c r="T13" s="255">
        <v>-3.8</v>
      </c>
      <c r="U13" s="255">
        <v>-3</v>
      </c>
      <c r="V13" s="255">
        <v>0.404980384237696</v>
      </c>
      <c r="W13" s="255"/>
      <c r="X13" s="255">
        <v>-1.0375441035403767</v>
      </c>
      <c r="Y13" s="255"/>
      <c r="Z13" s="255">
        <v>18.734999999999999</v>
      </c>
      <c r="AA13" s="255">
        <v>19.356000000000002</v>
      </c>
      <c r="AB13" s="255">
        <v>19.395</v>
      </c>
      <c r="AC13" s="255">
        <v>0.54774920062161614</v>
      </c>
      <c r="AD13" s="255"/>
      <c r="AG13" s="19" t="s">
        <v>205</v>
      </c>
      <c r="AH13" s="19" t="s">
        <v>43</v>
      </c>
      <c r="AI13" s="255"/>
      <c r="AJ13" s="255">
        <v>0.25</v>
      </c>
      <c r="AK13" s="255">
        <v>2.2999999999999998</v>
      </c>
      <c r="AL13" s="255">
        <v>4.9000000000000004</v>
      </c>
      <c r="AM13" s="255">
        <v>-0.85959062642400852</v>
      </c>
      <c r="AN13" s="255"/>
      <c r="AO13" s="255">
        <v>-0.46200000000000002</v>
      </c>
      <c r="AP13" s="255">
        <v>1.569</v>
      </c>
      <c r="AQ13" s="255">
        <v>1.45</v>
      </c>
      <c r="AR13" s="255">
        <v>-0.49771403334422953</v>
      </c>
      <c r="AS13" s="255"/>
      <c r="AT13" s="255">
        <v>0.22</v>
      </c>
      <c r="AU13" s="255">
        <v>0.24399999999999999</v>
      </c>
      <c r="AV13" s="255">
        <v>0.24299999999999999</v>
      </c>
      <c r="AW13" s="255">
        <v>1.1721276475212352</v>
      </c>
      <c r="AX13" s="255"/>
      <c r="AY13" s="255">
        <v>-1.4888079658211877</v>
      </c>
      <c r="AZ13" s="255"/>
      <c r="BA13" s="255"/>
      <c r="BB13" s="255">
        <v>-1.4256564638110132</v>
      </c>
      <c r="BC13" s="255">
        <v>-0.87025794952395474</v>
      </c>
      <c r="BD13" s="255">
        <v>-0.28239298648053457</v>
      </c>
      <c r="BE13" s="255"/>
      <c r="BF13" s="255"/>
      <c r="BG13" s="255">
        <v>4.2161740370390026</v>
      </c>
      <c r="BH13" s="255">
        <v>4.3619315509340417</v>
      </c>
      <c r="BI13" s="255">
        <v>1.1913019591680305</v>
      </c>
      <c r="BJ13" s="255"/>
      <c r="BK13" s="255">
        <v>-0.97633301020481977</v>
      </c>
      <c r="BL13" s="255"/>
      <c r="BM13" s="255">
        <v>-3.5026850795663842</v>
      </c>
    </row>
    <row r="14" spans="1:65" x14ac:dyDescent="0.2">
      <c r="A14" s="19" t="s">
        <v>205</v>
      </c>
      <c r="B14" s="19" t="s">
        <v>45</v>
      </c>
      <c r="D14" s="255">
        <v>7.4</v>
      </c>
      <c r="E14" s="255">
        <v>7.4</v>
      </c>
      <c r="F14" s="255">
        <v>9.1199999999999992</v>
      </c>
      <c r="G14" s="255">
        <v>1.5526627797835981</v>
      </c>
      <c r="H14" s="255"/>
      <c r="I14" s="255">
        <v>1.1905000000000001</v>
      </c>
      <c r="J14" s="255">
        <v>7</v>
      </c>
      <c r="K14" s="255">
        <v>5.9390000000000001</v>
      </c>
      <c r="L14" s="255">
        <v>-0.53863942036306589</v>
      </c>
      <c r="M14" s="255"/>
      <c r="N14" s="255">
        <v>221.4</v>
      </c>
      <c r="O14" s="255">
        <v>190</v>
      </c>
      <c r="P14" s="255">
        <v>182.1</v>
      </c>
      <c r="Q14" s="255">
        <v>1.9015194319199458</v>
      </c>
      <c r="R14" s="255"/>
      <c r="S14" s="255">
        <v>-4.2750000000000004</v>
      </c>
      <c r="T14" s="255">
        <v>-1.925</v>
      </c>
      <c r="U14" s="255">
        <v>-3</v>
      </c>
      <c r="V14" s="255">
        <v>0.404980384237696</v>
      </c>
      <c r="W14" s="255"/>
      <c r="X14" s="255">
        <v>2.1156758403687088</v>
      </c>
      <c r="Y14" s="255"/>
      <c r="Z14" s="255">
        <v>26.709</v>
      </c>
      <c r="AA14" s="255">
        <v>35.335999999999999</v>
      </c>
      <c r="AB14" s="255">
        <v>39.347000000000001</v>
      </c>
      <c r="AC14" s="255">
        <v>-2.1123786819266535</v>
      </c>
      <c r="AD14" s="255"/>
      <c r="AG14" s="19" t="s">
        <v>205</v>
      </c>
      <c r="AH14" s="19" t="s">
        <v>45</v>
      </c>
      <c r="AI14" s="255"/>
      <c r="AJ14" s="255">
        <v>5.7</v>
      </c>
      <c r="AK14" s="255">
        <v>1.5</v>
      </c>
      <c r="AL14" s="255">
        <v>-2.2000000000000002</v>
      </c>
      <c r="AM14" s="255">
        <v>1.2210094125341031</v>
      </c>
      <c r="AN14" s="255"/>
      <c r="AO14" s="255">
        <v>-3.7389999999999999</v>
      </c>
      <c r="AP14" s="255">
        <v>2.5489999999999999</v>
      </c>
      <c r="AQ14" s="255">
        <v>5.8360000000000003</v>
      </c>
      <c r="AR14" s="255">
        <v>-1.29133027798109</v>
      </c>
      <c r="AS14" s="255"/>
      <c r="AT14" s="255">
        <v>0.42499999999999999</v>
      </c>
      <c r="AU14" s="255">
        <v>0.55000000000000004</v>
      </c>
      <c r="AV14" s="255">
        <v>0.5</v>
      </c>
      <c r="AW14" s="255">
        <v>0.39351442273185649</v>
      </c>
      <c r="AX14" s="255"/>
      <c r="AY14" s="255">
        <v>-0.27731128493359691</v>
      </c>
      <c r="AZ14" s="255"/>
      <c r="BA14" s="255"/>
      <c r="BB14" s="255">
        <v>1.7523427629850281</v>
      </c>
      <c r="BC14" s="255">
        <v>1.5528544978506376</v>
      </c>
      <c r="BD14" s="255">
        <v>2.1653389962147616</v>
      </c>
      <c r="BE14" s="255"/>
      <c r="BF14" s="255"/>
      <c r="BG14" s="255">
        <v>4.0755899101065616</v>
      </c>
      <c r="BH14" s="255">
        <v>4.1847944726725217</v>
      </c>
      <c r="BI14" s="255">
        <v>-1.2706714671382313</v>
      </c>
      <c r="BJ14" s="255"/>
      <c r="BK14" s="255">
        <v>2.6357965069641023</v>
      </c>
      <c r="BL14" s="255"/>
      <c r="BM14" s="255">
        <v>4.4741610623992143</v>
      </c>
    </row>
    <row r="15" spans="1:65" x14ac:dyDescent="0.2">
      <c r="A15" s="19" t="s">
        <v>205</v>
      </c>
      <c r="B15" s="19" t="s">
        <v>11</v>
      </c>
      <c r="D15" s="255">
        <v>5.3</v>
      </c>
      <c r="E15" s="255">
        <v>4.1520000000000001</v>
      </c>
      <c r="F15" s="255">
        <v>3.6309999999999998</v>
      </c>
      <c r="G15" s="255">
        <v>-0.74006159576832298</v>
      </c>
      <c r="H15" s="255"/>
      <c r="I15" s="255">
        <v>-6.3254999999999999</v>
      </c>
      <c r="J15" s="255">
        <v>5.5179999999999998</v>
      </c>
      <c r="K15" s="255">
        <v>4.6420000000000003</v>
      </c>
      <c r="L15" s="255">
        <v>0.27108858400242897</v>
      </c>
      <c r="M15" s="255"/>
      <c r="N15" s="255">
        <v>73.8</v>
      </c>
      <c r="O15" s="255">
        <v>71.099999999999994</v>
      </c>
      <c r="P15" s="255">
        <v>67.8</v>
      </c>
      <c r="Q15" s="255">
        <v>-1.0889912539324433</v>
      </c>
      <c r="R15" s="255"/>
      <c r="S15" s="255">
        <v>-2.2999999999999998</v>
      </c>
      <c r="T15" s="255">
        <v>-2.6</v>
      </c>
      <c r="U15" s="255">
        <v>-2.5</v>
      </c>
      <c r="V15" s="255">
        <v>6.7496730706282468E-2</v>
      </c>
      <c r="W15" s="255"/>
      <c r="X15" s="255">
        <v>-1.1726306639501753</v>
      </c>
      <c r="Y15" s="255"/>
      <c r="Z15" s="255">
        <v>23.198</v>
      </c>
      <c r="AA15" s="255">
        <v>25.077000000000002</v>
      </c>
      <c r="AB15" s="255">
        <v>25.593</v>
      </c>
      <c r="AC15" s="255">
        <v>-0.27860768670968772</v>
      </c>
      <c r="AD15" s="255"/>
      <c r="AG15" s="19" t="s">
        <v>205</v>
      </c>
      <c r="AH15" s="19" t="s">
        <v>11</v>
      </c>
      <c r="AI15" s="255"/>
      <c r="AJ15" s="255">
        <v>1.2000000000000002</v>
      </c>
      <c r="AK15" s="255">
        <v>0.4</v>
      </c>
      <c r="AL15" s="255">
        <v>0.6</v>
      </c>
      <c r="AM15" s="255">
        <v>0.40049108731118577</v>
      </c>
      <c r="AN15" s="255"/>
      <c r="AO15" s="255">
        <v>-0.71299999999999997</v>
      </c>
      <c r="AP15" s="255">
        <v>-0.54800000000000004</v>
      </c>
      <c r="AQ15" s="255">
        <v>-0.89700000000000002</v>
      </c>
      <c r="AR15" s="255">
        <v>-7.304068036595511E-2</v>
      </c>
      <c r="AS15" s="255"/>
      <c r="AT15" s="255">
        <v>0.56000000000000005</v>
      </c>
      <c r="AU15" s="255">
        <v>0.61599999999999999</v>
      </c>
      <c r="AV15" s="255">
        <v>0.629</v>
      </c>
      <c r="AW15" s="255">
        <v>2.6929986157870219E-3</v>
      </c>
      <c r="AX15" s="255"/>
      <c r="AY15" s="255">
        <v>-3.9797716549831275E-2</v>
      </c>
      <c r="AZ15" s="255"/>
      <c r="BA15" s="255"/>
      <c r="BB15" s="255">
        <v>-2.0082602065870354</v>
      </c>
      <c r="BC15" s="255">
        <v>-1.6418430158482955</v>
      </c>
      <c r="BD15" s="255">
        <v>-1.061817584071318</v>
      </c>
      <c r="BE15" s="255"/>
      <c r="BF15" s="255"/>
      <c r="BG15" s="255">
        <v>4.1890428814501526</v>
      </c>
      <c r="BH15" s="255">
        <v>4.2943372805219955</v>
      </c>
      <c r="BI15" s="255">
        <v>0.251830115337984</v>
      </c>
      <c r="BJ15" s="255"/>
      <c r="BK15" s="255">
        <v>-1.063515923929929</v>
      </c>
      <c r="BL15" s="255"/>
      <c r="BM15" s="255">
        <v>-2.2759443044299354</v>
      </c>
    </row>
    <row r="16" spans="1:65" x14ac:dyDescent="0.2">
      <c r="A16" s="19" t="s">
        <v>205</v>
      </c>
      <c r="B16" s="19" t="s">
        <v>71</v>
      </c>
      <c r="D16" s="255">
        <v>2.4</v>
      </c>
      <c r="E16" s="255">
        <v>3.49</v>
      </c>
      <c r="F16" s="255">
        <v>5.0190000000000001</v>
      </c>
      <c r="G16" s="255">
        <v>-0.16030181561418419</v>
      </c>
      <c r="H16" s="255"/>
      <c r="I16" s="255">
        <v>2.7960000000000003</v>
      </c>
      <c r="J16" s="255">
        <v>7.5049999999999999</v>
      </c>
      <c r="K16" s="255">
        <v>7.4</v>
      </c>
      <c r="L16" s="255">
        <v>-1.4507540035380762</v>
      </c>
      <c r="M16" s="255"/>
      <c r="N16" s="255">
        <v>75.099999999999994</v>
      </c>
      <c r="O16" s="255">
        <v>66.599999999999994</v>
      </c>
      <c r="P16" s="255">
        <v>61.9</v>
      </c>
      <c r="Q16" s="255">
        <v>-1.2433570723622693</v>
      </c>
      <c r="R16" s="255"/>
      <c r="S16" s="255">
        <v>-1.1000000000000001</v>
      </c>
      <c r="T16" s="255">
        <v>0.01</v>
      </c>
      <c r="U16" s="255">
        <v>0.5</v>
      </c>
      <c r="V16" s="255">
        <v>-1.9574051904821987</v>
      </c>
      <c r="W16" s="255"/>
      <c r="X16" s="255">
        <v>0.61995627292790123</v>
      </c>
      <c r="Y16" s="255"/>
      <c r="Z16" s="255">
        <v>23.646999999999998</v>
      </c>
      <c r="AA16" s="255">
        <v>16.324999999999999</v>
      </c>
      <c r="AB16" s="255">
        <v>15.861000000000001</v>
      </c>
      <c r="AC16" s="255">
        <v>1.018924618470733</v>
      </c>
      <c r="AD16" s="255"/>
      <c r="AG16" s="19" t="s">
        <v>205</v>
      </c>
      <c r="AH16" s="19" t="s">
        <v>71</v>
      </c>
      <c r="AI16" s="255"/>
      <c r="AJ16" s="255">
        <v>6.2666666666666657</v>
      </c>
      <c r="AK16" s="255">
        <v>8.8000000000000007</v>
      </c>
      <c r="AL16" s="255">
        <v>8.5</v>
      </c>
      <c r="AM16" s="255">
        <v>-1.9145427588534734</v>
      </c>
      <c r="AN16" s="255"/>
      <c r="AO16" s="255">
        <v>-0.215</v>
      </c>
      <c r="AP16" s="255">
        <v>-11.175000000000001</v>
      </c>
      <c r="AQ16" s="255">
        <v>-12.548999999999999</v>
      </c>
      <c r="AR16" s="255">
        <v>2.035307810858098</v>
      </c>
      <c r="AS16" s="255"/>
      <c r="AT16" s="255">
        <v>0.37</v>
      </c>
      <c r="AU16" s="255">
        <v>0.3</v>
      </c>
      <c r="AV16" s="255">
        <v>0.19600000000000001</v>
      </c>
      <c r="AW16" s="255">
        <v>1.3145199493309661</v>
      </c>
      <c r="AX16" s="255"/>
      <c r="AY16" s="255">
        <v>-2.0311112246984488</v>
      </c>
      <c r="AZ16" s="255"/>
      <c r="BA16" s="255"/>
      <c r="BB16" s="255">
        <v>-2.1232194058777498</v>
      </c>
      <c r="BC16" s="255">
        <v>-1.6113538459607861</v>
      </c>
      <c r="BD16" s="255">
        <v>-1.0310186352481439</v>
      </c>
      <c r="BE16" s="255"/>
      <c r="BF16" s="255"/>
      <c r="BG16" s="255">
        <v>4.2079687686886045</v>
      </c>
      <c r="BH16" s="255">
        <v>4.3527080222364045</v>
      </c>
      <c r="BI16" s="255">
        <v>1.0631069885090336</v>
      </c>
      <c r="BJ16" s="255"/>
      <c r="BK16" s="255">
        <v>-1.5375711951724722</v>
      </c>
      <c r="BL16" s="255"/>
      <c r="BM16" s="255">
        <v>-2.9487261469430197</v>
      </c>
    </row>
    <row r="17" spans="1:65" x14ac:dyDescent="0.2">
      <c r="A17" s="19" t="s">
        <v>205</v>
      </c>
      <c r="B17" s="19" t="s">
        <v>47</v>
      </c>
      <c r="D17" s="255">
        <v>2.9</v>
      </c>
      <c r="E17" s="255">
        <v>1.5309999999999999</v>
      </c>
      <c r="F17" s="255">
        <v>2.6960000000000002</v>
      </c>
      <c r="G17" s="255">
        <v>-1.1306058280767664</v>
      </c>
      <c r="H17" s="255"/>
      <c r="I17" s="255">
        <v>0.85599999999999998</v>
      </c>
      <c r="J17" s="255">
        <v>8.7949999999999999</v>
      </c>
      <c r="K17" s="255">
        <v>7.5010000000000003</v>
      </c>
      <c r="L17" s="255">
        <v>-1.5138091526829605</v>
      </c>
      <c r="M17" s="255"/>
      <c r="N17" s="255">
        <v>108</v>
      </c>
      <c r="O17" s="255">
        <v>91</v>
      </c>
      <c r="P17" s="255">
        <v>91</v>
      </c>
      <c r="Q17" s="255">
        <v>-0.48199345942872129</v>
      </c>
      <c r="R17" s="255"/>
      <c r="S17" s="255">
        <v>-2</v>
      </c>
      <c r="T17" s="255">
        <v>-1</v>
      </c>
      <c r="U17" s="255">
        <v>-0.5</v>
      </c>
      <c r="V17" s="255">
        <v>-1.2824378834193717</v>
      </c>
      <c r="W17" s="255"/>
      <c r="X17" s="255">
        <v>-2.7662198272092042E-2</v>
      </c>
      <c r="Y17" s="255"/>
      <c r="Z17" s="255">
        <v>20.873999999999999</v>
      </c>
      <c r="AA17" s="255">
        <v>23.518999999999998</v>
      </c>
      <c r="AB17" s="255">
        <v>25.152000000000001</v>
      </c>
      <c r="AC17" s="255">
        <v>-0.21981075426162316</v>
      </c>
      <c r="AD17" s="255"/>
      <c r="AG17" s="19" t="s">
        <v>205</v>
      </c>
      <c r="AH17" s="19" t="s">
        <v>47</v>
      </c>
      <c r="AI17" s="255"/>
      <c r="AJ17" s="255">
        <v>3.7399999999999998</v>
      </c>
      <c r="AK17" s="255">
        <v>4.3</v>
      </c>
      <c r="AL17" s="255">
        <v>4.0999999999999996</v>
      </c>
      <c r="AM17" s="255">
        <v>-0.62515681921746058</v>
      </c>
      <c r="AN17" s="255"/>
      <c r="AO17" s="255">
        <v>0.16600000000000001</v>
      </c>
      <c r="AP17" s="255">
        <v>-1.5149999999999999</v>
      </c>
      <c r="AQ17" s="255">
        <v>-2.0550000000000002</v>
      </c>
      <c r="AR17" s="255">
        <v>0.13649137875157441</v>
      </c>
      <c r="AS17" s="255"/>
      <c r="AT17" s="255">
        <v>0.95</v>
      </c>
      <c r="AU17" s="255">
        <v>1.2250000000000001</v>
      </c>
      <c r="AV17" s="255">
        <v>1.1870000000000001</v>
      </c>
      <c r="AW17" s="255">
        <v>-1.6878368824444208</v>
      </c>
      <c r="AX17" s="255"/>
      <c r="AY17" s="255">
        <v>2.6046445648839023</v>
      </c>
      <c r="AZ17" s="255"/>
      <c r="BA17" s="255"/>
      <c r="BB17" s="255">
        <v>-0.54521842216565586</v>
      </c>
      <c r="BC17" s="255">
        <v>-0.91256975110526417</v>
      </c>
      <c r="BD17" s="255">
        <v>-0.32513468841361776</v>
      </c>
      <c r="BE17" s="255"/>
      <c r="BF17" s="255"/>
      <c r="BG17" s="255">
        <v>4.0146439188648255</v>
      </c>
      <c r="BH17" s="255">
        <v>4.2120149798379583</v>
      </c>
      <c r="BI17" s="255">
        <v>-0.89234206287345474</v>
      </c>
      <c r="BJ17" s="255"/>
      <c r="BK17" s="255">
        <v>0.27230734778028115</v>
      </c>
      <c r="BL17" s="255"/>
      <c r="BM17" s="255">
        <v>2.8492897143920914</v>
      </c>
    </row>
    <row r="18" spans="1:65" x14ac:dyDescent="0.2">
      <c r="A18" s="19" t="s">
        <v>205</v>
      </c>
      <c r="B18" s="19" t="s">
        <v>13</v>
      </c>
      <c r="D18" s="255">
        <v>11.7</v>
      </c>
      <c r="E18" s="255">
        <v>6.8540000000000001</v>
      </c>
      <c r="F18" s="255">
        <v>9.3160000000000007</v>
      </c>
      <c r="G18" s="255">
        <v>1.6345308755402352</v>
      </c>
      <c r="H18" s="255"/>
      <c r="I18" s="255">
        <v>-7.8434999999999997</v>
      </c>
      <c r="J18" s="255">
        <v>3.9550000000000001</v>
      </c>
      <c r="K18" s="255">
        <v>4.8280000000000003</v>
      </c>
      <c r="L18" s="255">
        <v>0.15496722023066178</v>
      </c>
      <c r="M18" s="255"/>
      <c r="N18" s="255">
        <v>123.8</v>
      </c>
      <c r="O18" s="255">
        <v>106.4</v>
      </c>
      <c r="P18" s="255">
        <v>105.3</v>
      </c>
      <c r="Q18" s="255">
        <v>-0.10785257747168582</v>
      </c>
      <c r="R18" s="255"/>
      <c r="S18" s="255">
        <v>-5.9</v>
      </c>
      <c r="T18" s="255">
        <v>-4</v>
      </c>
      <c r="U18" s="255">
        <v>-3</v>
      </c>
      <c r="V18" s="255">
        <v>0.404980384237696</v>
      </c>
      <c r="W18" s="255"/>
      <c r="X18" s="255">
        <v>1.0574433606242906</v>
      </c>
      <c r="Y18" s="255"/>
      <c r="Z18" s="255">
        <v>20.94</v>
      </c>
      <c r="AA18" s="255">
        <v>24.693999999999999</v>
      </c>
      <c r="AB18" s="255">
        <v>29.963999999999999</v>
      </c>
      <c r="AC18" s="255">
        <v>-0.86137728247043766</v>
      </c>
      <c r="AD18" s="255"/>
      <c r="AG18" s="19" t="s">
        <v>205</v>
      </c>
      <c r="AH18" s="19" t="s">
        <v>13</v>
      </c>
      <c r="AI18" s="255"/>
      <c r="AJ18" s="255">
        <v>0.25999999999999995</v>
      </c>
      <c r="AK18" s="255">
        <v>-0.7</v>
      </c>
      <c r="AL18" s="255">
        <v>-0.7</v>
      </c>
      <c r="AM18" s="255">
        <v>0.78144602402182584</v>
      </c>
      <c r="AN18" s="255"/>
      <c r="AO18" s="255">
        <v>4.0510000000000002</v>
      </c>
      <c r="AP18" s="255">
        <v>4.8789999999999996</v>
      </c>
      <c r="AQ18" s="255">
        <v>5.55</v>
      </c>
      <c r="AR18" s="255">
        <v>-1.2395805638985222</v>
      </c>
      <c r="AS18" s="255"/>
      <c r="AT18" s="255">
        <v>0.875</v>
      </c>
      <c r="AU18" s="255">
        <v>0.93500000000000005</v>
      </c>
      <c r="AV18" s="255">
        <v>0.98</v>
      </c>
      <c r="AW18" s="255">
        <v>-1.060704829793053</v>
      </c>
      <c r="AX18" s="255"/>
      <c r="AY18" s="255">
        <v>1.7403385404237499</v>
      </c>
      <c r="AZ18" s="255"/>
      <c r="BA18" s="255"/>
      <c r="BB18" s="255">
        <v>0.8719714221033068</v>
      </c>
      <c r="BC18" s="255">
        <v>0.32427645790122839</v>
      </c>
      <c r="BD18" s="255">
        <v>0.92427824194412977</v>
      </c>
      <c r="BE18" s="255"/>
      <c r="BF18" s="255"/>
      <c r="BG18" s="255">
        <v>4.1529730168772367</v>
      </c>
      <c r="BH18" s="255">
        <v>4.2149304916794197</v>
      </c>
      <c r="BI18" s="255">
        <v>-0.85182026614853623</v>
      </c>
      <c r="BJ18" s="255"/>
      <c r="BK18" s="255">
        <v>1.3159524673920848</v>
      </c>
      <c r="BL18" s="255"/>
      <c r="BM18" s="255">
        <v>4.1137343684401255</v>
      </c>
    </row>
    <row r="19" spans="1:65" x14ac:dyDescent="0.2">
      <c r="A19" s="19" t="s">
        <v>205</v>
      </c>
      <c r="B19" s="19" t="s">
        <v>23</v>
      </c>
      <c r="D19" s="255">
        <v>7.1</v>
      </c>
      <c r="E19" s="255">
        <v>4.274</v>
      </c>
      <c r="F19" s="255">
        <v>4.931</v>
      </c>
      <c r="G19" s="255">
        <v>-0.19705891983144949</v>
      </c>
      <c r="H19" s="255"/>
      <c r="I19" s="255">
        <v>-1.73</v>
      </c>
      <c r="J19" s="255">
        <v>2.7839999999999998</v>
      </c>
      <c r="K19" s="255">
        <v>3.5190000000000001</v>
      </c>
      <c r="L19" s="255">
        <v>0.97218692548465802</v>
      </c>
      <c r="M19" s="255"/>
      <c r="N19" s="255">
        <v>96.3</v>
      </c>
      <c r="O19" s="255">
        <v>84.7</v>
      </c>
      <c r="P19" s="255">
        <v>84.6</v>
      </c>
      <c r="Q19" s="255">
        <v>-0.64944112687802413</v>
      </c>
      <c r="R19" s="255"/>
      <c r="S19" s="255">
        <v>-6.7</v>
      </c>
      <c r="T19" s="255">
        <v>-5</v>
      </c>
      <c r="U19" s="255">
        <v>-4.4000000000000004</v>
      </c>
      <c r="V19" s="255">
        <v>1.3499346141256541</v>
      </c>
      <c r="W19" s="255"/>
      <c r="X19" s="255">
        <v>-1.2759902257980584</v>
      </c>
      <c r="Y19" s="255"/>
      <c r="Z19" s="255">
        <v>15.561</v>
      </c>
      <c r="AA19" s="255">
        <v>19.956</v>
      </c>
      <c r="AB19" s="255">
        <v>18.37</v>
      </c>
      <c r="AC19" s="255">
        <v>0.68440873749070064</v>
      </c>
      <c r="AD19" s="255"/>
      <c r="AG19" s="19" t="s">
        <v>205</v>
      </c>
      <c r="AH19" s="19" t="s">
        <v>23</v>
      </c>
      <c r="AI19" s="255"/>
      <c r="AJ19" s="255">
        <v>2.2800000000000002</v>
      </c>
      <c r="AK19" s="255">
        <v>0.3</v>
      </c>
      <c r="AL19" s="255">
        <v>0.4</v>
      </c>
      <c r="AM19" s="255">
        <v>0.45909953911282264</v>
      </c>
      <c r="AN19" s="255"/>
      <c r="AO19" s="255">
        <v>-4.0510000000000002</v>
      </c>
      <c r="AP19" s="255">
        <v>-2.8319999999999999</v>
      </c>
      <c r="AQ19" s="255">
        <v>-4.3639999999999999</v>
      </c>
      <c r="AR19" s="255">
        <v>0.55428889559300409</v>
      </c>
      <c r="AS19" s="255"/>
      <c r="AT19" s="255">
        <v>0.89500000000000002</v>
      </c>
      <c r="AU19" s="255">
        <v>0.45700000000000002</v>
      </c>
      <c r="AV19" s="255">
        <v>0.52</v>
      </c>
      <c r="AW19" s="255">
        <v>0.33292195387665191</v>
      </c>
      <c r="AX19" s="255"/>
      <c r="AY19" s="255">
        <v>-0.80430824116821209</v>
      </c>
      <c r="AZ19" s="255"/>
      <c r="BA19" s="255"/>
      <c r="BB19" s="255">
        <v>-1.0473686910483253</v>
      </c>
      <c r="BC19" s="255">
        <v>-0.69962645076850194</v>
      </c>
      <c r="BD19" s="255">
        <v>-0.1100278214996509</v>
      </c>
      <c r="BE19" s="255"/>
      <c r="BF19" s="255"/>
      <c r="BG19" s="255">
        <v>4.3401506065050741</v>
      </c>
      <c r="BH19" s="255">
        <v>4.3420593240855094</v>
      </c>
      <c r="BI19" s="255">
        <v>0.91510402871337404</v>
      </c>
      <c r="BJ19" s="255"/>
      <c r="BK19" s="255">
        <v>-0.65854713590450487</v>
      </c>
      <c r="BL19" s="255"/>
      <c r="BM19" s="255">
        <v>-2.7388456028707755</v>
      </c>
    </row>
    <row r="20" spans="1:65" ht="15" x14ac:dyDescent="0.25">
      <c r="A20" s="18" t="s">
        <v>200</v>
      </c>
      <c r="D20" s="255"/>
      <c r="E20" s="300">
        <v>4.4288888888888884</v>
      </c>
      <c r="F20" s="301">
        <v>5.4027777777777768</v>
      </c>
      <c r="G20" s="255"/>
      <c r="H20" s="255"/>
      <c r="I20" s="255"/>
      <c r="J20" s="300">
        <v>5.3961111111111109</v>
      </c>
      <c r="K20" s="301">
        <v>5.0762222222222224</v>
      </c>
      <c r="L20" s="255"/>
      <c r="M20" s="255"/>
      <c r="N20" s="301"/>
      <c r="O20" s="300">
        <v>112.00000000000001</v>
      </c>
      <c r="P20" s="301">
        <v>109.4222222222222</v>
      </c>
      <c r="Q20" s="255"/>
      <c r="R20" s="255"/>
      <c r="S20" s="255"/>
      <c r="T20" s="300">
        <v>-2.6794444444444445</v>
      </c>
      <c r="U20" s="301">
        <v>-2.4000000000000004</v>
      </c>
      <c r="V20" s="255"/>
      <c r="W20" s="255"/>
      <c r="X20" s="255"/>
      <c r="Y20" s="255"/>
      <c r="Z20" s="255"/>
      <c r="AA20" s="300">
        <v>22.277999999999999</v>
      </c>
      <c r="AB20" s="301">
        <v>23.503333333333337</v>
      </c>
      <c r="AC20" s="301"/>
      <c r="AD20" s="255"/>
      <c r="AG20" s="18" t="s">
        <v>200</v>
      </c>
      <c r="AI20" s="255"/>
      <c r="AJ20" s="255"/>
      <c r="AK20" s="300">
        <v>2.0888888888888895</v>
      </c>
      <c r="AL20" s="301">
        <v>1.9666666666666666</v>
      </c>
      <c r="AM20" s="301"/>
      <c r="AN20" s="255"/>
      <c r="AO20" s="255"/>
      <c r="AP20" s="300">
        <v>-1.3834444444444445</v>
      </c>
      <c r="AQ20" s="301">
        <v>-1.3006666666666664</v>
      </c>
      <c r="AR20" s="301"/>
      <c r="AS20" s="255"/>
      <c r="AT20" s="255"/>
      <c r="AU20" s="300">
        <v>0.63500000000000012</v>
      </c>
      <c r="AV20" s="301">
        <v>0.62988888888888894</v>
      </c>
      <c r="AW20" s="301"/>
      <c r="AX20" s="255"/>
      <c r="AY20" s="255"/>
      <c r="AZ20" s="255"/>
      <c r="BA20" s="255"/>
      <c r="BB20" s="300">
        <v>-0.70599197600624741</v>
      </c>
      <c r="BC20" s="301">
        <v>-0.59070530020211554</v>
      </c>
      <c r="BD20" s="301"/>
      <c r="BE20" s="255"/>
      <c r="BF20" s="255"/>
      <c r="BG20" s="300">
        <v>4.1642534011239798</v>
      </c>
      <c r="BH20" s="301">
        <v>4.2762182990689102</v>
      </c>
      <c r="BI20" s="301"/>
      <c r="BJ20" s="255"/>
      <c r="BK20" s="255"/>
      <c r="BL20" s="255"/>
      <c r="BM20" s="255"/>
    </row>
    <row r="21" spans="1:65" ht="15" x14ac:dyDescent="0.25">
      <c r="A21" s="18" t="s">
        <v>163</v>
      </c>
      <c r="D21" s="255"/>
      <c r="E21" s="300">
        <v>1.9137077522733494</v>
      </c>
      <c r="F21" s="301">
        <v>2.39409501575114</v>
      </c>
      <c r="G21" s="255"/>
      <c r="H21" s="255"/>
      <c r="I21" s="255"/>
      <c r="J21" s="300">
        <v>2.5144329104414589</v>
      </c>
      <c r="K21" s="301">
        <v>1.6017724384082932</v>
      </c>
      <c r="L21" s="255"/>
      <c r="M21" s="255"/>
      <c r="N21" s="255"/>
      <c r="O21" s="300">
        <v>39.450475282308005</v>
      </c>
      <c r="P21" s="301">
        <v>38.220896698592107</v>
      </c>
      <c r="Q21" s="255"/>
      <c r="R21" s="255"/>
      <c r="S21" s="255"/>
      <c r="T21" s="300">
        <v>1.5847287710449935</v>
      </c>
      <c r="U21" s="301">
        <v>1.4815532390029054</v>
      </c>
      <c r="V21" s="255"/>
      <c r="W21" s="255"/>
      <c r="X21" s="255"/>
      <c r="Y21" s="255"/>
      <c r="Z21" s="255"/>
      <c r="AA21" s="300">
        <v>5.8341332261099552</v>
      </c>
      <c r="AB21" s="301">
        <v>7.5003912897927982</v>
      </c>
      <c r="AC21" s="301"/>
      <c r="AD21" s="255"/>
      <c r="AG21" s="18" t="s">
        <v>163</v>
      </c>
      <c r="AI21" s="255"/>
      <c r="AJ21" s="255"/>
      <c r="AK21" s="300">
        <v>2.9195224114760805</v>
      </c>
      <c r="AL21" s="301">
        <v>3.4124771061503107</v>
      </c>
      <c r="AM21" s="301"/>
      <c r="AN21" s="255"/>
      <c r="AO21" s="255"/>
      <c r="AP21" s="300">
        <v>4.5530548566624782</v>
      </c>
      <c r="AQ21" s="301">
        <v>5.5266005826366715</v>
      </c>
      <c r="AR21" s="301"/>
      <c r="AS21" s="255"/>
      <c r="AT21" s="255"/>
      <c r="AU21" s="300">
        <v>0.32678739265767276</v>
      </c>
      <c r="AV21" s="301">
        <v>0.33007402368425043</v>
      </c>
      <c r="AW21" s="301"/>
      <c r="AX21" s="255"/>
      <c r="AY21" s="255"/>
      <c r="AZ21" s="255"/>
      <c r="BA21" s="255"/>
      <c r="BB21" s="300">
        <v>1.2761206594597825</v>
      </c>
      <c r="BC21" s="301">
        <v>0.98994189907442631</v>
      </c>
      <c r="BD21" s="301"/>
      <c r="BE21" s="255"/>
      <c r="BF21" s="255"/>
      <c r="BG21" s="300">
        <v>0.10173320277308405</v>
      </c>
      <c r="BH21" s="301">
        <v>7.1949224296576436E-2</v>
      </c>
      <c r="BI21" s="301"/>
      <c r="BJ21" s="255"/>
      <c r="BK21" s="255"/>
      <c r="BL21" s="255"/>
      <c r="BM21" s="255"/>
    </row>
    <row r="22" spans="1:65" x14ac:dyDescent="0.2">
      <c r="D22" s="255"/>
      <c r="E22" s="255"/>
      <c r="F22" s="255"/>
      <c r="G22" s="255"/>
      <c r="H22" s="255"/>
      <c r="I22" s="255"/>
      <c r="J22" s="255"/>
      <c r="K22" s="255"/>
      <c r="L22" s="255"/>
      <c r="M22" s="255"/>
      <c r="N22" s="255"/>
      <c r="O22" s="255"/>
      <c r="P22" s="255"/>
      <c r="Q22" s="255"/>
      <c r="R22" s="255"/>
      <c r="S22" s="255"/>
      <c r="T22" s="255"/>
      <c r="U22" s="255"/>
      <c r="V22" s="255"/>
      <c r="W22" s="255"/>
      <c r="X22" s="255"/>
      <c r="Y22" s="255"/>
      <c r="Z22" s="255"/>
      <c r="AA22" s="255"/>
      <c r="AB22" s="255"/>
      <c r="AC22" s="255"/>
      <c r="AD22" s="255"/>
      <c r="AI22" s="255"/>
      <c r="AJ22" s="255"/>
      <c r="AK22" s="255"/>
      <c r="AL22" s="255"/>
      <c r="AM22" s="255"/>
      <c r="AN22" s="255"/>
      <c r="AO22" s="255"/>
      <c r="AP22" s="255"/>
      <c r="AQ22" s="255"/>
      <c r="AR22" s="255"/>
      <c r="AS22" s="255"/>
      <c r="AT22" s="255"/>
      <c r="AU22" s="255"/>
      <c r="AV22" s="255"/>
      <c r="AW22" s="255"/>
      <c r="AX22" s="255"/>
      <c r="AY22" s="255"/>
      <c r="AZ22" s="255"/>
      <c r="BA22" s="255"/>
      <c r="BB22" s="255"/>
      <c r="BC22" s="255"/>
      <c r="BD22" s="255"/>
      <c r="BE22" s="255"/>
      <c r="BF22" s="255"/>
      <c r="BG22" s="255"/>
      <c r="BH22" s="255"/>
      <c r="BI22" s="255"/>
      <c r="BJ22" s="255"/>
      <c r="BK22" s="255"/>
      <c r="BL22" s="255"/>
      <c r="BM22" s="255"/>
    </row>
    <row r="23" spans="1:65" x14ac:dyDescent="0.2">
      <c r="A23" s="19" t="s">
        <v>208</v>
      </c>
      <c r="B23" s="19" t="s">
        <v>65</v>
      </c>
      <c r="D23" s="255">
        <v>16.2</v>
      </c>
      <c r="E23" s="255">
        <v>11.702999999999999</v>
      </c>
      <c r="F23" s="255">
        <v>11.503</v>
      </c>
      <c r="G23" s="255">
        <v>1.6523281480901277</v>
      </c>
      <c r="H23" s="255"/>
      <c r="I23" s="255">
        <v>4.6615000000000002</v>
      </c>
      <c r="J23" s="255">
        <v>5.1470000000000002</v>
      </c>
      <c r="K23" s="255">
        <v>1</v>
      </c>
      <c r="L23" s="255">
        <v>1.7024576180261657</v>
      </c>
      <c r="M23" s="255"/>
      <c r="N23" s="255">
        <v>76.8</v>
      </c>
      <c r="O23" s="255">
        <v>73.5</v>
      </c>
      <c r="P23" s="255">
        <v>74.5</v>
      </c>
      <c r="Q23" s="255">
        <v>-1.2779788652143398</v>
      </c>
      <c r="R23" s="255"/>
      <c r="S23" s="255">
        <v>-7.3000000000000007</v>
      </c>
      <c r="T23" s="255">
        <v>-9.1</v>
      </c>
      <c r="U23" s="255">
        <v>-8.4</v>
      </c>
      <c r="V23" s="255">
        <v>1.6782826466651397</v>
      </c>
      <c r="W23" s="255"/>
      <c r="X23" s="255">
        <v>-0.48631432933863283</v>
      </c>
      <c r="Y23" s="255"/>
      <c r="Z23" s="255">
        <v>16.844000000000001</v>
      </c>
      <c r="AA23" s="255">
        <v>16.911000000000001</v>
      </c>
      <c r="AB23" s="255">
        <v>15.273</v>
      </c>
      <c r="AC23" s="255">
        <v>0.68029849651203245</v>
      </c>
      <c r="AD23" s="255"/>
      <c r="AG23" s="19" t="s">
        <v>208</v>
      </c>
      <c r="AH23" s="19" t="s">
        <v>65</v>
      </c>
      <c r="AI23" s="255"/>
      <c r="AJ23" s="255">
        <v>3.6666666666666665</v>
      </c>
      <c r="AK23" s="255">
        <v>2.4</v>
      </c>
      <c r="AL23" s="255">
        <v>1.6</v>
      </c>
      <c r="AM23" s="255">
        <v>0.26341356784321152</v>
      </c>
      <c r="AN23" s="255"/>
      <c r="AO23" s="255">
        <v>-2.3460000000000001</v>
      </c>
      <c r="AP23" s="255">
        <v>-1.976</v>
      </c>
      <c r="AQ23" s="255">
        <v>-2.0739999999999998</v>
      </c>
      <c r="AR23" s="255">
        <v>0.14592734444469524</v>
      </c>
      <c r="AS23" s="255"/>
      <c r="AT23" s="255">
        <v>0.94500000000000006</v>
      </c>
      <c r="AU23" s="255">
        <v>0.99</v>
      </c>
      <c r="AV23" s="255">
        <v>0.97099999999999997</v>
      </c>
      <c r="AW23" s="255">
        <v>-1.1356387216723074</v>
      </c>
      <c r="AX23" s="255"/>
      <c r="AY23" s="255">
        <v>1.4590667777206379</v>
      </c>
      <c r="AZ23" s="255"/>
      <c r="BA23" s="255"/>
      <c r="BB23" s="255">
        <v>-0.14484419924220371</v>
      </c>
      <c r="BC23" s="255">
        <v>0.35364858771665064</v>
      </c>
      <c r="BD23" s="255">
        <v>0.27435398989969606</v>
      </c>
      <c r="BE23" s="255"/>
      <c r="BF23" s="255"/>
      <c r="BG23" s="255">
        <v>4.0448785133673955</v>
      </c>
      <c r="BH23" s="255">
        <v>3.8790840470507622</v>
      </c>
      <c r="BI23" s="255">
        <v>-1.5049546307715644</v>
      </c>
      <c r="BJ23" s="255"/>
      <c r="BK23" s="255">
        <v>1.1629190619103453</v>
      </c>
      <c r="BL23" s="255"/>
      <c r="BM23" s="255">
        <v>2.1356715102923505</v>
      </c>
    </row>
    <row r="24" spans="1:65" x14ac:dyDescent="0.2">
      <c r="A24" s="19" t="s">
        <v>206</v>
      </c>
      <c r="B24" s="19" t="s">
        <v>2</v>
      </c>
      <c r="D24" s="255">
        <v>4.8</v>
      </c>
      <c r="E24" s="255">
        <v>5.133</v>
      </c>
      <c r="F24" s="255">
        <v>7.1470000000000002</v>
      </c>
      <c r="G24" s="255">
        <v>-5.6165351026990752E-2</v>
      </c>
      <c r="H24" s="255"/>
      <c r="I24" s="255">
        <v>4.5609999999999999</v>
      </c>
      <c r="J24" s="255">
        <v>6.1050000000000004</v>
      </c>
      <c r="K24" s="255">
        <v>6.2</v>
      </c>
      <c r="L24" s="255">
        <v>-0.93968994173508946</v>
      </c>
      <c r="M24" s="255"/>
      <c r="N24" s="255">
        <v>127.5</v>
      </c>
      <c r="O24" s="255">
        <v>116.9</v>
      </c>
      <c r="P24" s="255">
        <v>110.4</v>
      </c>
      <c r="Q24" s="255">
        <v>-5.3220689528413113E-2</v>
      </c>
      <c r="R24" s="255"/>
      <c r="S24" s="255">
        <v>-1.6</v>
      </c>
      <c r="T24" s="255">
        <v>-1.3</v>
      </c>
      <c r="U24" s="255">
        <v>-1.6</v>
      </c>
      <c r="V24" s="255">
        <v>-0.55068649343699883</v>
      </c>
      <c r="W24" s="255"/>
      <c r="X24" s="255">
        <v>0.51786493257383792</v>
      </c>
      <c r="Y24" s="255"/>
      <c r="Z24" s="255">
        <v>33.576999999999998</v>
      </c>
      <c r="AA24" s="255">
        <v>33.378</v>
      </c>
      <c r="AB24" s="255">
        <v>34.338999999999999</v>
      </c>
      <c r="AC24" s="255">
        <v>-1.7028586589832098</v>
      </c>
      <c r="AD24" s="255"/>
      <c r="AG24" s="19" t="s">
        <v>206</v>
      </c>
      <c r="AH24" s="19" t="s">
        <v>2</v>
      </c>
      <c r="AI24" s="255"/>
      <c r="AJ24" s="255">
        <v>0.74</v>
      </c>
      <c r="AK24" s="255">
        <v>1.4</v>
      </c>
      <c r="AL24" s="255">
        <v>1.4</v>
      </c>
      <c r="AM24" s="255">
        <v>0.36472647855213913</v>
      </c>
      <c r="AN24" s="255"/>
      <c r="AO24" s="255">
        <v>2.5830000000000002</v>
      </c>
      <c r="AP24" s="255">
        <v>0.89100000000000001</v>
      </c>
      <c r="AQ24" s="255">
        <v>0.88900000000000001</v>
      </c>
      <c r="AR24" s="255">
        <v>-0.57041248588935389</v>
      </c>
      <c r="AS24" s="255"/>
      <c r="AT24" s="255">
        <v>0.41499999999999998</v>
      </c>
      <c r="AU24" s="255">
        <v>0.49099999999999999</v>
      </c>
      <c r="AV24" s="255">
        <v>0.56999999999999995</v>
      </c>
      <c r="AW24" s="255">
        <v>0.33147186914790933</v>
      </c>
      <c r="AX24" s="255"/>
      <c r="AY24" s="255">
        <v>-0.19557488116347577</v>
      </c>
      <c r="AZ24" s="255"/>
      <c r="BA24" s="255"/>
      <c r="BB24" s="255">
        <v>1.2619783874642658</v>
      </c>
      <c r="BC24" s="255">
        <v>1.0052104312042225</v>
      </c>
      <c r="BD24" s="255">
        <v>1.3594366034643572</v>
      </c>
      <c r="BE24" s="255"/>
      <c r="BF24" s="255"/>
      <c r="BG24" s="255">
        <v>4.2618235870149892</v>
      </c>
      <c r="BH24" s="255">
        <v>4.3768297143171431</v>
      </c>
      <c r="BI24" s="255">
        <v>1.0341342540449932</v>
      </c>
      <c r="BJ24" s="255"/>
      <c r="BK24" s="255">
        <v>0.52488664681254804</v>
      </c>
      <c r="BL24" s="255"/>
      <c r="BM24" s="255">
        <v>0.8471766982229102</v>
      </c>
    </row>
    <row r="25" spans="1:65" x14ac:dyDescent="0.2">
      <c r="A25" s="19" t="s">
        <v>206</v>
      </c>
      <c r="B25" s="19" t="s">
        <v>4</v>
      </c>
      <c r="D25" s="255">
        <v>3.2</v>
      </c>
      <c r="E25" s="255">
        <v>3.7970000000000002</v>
      </c>
      <c r="F25" s="255">
        <v>4.91</v>
      </c>
      <c r="G25" s="255">
        <v>-0.93355285275449174</v>
      </c>
      <c r="H25" s="255"/>
      <c r="I25" s="255">
        <v>1.0605</v>
      </c>
      <c r="J25" s="255">
        <v>7.3339999999999996</v>
      </c>
      <c r="K25" s="255">
        <v>4.9530000000000003</v>
      </c>
      <c r="L25" s="255">
        <v>-0.30608263269234243</v>
      </c>
      <c r="M25" s="255"/>
      <c r="N25" s="255">
        <v>100.4</v>
      </c>
      <c r="O25" s="255">
        <v>95.1</v>
      </c>
      <c r="P25" s="255">
        <v>94.5</v>
      </c>
      <c r="Q25" s="255">
        <v>-0.59566233279878189</v>
      </c>
      <c r="R25" s="255"/>
      <c r="S25" s="255">
        <v>-3.9</v>
      </c>
      <c r="T25" s="255">
        <v>-4</v>
      </c>
      <c r="U25" s="255">
        <v>-3.3</v>
      </c>
      <c r="V25" s="255">
        <v>6.5557915885357063E-3</v>
      </c>
      <c r="W25" s="255"/>
      <c r="X25" s="255">
        <v>-0.85430167380889144</v>
      </c>
      <c r="Y25" s="255"/>
      <c r="Z25" s="255">
        <v>20.451000000000001</v>
      </c>
      <c r="AA25" s="255">
        <v>20.106000000000002</v>
      </c>
      <c r="AB25" s="255">
        <v>18.661000000000001</v>
      </c>
      <c r="AC25" s="255">
        <v>0.25681499484320397</v>
      </c>
      <c r="AD25" s="255"/>
      <c r="AG25" s="19" t="s">
        <v>206</v>
      </c>
      <c r="AH25" s="19" t="s">
        <v>4</v>
      </c>
      <c r="AI25" s="255"/>
      <c r="AJ25" s="255">
        <v>2.12</v>
      </c>
      <c r="AK25" s="255">
        <v>0.6</v>
      </c>
      <c r="AL25" s="255">
        <v>0.7</v>
      </c>
      <c r="AM25" s="255">
        <v>0.71932166603338543</v>
      </c>
      <c r="AN25" s="255"/>
      <c r="AO25" s="255">
        <v>5.8049999999999997</v>
      </c>
      <c r="AP25" s="255">
        <v>4.4859999999999998</v>
      </c>
      <c r="AQ25" s="255">
        <v>2.915</v>
      </c>
      <c r="AR25" s="255">
        <v>-1.0602216307617074</v>
      </c>
      <c r="AS25" s="255"/>
      <c r="AT25" s="255">
        <v>0.78</v>
      </c>
      <c r="AU25" s="255">
        <v>0.89200000000000002</v>
      </c>
      <c r="AV25" s="255">
        <v>0.89500000000000002</v>
      </c>
      <c r="AW25" s="255">
        <v>-0.85758284909790239</v>
      </c>
      <c r="AX25" s="255"/>
      <c r="AY25" s="255">
        <v>1.2550104580065313</v>
      </c>
      <c r="AZ25" s="255"/>
      <c r="BA25" s="255"/>
      <c r="BB25" s="255">
        <v>0.46141702574642507</v>
      </c>
      <c r="BC25" s="255">
        <v>0.25929215761190327</v>
      </c>
      <c r="BD25" s="255">
        <v>0.11721691564030773</v>
      </c>
      <c r="BE25" s="255"/>
      <c r="BF25" s="255"/>
      <c r="BG25" s="255">
        <v>3.9048643674584222</v>
      </c>
      <c r="BH25" s="255">
        <v>4.0829310237089871</v>
      </c>
      <c r="BI25" s="255">
        <v>-0.46509506659104805</v>
      </c>
      <c r="BJ25" s="255"/>
      <c r="BK25" s="255">
        <v>0.38712918214295933</v>
      </c>
      <c r="BL25" s="255"/>
      <c r="BM25" s="255">
        <v>0.78783796634059922</v>
      </c>
    </row>
    <row r="26" spans="1:65" x14ac:dyDescent="0.2">
      <c r="A26" s="19" t="s">
        <v>206</v>
      </c>
      <c r="B26" s="19" t="s">
        <v>14</v>
      </c>
      <c r="D26" s="255">
        <v>6.3</v>
      </c>
      <c r="E26" s="255">
        <v>8.5660000000000007</v>
      </c>
      <c r="F26" s="255">
        <v>5.69</v>
      </c>
      <c r="G26" s="255">
        <v>-0.62762426475831334</v>
      </c>
      <c r="H26" s="255"/>
      <c r="I26" s="255">
        <v>-4.6879999999999997</v>
      </c>
      <c r="J26" s="255">
        <v>8.1999999999999993</v>
      </c>
      <c r="K26" s="255">
        <v>4.5999999999999996</v>
      </c>
      <c r="L26" s="255">
        <v>-0.12672146180854924</v>
      </c>
      <c r="M26" s="255"/>
      <c r="N26" s="255">
        <v>181.8</v>
      </c>
      <c r="O26" s="255">
        <v>164</v>
      </c>
      <c r="P26" s="255">
        <v>148.30000000000001</v>
      </c>
      <c r="Q26" s="255">
        <v>1.2397691393990693</v>
      </c>
      <c r="R26" s="255"/>
      <c r="S26" s="255">
        <v>-5.5</v>
      </c>
      <c r="T26" s="255">
        <v>-3.6</v>
      </c>
      <c r="U26" s="255">
        <v>-2.6</v>
      </c>
      <c r="V26" s="255">
        <v>-0.22289691401021372</v>
      </c>
      <c r="W26" s="255"/>
      <c r="X26" s="255">
        <v>0.13489059054488067</v>
      </c>
      <c r="Y26" s="255"/>
      <c r="Z26" s="255">
        <v>12.598000000000001</v>
      </c>
      <c r="AA26" s="255">
        <v>13.819000000000001</v>
      </c>
      <c r="AB26" s="255">
        <v>14.667999999999999</v>
      </c>
      <c r="AC26" s="255">
        <v>0.75592055038146622</v>
      </c>
      <c r="AD26" s="255"/>
      <c r="AG26" s="19" t="s">
        <v>206</v>
      </c>
      <c r="AH26" s="19" t="s">
        <v>14</v>
      </c>
      <c r="AI26" s="255"/>
      <c r="AJ26" s="255">
        <v>0.98000000000000009</v>
      </c>
      <c r="AK26" s="255">
        <v>1.1000000000000001</v>
      </c>
      <c r="AL26" s="255">
        <v>1.3</v>
      </c>
      <c r="AM26" s="255">
        <v>0.41538293390660286</v>
      </c>
      <c r="AN26" s="255"/>
      <c r="AO26" s="255">
        <v>-2.327</v>
      </c>
      <c r="AP26" s="255">
        <v>-6.5460000000000003</v>
      </c>
      <c r="AQ26" s="255">
        <v>-8.0350000000000001</v>
      </c>
      <c r="AR26" s="255">
        <v>1.5870686635878837</v>
      </c>
      <c r="AS26" s="255"/>
      <c r="AT26" s="255">
        <v>0.26</v>
      </c>
      <c r="AU26" s="255">
        <v>0.28899999999999998</v>
      </c>
      <c r="AV26" s="255">
        <v>0.29899999999999999</v>
      </c>
      <c r="AW26" s="255">
        <v>1.3229605726698013</v>
      </c>
      <c r="AX26" s="255"/>
      <c r="AY26" s="255">
        <v>-2.4518443109271493</v>
      </c>
      <c r="AZ26" s="255"/>
      <c r="BA26" s="255"/>
      <c r="BB26" s="255">
        <v>-0.69175642570341656</v>
      </c>
      <c r="BC26" s="255">
        <v>-0.64589418372316565</v>
      </c>
      <c r="BD26" s="255">
        <v>-1.3902408503969463</v>
      </c>
      <c r="BE26" s="255"/>
      <c r="BF26" s="255"/>
      <c r="BG26" s="255">
        <v>4.1608594699504176</v>
      </c>
      <c r="BH26" s="255">
        <v>4.2806376683966647</v>
      </c>
      <c r="BI26" s="255">
        <v>0.54344157570222151</v>
      </c>
      <c r="BJ26" s="255"/>
      <c r="BK26" s="255">
        <v>-1.5242874280818985</v>
      </c>
      <c r="BL26" s="255"/>
      <c r="BM26" s="255">
        <v>-3.8412411484641673</v>
      </c>
    </row>
    <row r="27" spans="1:65" x14ac:dyDescent="0.2">
      <c r="A27" s="19" t="s">
        <v>206</v>
      </c>
      <c r="B27" s="19" t="s">
        <v>72</v>
      </c>
      <c r="D27" s="255">
        <v>7.1</v>
      </c>
      <c r="E27" s="255">
        <v>6.7</v>
      </c>
      <c r="F27" s="255">
        <v>7.2009999999999996</v>
      </c>
      <c r="G27" s="255">
        <v>-3.4985679550332507E-2</v>
      </c>
      <c r="H27" s="255"/>
      <c r="I27" s="255">
        <v>2.7195</v>
      </c>
      <c r="J27" s="255">
        <v>8.468</v>
      </c>
      <c r="K27" s="255">
        <v>5</v>
      </c>
      <c r="L27" s="255">
        <v>-0.32996358179018442</v>
      </c>
      <c r="M27" s="255"/>
      <c r="N27" s="255">
        <v>164.7</v>
      </c>
      <c r="O27" s="255">
        <v>141.5</v>
      </c>
      <c r="P27" s="255">
        <v>132.1</v>
      </c>
      <c r="Q27" s="255">
        <v>0.68709274814246679</v>
      </c>
      <c r="R27" s="255"/>
      <c r="S27" s="255">
        <v>-1.7</v>
      </c>
      <c r="T27" s="255">
        <v>-0.8</v>
      </c>
      <c r="U27" s="255">
        <v>-0.5</v>
      </c>
      <c r="V27" s="255">
        <v>-0.91125503080646231</v>
      </c>
      <c r="W27" s="255"/>
      <c r="X27" s="255">
        <v>0.68786048002880573</v>
      </c>
      <c r="Y27" s="255"/>
      <c r="Z27" s="255">
        <v>17.773</v>
      </c>
      <c r="AA27" s="255">
        <v>18.353000000000002</v>
      </c>
      <c r="AB27" s="255">
        <v>20.637</v>
      </c>
      <c r="AC27" s="255">
        <v>9.8246172465084325E-3</v>
      </c>
      <c r="AD27" s="255"/>
      <c r="AG27" s="19" t="s">
        <v>206</v>
      </c>
      <c r="AH27" s="19" t="s">
        <v>72</v>
      </c>
      <c r="AI27" s="255"/>
      <c r="AJ27" s="255">
        <v>3.65</v>
      </c>
      <c r="AK27" s="255">
        <v>5.8</v>
      </c>
      <c r="AL27" s="255">
        <v>5.6</v>
      </c>
      <c r="AM27" s="255">
        <v>-1.7628446463353384</v>
      </c>
      <c r="AN27" s="255"/>
      <c r="AO27" s="255">
        <v>0.56799999999999995</v>
      </c>
      <c r="AP27" s="255">
        <v>0.48899999999999999</v>
      </c>
      <c r="AQ27" s="255">
        <v>-1.0469999999999999</v>
      </c>
      <c r="AR27" s="255">
        <v>-0.10236189138151752</v>
      </c>
      <c r="AS27" s="255"/>
      <c r="AT27" s="255">
        <v>0.58000000000000007</v>
      </c>
      <c r="AU27" s="255">
        <v>0.6</v>
      </c>
      <c r="AV27" s="255">
        <v>0.56799999999999995</v>
      </c>
      <c r="AW27" s="255">
        <v>0.33878912895249896</v>
      </c>
      <c r="AX27" s="255"/>
      <c r="AY27" s="255">
        <v>-6.6658043636544262E-2</v>
      </c>
      <c r="AZ27" s="255"/>
      <c r="BA27" s="255"/>
      <c r="BB27" s="255">
        <v>1.8206734828811058</v>
      </c>
      <c r="BC27" s="255">
        <v>-2.7723646438730931E-2</v>
      </c>
      <c r="BD27" s="255">
        <v>-0.36076665860741486</v>
      </c>
      <c r="BE27" s="255"/>
      <c r="BF27" s="255"/>
      <c r="BG27" s="255">
        <v>4.0991704949173657</v>
      </c>
      <c r="BH27" s="255">
        <v>4.2510429885700924</v>
      </c>
      <c r="BI27" s="255">
        <v>0.39247386761539338</v>
      </c>
      <c r="BJ27" s="255"/>
      <c r="BK27" s="255">
        <v>-0.5506474627839516</v>
      </c>
      <c r="BL27" s="255"/>
      <c r="BM27" s="255">
        <v>7.0554973608309868E-2</v>
      </c>
    </row>
    <row r="28" spans="1:65" ht="15" x14ac:dyDescent="0.25">
      <c r="A28" s="18" t="s">
        <v>200</v>
      </c>
      <c r="D28" s="255"/>
      <c r="E28" s="300">
        <v>7.1798000000000002</v>
      </c>
      <c r="F28" s="301">
        <v>7.2902000000000005</v>
      </c>
      <c r="G28" s="301"/>
      <c r="H28" s="301"/>
      <c r="I28" s="301"/>
      <c r="J28" s="300">
        <v>7.0507999999999997</v>
      </c>
      <c r="K28" s="301">
        <v>4.3506</v>
      </c>
      <c r="L28" s="301"/>
      <c r="M28" s="301"/>
      <c r="N28" s="301"/>
      <c r="O28" s="300">
        <v>118.2</v>
      </c>
      <c r="P28" s="301">
        <v>111.96</v>
      </c>
      <c r="Q28" s="301"/>
      <c r="R28" s="301"/>
      <c r="S28" s="301"/>
      <c r="T28" s="300">
        <v>-3.7600000000000002</v>
      </c>
      <c r="U28" s="301">
        <v>-3.28</v>
      </c>
      <c r="V28" s="255"/>
      <c r="W28" s="301"/>
      <c r="X28" s="255"/>
      <c r="Y28" s="255"/>
      <c r="Z28" s="255"/>
      <c r="AA28" s="300">
        <v>20.513400000000001</v>
      </c>
      <c r="AB28" s="301">
        <v>20.715600000000002</v>
      </c>
      <c r="AC28" s="301"/>
      <c r="AD28" s="301"/>
      <c r="AG28" s="18" t="s">
        <v>200</v>
      </c>
      <c r="AI28" s="255"/>
      <c r="AJ28" s="255"/>
      <c r="AK28" s="300">
        <v>2.2600000000000002</v>
      </c>
      <c r="AL28" s="301">
        <v>2.12</v>
      </c>
      <c r="AM28" s="301"/>
      <c r="AN28" s="301"/>
      <c r="AO28" s="255"/>
      <c r="AP28" s="300">
        <v>-0.53120000000000012</v>
      </c>
      <c r="AQ28" s="301">
        <v>-1.4703999999999999</v>
      </c>
      <c r="AR28" s="301"/>
      <c r="AS28" s="301"/>
      <c r="AT28" s="255"/>
      <c r="AU28" s="300">
        <v>0.65239999999999998</v>
      </c>
      <c r="AV28" s="301">
        <v>0.66059999999999997</v>
      </c>
      <c r="AW28" s="301"/>
      <c r="AX28" s="301"/>
      <c r="AY28" s="255"/>
      <c r="AZ28" s="255"/>
      <c r="BA28" s="255"/>
      <c r="BB28" s="300">
        <v>0.54149365422923523</v>
      </c>
      <c r="BC28" s="301">
        <v>0.18890666927417599</v>
      </c>
      <c r="BD28" s="301"/>
      <c r="BE28" s="255"/>
      <c r="BF28" s="255"/>
      <c r="BG28" s="300">
        <v>4.094319286541718</v>
      </c>
      <c r="BH28" s="301">
        <v>4.1741050884087301</v>
      </c>
      <c r="BI28" s="301"/>
      <c r="BJ28" s="255"/>
      <c r="BK28" s="255"/>
      <c r="BL28" s="255"/>
      <c r="BM28" s="255"/>
    </row>
    <row r="29" spans="1:65" ht="15" x14ac:dyDescent="0.25">
      <c r="A29" s="18" t="s">
        <v>163</v>
      </c>
      <c r="D29" s="255"/>
      <c r="E29" s="300">
        <v>3.0920795106206427</v>
      </c>
      <c r="F29" s="301">
        <v>2.5496146179373862</v>
      </c>
      <c r="G29" s="301"/>
      <c r="H29" s="301"/>
      <c r="I29" s="301"/>
      <c r="J29" s="300">
        <v>1.407862812918931</v>
      </c>
      <c r="K29" s="301">
        <v>1.9680959834317024</v>
      </c>
      <c r="L29" s="301"/>
      <c r="M29" s="301"/>
      <c r="N29" s="301"/>
      <c r="O29" s="300">
        <v>35.964982969549695</v>
      </c>
      <c r="P29" s="301">
        <v>29.311908842653111</v>
      </c>
      <c r="Q29" s="301"/>
      <c r="R29" s="301"/>
      <c r="S29" s="301"/>
      <c r="T29" s="300">
        <v>3.2943891694819527</v>
      </c>
      <c r="U29" s="301">
        <v>3.0507376157250894</v>
      </c>
      <c r="V29" s="255"/>
      <c r="W29" s="301"/>
      <c r="X29" s="255"/>
      <c r="Y29" s="255"/>
      <c r="Z29" s="255"/>
      <c r="AA29" s="300">
        <v>7.5518791237678009</v>
      </c>
      <c r="AB29" s="301">
        <v>8.0003116689289033</v>
      </c>
      <c r="AC29" s="301"/>
      <c r="AD29" s="301"/>
      <c r="AG29" s="18" t="s">
        <v>163</v>
      </c>
      <c r="AI29" s="255"/>
      <c r="AJ29" s="255"/>
      <c r="AK29" s="300">
        <v>2.0851858430365384</v>
      </c>
      <c r="AL29" s="301">
        <v>1.9740820651634516</v>
      </c>
      <c r="AM29" s="301"/>
      <c r="AN29" s="301"/>
      <c r="AO29" s="255"/>
      <c r="AP29" s="300">
        <v>4.0774079634002778</v>
      </c>
      <c r="AQ29" s="301">
        <v>4.1363049694141267</v>
      </c>
      <c r="AR29" s="301"/>
      <c r="AS29" s="301"/>
      <c r="AT29" s="255"/>
      <c r="AU29" s="300">
        <v>0.2882001040943602</v>
      </c>
      <c r="AV29" s="301">
        <v>0.27332636169970881</v>
      </c>
      <c r="AW29" s="301"/>
      <c r="AX29" s="301"/>
      <c r="AY29" s="255"/>
      <c r="AZ29" s="255"/>
      <c r="BA29" s="255"/>
      <c r="BB29" s="300">
        <v>1.0190408431517146</v>
      </c>
      <c r="BC29" s="301">
        <v>0.6004721072316257</v>
      </c>
      <c r="BD29" s="301"/>
      <c r="BE29" s="255"/>
      <c r="BF29" s="255"/>
      <c r="BG29" s="300">
        <v>0.13308491398796879</v>
      </c>
      <c r="BH29" s="301">
        <v>0.19603317955619412</v>
      </c>
      <c r="BI29" s="301"/>
      <c r="BJ29" s="255"/>
      <c r="BK29" s="255"/>
      <c r="BL29" s="255"/>
      <c r="BM29" s="255"/>
    </row>
    <row r="30" spans="1:65" x14ac:dyDescent="0.2">
      <c r="D30" s="255"/>
      <c r="E30" s="255"/>
      <c r="F30" s="255"/>
      <c r="G30" s="255"/>
      <c r="H30" s="255"/>
      <c r="I30" s="255"/>
      <c r="J30" s="255"/>
      <c r="K30" s="255"/>
      <c r="L30" s="255"/>
      <c r="M30" s="255"/>
      <c r="N30" s="255"/>
      <c r="O30" s="255"/>
      <c r="P30" s="255"/>
      <c r="Q30" s="255"/>
      <c r="R30" s="255"/>
      <c r="S30" s="255"/>
      <c r="T30" s="255"/>
      <c r="U30" s="255"/>
      <c r="V30" s="255"/>
      <c r="W30" s="255"/>
      <c r="X30" s="255"/>
      <c r="Y30" s="255"/>
      <c r="Z30" s="255"/>
      <c r="AA30" s="255"/>
      <c r="AB30" s="255"/>
      <c r="AC30" s="255"/>
      <c r="AD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row>
    <row r="31" spans="1:65" x14ac:dyDescent="0.2">
      <c r="A31" s="19" t="s">
        <v>207</v>
      </c>
      <c r="B31" s="19" t="s">
        <v>10</v>
      </c>
      <c r="D31" s="255">
        <v>6.3</v>
      </c>
      <c r="E31" s="255">
        <v>10.461</v>
      </c>
      <c r="F31" s="255">
        <v>10.239000000000001</v>
      </c>
      <c r="G31" s="255">
        <v>-0.30319021895282083</v>
      </c>
      <c r="H31" s="255"/>
      <c r="I31" s="255">
        <v>0.84250000000000003</v>
      </c>
      <c r="J31" s="255">
        <v>9.1609999999999996</v>
      </c>
      <c r="K31" s="255">
        <v>6.0019999999999998</v>
      </c>
      <c r="L31" s="255">
        <v>-0.76288593429029006</v>
      </c>
      <c r="M31" s="255"/>
      <c r="N31" s="255">
        <v>165.1</v>
      </c>
      <c r="O31" s="255">
        <v>139.69999999999999</v>
      </c>
      <c r="P31" s="255">
        <v>130.69999999999999</v>
      </c>
      <c r="Q31" s="255">
        <v>-0.21245977210353259</v>
      </c>
      <c r="R31" s="255"/>
      <c r="S31" s="255">
        <v>-1.5</v>
      </c>
      <c r="T31" s="255">
        <v>-1</v>
      </c>
      <c r="U31" s="255">
        <v>-0.7</v>
      </c>
      <c r="V31" s="255">
        <v>-1.6722691625323232</v>
      </c>
      <c r="W31" s="255"/>
      <c r="X31" s="255">
        <v>0.5381721665804271</v>
      </c>
      <c r="Y31" s="255"/>
      <c r="Z31" s="255">
        <v>22.721</v>
      </c>
      <c r="AA31" s="255">
        <v>22.893999999999998</v>
      </c>
      <c r="AB31" s="255">
        <v>22.861000000000001</v>
      </c>
      <c r="AC31" s="255">
        <v>9.9564600611692824E-2</v>
      </c>
      <c r="AD31" s="255"/>
      <c r="AG31" s="19" t="s">
        <v>207</v>
      </c>
      <c r="AH31" s="19" t="s">
        <v>10</v>
      </c>
      <c r="AI31" s="255"/>
      <c r="AJ31" s="255">
        <v>0.74</v>
      </c>
      <c r="AK31" s="255">
        <v>1.4</v>
      </c>
      <c r="AL31" s="255">
        <v>1.2</v>
      </c>
      <c r="AM31" s="255">
        <v>0.28331529878993156</v>
      </c>
      <c r="AN31" s="255"/>
      <c r="AO31" s="255">
        <v>1.758</v>
      </c>
      <c r="AP31" s="255">
        <v>0.88700000000000001</v>
      </c>
      <c r="AQ31" s="255">
        <v>0.114</v>
      </c>
      <c r="AR31" s="255">
        <v>-0.38507967373317015</v>
      </c>
      <c r="AS31" s="255"/>
      <c r="AT31" s="255">
        <v>0.36499999999999999</v>
      </c>
      <c r="AU31" s="255">
        <v>0.40699999999999997</v>
      </c>
      <c r="AV31" s="255">
        <v>0.36199999999999999</v>
      </c>
      <c r="AW31" s="255">
        <v>-0.31861198191808898</v>
      </c>
      <c r="AX31" s="255"/>
      <c r="AY31" s="255">
        <v>0.46016253893254389</v>
      </c>
      <c r="AZ31" s="255"/>
      <c r="BA31" s="255"/>
      <c r="BB31" s="255">
        <v>5.0495513269850276</v>
      </c>
      <c r="BC31" s="255">
        <v>4.673360822920543</v>
      </c>
      <c r="BD31" s="255">
        <v>6.5404281193106831E-2</v>
      </c>
      <c r="BE31" s="255"/>
      <c r="BF31" s="255"/>
      <c r="BG31" s="255">
        <v>3.9091766930715233</v>
      </c>
      <c r="BH31" s="255">
        <v>3.9945822170492189</v>
      </c>
      <c r="BI31" s="255">
        <v>0.22666210811443521</v>
      </c>
      <c r="BJ31" s="255"/>
      <c r="BK31" s="255">
        <v>-8.3864738893395241E-2</v>
      </c>
      <c r="BL31" s="255"/>
      <c r="BM31" s="255">
        <v>0.91446996661957569</v>
      </c>
    </row>
    <row r="32" spans="1:65" x14ac:dyDescent="0.2">
      <c r="A32" s="19" t="s">
        <v>207</v>
      </c>
      <c r="B32" s="19" t="s">
        <v>39</v>
      </c>
      <c r="D32" s="255">
        <v>5.2</v>
      </c>
      <c r="E32" s="255">
        <v>3.55</v>
      </c>
      <c r="F32" s="255">
        <v>3.5</v>
      </c>
      <c r="G32" s="255">
        <v>-1.1023404786981095</v>
      </c>
      <c r="H32" s="255"/>
      <c r="I32" s="255">
        <v>0.36199999999999999</v>
      </c>
      <c r="J32" s="255">
        <v>3.2</v>
      </c>
      <c r="K32" s="255">
        <v>3.2</v>
      </c>
      <c r="L32" s="255">
        <v>0.65007390661336917</v>
      </c>
      <c r="M32" s="255"/>
      <c r="N32" s="255">
        <v>85.8</v>
      </c>
      <c r="O32" s="255">
        <v>68.8</v>
      </c>
      <c r="P32" s="255">
        <v>78</v>
      </c>
      <c r="Q32" s="255">
        <v>-0.82334371543161566</v>
      </c>
      <c r="R32" s="255"/>
      <c r="S32" s="255">
        <v>-5.0999999999999996</v>
      </c>
      <c r="T32" s="255">
        <v>-3.7</v>
      </c>
      <c r="U32" s="255">
        <v>-6.2</v>
      </c>
      <c r="V32" s="255">
        <v>0.65200386120393816</v>
      </c>
      <c r="W32" s="255"/>
      <c r="X32" s="255">
        <v>-1.703191178368096</v>
      </c>
      <c r="Y32" s="255"/>
      <c r="Z32" s="255">
        <v>22.63</v>
      </c>
      <c r="AA32" s="255">
        <v>20.876999999999999</v>
      </c>
      <c r="AB32" s="255">
        <v>22.175000000000001</v>
      </c>
      <c r="AC32" s="255">
        <v>0.22980410269214721</v>
      </c>
      <c r="AD32" s="255"/>
      <c r="AG32" s="19" t="s">
        <v>207</v>
      </c>
      <c r="AH32" s="19" t="s">
        <v>39</v>
      </c>
      <c r="AI32" s="255"/>
      <c r="AJ32" s="255">
        <v>0.40000000000000008</v>
      </c>
      <c r="AK32" s="255">
        <v>0.3</v>
      </c>
      <c r="AL32" s="255">
        <v>0.9</v>
      </c>
      <c r="AM32" s="255">
        <v>0.38955853583615585</v>
      </c>
      <c r="AN32" s="255"/>
      <c r="AO32" s="255">
        <v>-0.71</v>
      </c>
      <c r="AP32" s="255">
        <v>-4.3630000000000004</v>
      </c>
      <c r="AQ32" s="255">
        <v>-4.0419999999999998</v>
      </c>
      <c r="AR32" s="255">
        <v>0.63650867828628854</v>
      </c>
      <c r="AS32" s="255"/>
      <c r="AT32" s="255">
        <v>0.245</v>
      </c>
      <c r="AU32" s="255">
        <v>0.106</v>
      </c>
      <c r="AV32" s="255">
        <v>0.11600000000000001</v>
      </c>
      <c r="AW32" s="255">
        <v>1.2268805050197962</v>
      </c>
      <c r="AX32" s="255"/>
      <c r="AY32" s="255">
        <v>-2.0363782762449603</v>
      </c>
      <c r="AZ32" s="255"/>
      <c r="BA32" s="255"/>
      <c r="BB32" s="255">
        <v>6.5633022071786584</v>
      </c>
      <c r="BC32" s="255">
        <v>5.5865411580444038</v>
      </c>
      <c r="BD32" s="255">
        <v>0.49407195827020828</v>
      </c>
      <c r="BE32" s="255"/>
      <c r="BF32" s="255"/>
      <c r="BG32" s="255">
        <v>3.5566525727499796</v>
      </c>
      <c r="BH32" s="255">
        <v>3.822890454121195</v>
      </c>
      <c r="BI32" s="255">
        <v>-0.32782197318224016</v>
      </c>
      <c r="BJ32" s="255"/>
      <c r="BK32" s="255">
        <v>0.62478773205559679</v>
      </c>
      <c r="BL32" s="255"/>
      <c r="BM32" s="255">
        <v>-3.114781722557459</v>
      </c>
    </row>
    <row r="33" spans="1:65" x14ac:dyDescent="0.2">
      <c r="A33" s="19" t="s">
        <v>207</v>
      </c>
      <c r="B33" s="19" t="s">
        <v>70</v>
      </c>
      <c r="D33" s="255">
        <v>20.8</v>
      </c>
      <c r="E33" s="255">
        <v>11.73</v>
      </c>
      <c r="F33" s="255">
        <v>15.5</v>
      </c>
      <c r="G33" s="255">
        <v>0.32069010698870787</v>
      </c>
      <c r="H33" s="255"/>
      <c r="I33" s="255">
        <v>3.5</v>
      </c>
      <c r="J33" s="255">
        <v>4.7919999999999998</v>
      </c>
      <c r="K33" s="255">
        <v>2.75</v>
      </c>
      <c r="L33" s="255">
        <v>0.87699465194050941</v>
      </c>
      <c r="M33" s="255"/>
      <c r="N33" s="255">
        <v>224.2</v>
      </c>
      <c r="O33" s="255">
        <v>260.8</v>
      </c>
      <c r="P33" s="255">
        <v>245.5</v>
      </c>
      <c r="Q33" s="255">
        <v>1.118270335943222</v>
      </c>
      <c r="R33" s="255"/>
      <c r="S33" s="255">
        <v>-4.95</v>
      </c>
      <c r="T33" s="255">
        <v>-5.0999999999999996</v>
      </c>
      <c r="U33" s="255">
        <v>-5</v>
      </c>
      <c r="V33" s="255">
        <v>0.14488974693420836</v>
      </c>
      <c r="W33" s="255"/>
      <c r="X33" s="255">
        <v>0.28483871330901561</v>
      </c>
      <c r="Y33" s="255"/>
      <c r="Z33" s="255">
        <v>13.239000000000001</v>
      </c>
      <c r="AA33" s="255">
        <v>14.321</v>
      </c>
      <c r="AB33" s="255">
        <v>17.347000000000001</v>
      </c>
      <c r="AC33" s="255">
        <v>1.146416808296278</v>
      </c>
      <c r="AD33" s="255"/>
      <c r="AG33" s="19" t="s">
        <v>207</v>
      </c>
      <c r="AH33" s="19" t="s">
        <v>70</v>
      </c>
      <c r="AI33" s="255"/>
      <c r="AJ33" s="255">
        <v>1.6</v>
      </c>
      <c r="AK33" s="255">
        <v>1.1000000000000001</v>
      </c>
      <c r="AL33" s="255">
        <v>1</v>
      </c>
      <c r="AM33" s="255">
        <v>0.35414412348741442</v>
      </c>
      <c r="AN33" s="255"/>
      <c r="AO33" s="255">
        <v>-5.7160000000000002</v>
      </c>
      <c r="AP33" s="255">
        <v>-2.2570000000000001</v>
      </c>
      <c r="AQ33" s="255">
        <v>-1.506</v>
      </c>
      <c r="AR33" s="255">
        <v>1.3133302751796963E-2</v>
      </c>
      <c r="AS33" s="255"/>
      <c r="AT33" s="255">
        <v>0.18</v>
      </c>
      <c r="AU33" s="255">
        <v>0.25</v>
      </c>
      <c r="AV33" s="255">
        <v>0.25900000000000001</v>
      </c>
      <c r="AW33" s="255">
        <v>0.32848446586484659</v>
      </c>
      <c r="AX33" s="255"/>
      <c r="AY33" s="255">
        <v>-0.73466646262275037</v>
      </c>
      <c r="AZ33" s="255"/>
      <c r="BA33" s="255"/>
      <c r="BB33" s="255">
        <v>5.6397135501311393</v>
      </c>
      <c r="BC33" s="255">
        <v>5.1927975935728927</v>
      </c>
      <c r="BD33" s="255">
        <v>0.30923974862438064</v>
      </c>
      <c r="BE33" s="255"/>
      <c r="BF33" s="255"/>
      <c r="BG33" s="255">
        <v>3.5818794414232413</v>
      </c>
      <c r="BH33" s="255">
        <v>3.5788048191142057</v>
      </c>
      <c r="BI33" s="255">
        <v>-1.1161043973152114</v>
      </c>
      <c r="BJ33" s="255"/>
      <c r="BK33" s="255">
        <v>0.95291331212508856</v>
      </c>
      <c r="BL33" s="255"/>
      <c r="BM33" s="255">
        <v>0.50308556281135375</v>
      </c>
    </row>
    <row r="34" spans="1:65" x14ac:dyDescent="0.2">
      <c r="A34" s="19" t="s">
        <v>207</v>
      </c>
      <c r="B34" s="19" t="s">
        <v>77</v>
      </c>
      <c r="D34" s="255">
        <v>3.4</v>
      </c>
      <c r="E34" s="255">
        <v>5.9409999999999998</v>
      </c>
      <c r="F34" s="255">
        <v>7.8979999999999997</v>
      </c>
      <c r="G34" s="255">
        <v>-0.58079976904389086</v>
      </c>
      <c r="H34" s="255"/>
      <c r="I34" s="255">
        <v>3.673</v>
      </c>
      <c r="J34" s="255">
        <v>9.1340000000000003</v>
      </c>
      <c r="K34" s="255">
        <v>6.95</v>
      </c>
      <c r="L34" s="255">
        <v>-1.2409323044461322</v>
      </c>
      <c r="M34" s="255"/>
      <c r="N34" s="255">
        <v>318</v>
      </c>
      <c r="O34" s="255">
        <v>287</v>
      </c>
      <c r="P34" s="255">
        <v>275</v>
      </c>
      <c r="Q34" s="255">
        <v>1.4602262434987903</v>
      </c>
      <c r="R34" s="255"/>
      <c r="S34" s="255">
        <v>-6.5</v>
      </c>
      <c r="T34" s="255">
        <v>-6.6</v>
      </c>
      <c r="U34" s="255">
        <v>-6.8</v>
      </c>
      <c r="V34" s="255">
        <v>0.90556091833880292</v>
      </c>
      <c r="W34" s="255"/>
      <c r="X34" s="255">
        <v>0.38565701211461251</v>
      </c>
      <c r="Y34" s="255"/>
      <c r="Z34" s="255">
        <v>24.771000000000001</v>
      </c>
      <c r="AA34" s="255">
        <v>22.324000000000002</v>
      </c>
      <c r="AB34" s="255">
        <v>23.303999999999998</v>
      </c>
      <c r="AC34" s="255">
        <v>1.5459499413965395E-2</v>
      </c>
      <c r="AD34" s="255"/>
      <c r="AG34" s="19" t="s">
        <v>207</v>
      </c>
      <c r="AH34" s="19" t="s">
        <v>77</v>
      </c>
      <c r="AI34" s="255"/>
      <c r="AJ34" s="255">
        <v>1.4</v>
      </c>
      <c r="AK34" s="255">
        <v>0.9</v>
      </c>
      <c r="AL34" s="255">
        <v>0.8</v>
      </c>
      <c r="AM34" s="255">
        <v>0.42497294818489723</v>
      </c>
      <c r="AN34" s="255"/>
      <c r="AO34" s="255">
        <v>-0.51100000000000001</v>
      </c>
      <c r="AP34" s="255">
        <v>-3.53</v>
      </c>
      <c r="AQ34" s="255">
        <v>-4.125</v>
      </c>
      <c r="AR34" s="255">
        <v>0.65691094806916028</v>
      </c>
      <c r="AS34" s="255"/>
      <c r="AT34" s="255">
        <v>0.25</v>
      </c>
      <c r="AU34" s="255">
        <v>0.35</v>
      </c>
      <c r="AV34" s="255">
        <v>0.36199999999999999</v>
      </c>
      <c r="AW34" s="255">
        <v>-0.31861198191808898</v>
      </c>
      <c r="AX34" s="255"/>
      <c r="AY34" s="255">
        <v>0.23120201007112867</v>
      </c>
      <c r="AZ34" s="255"/>
      <c r="BA34" s="255"/>
      <c r="BB34" s="255">
        <v>2.545948658387617</v>
      </c>
      <c r="BC34" s="255">
        <v>2.3804628391676967</v>
      </c>
      <c r="BD34" s="255">
        <v>-1.0109343286793735</v>
      </c>
      <c r="BE34" s="255"/>
      <c r="BF34" s="255"/>
      <c r="BG34" s="255">
        <v>4.009438545598198</v>
      </c>
      <c r="BH34" s="255">
        <v>4.3272359819350985</v>
      </c>
      <c r="BI34" s="255">
        <v>1.3009781618784837</v>
      </c>
      <c r="BJ34" s="255"/>
      <c r="BK34" s="255">
        <v>-1.6671124813197857</v>
      </c>
      <c r="BL34" s="255"/>
      <c r="BM34" s="255">
        <v>-1.0502534591340447</v>
      </c>
    </row>
    <row r="35" spans="1:65" x14ac:dyDescent="0.2">
      <c r="A35" s="19" t="s">
        <v>207</v>
      </c>
      <c r="B35" s="19" t="s">
        <v>58</v>
      </c>
      <c r="D35" s="255">
        <v>15.9</v>
      </c>
      <c r="E35" s="255">
        <v>9.3689999999999998</v>
      </c>
      <c r="F35" s="255">
        <v>9.1769999999999996</v>
      </c>
      <c r="G35" s="255">
        <v>-0.42912842578610427</v>
      </c>
      <c r="H35" s="255"/>
      <c r="I35" s="255">
        <v>-14.959</v>
      </c>
      <c r="J35" s="255">
        <v>4.2140000000000004</v>
      </c>
      <c r="K35" s="255">
        <v>4.5</v>
      </c>
      <c r="L35" s="255">
        <v>-5.4749132205912272E-3</v>
      </c>
      <c r="M35" s="255"/>
      <c r="N35" s="255">
        <v>195</v>
      </c>
      <c r="O35" s="255">
        <v>167.2</v>
      </c>
      <c r="P35" s="255">
        <v>174.4</v>
      </c>
      <c r="Q35" s="255">
        <v>0.29409864010590286</v>
      </c>
      <c r="R35" s="255"/>
      <c r="S35" s="255">
        <v>-10.6</v>
      </c>
      <c r="T35" s="255">
        <v>-5.9</v>
      </c>
      <c r="U35" s="255">
        <v>-3.6</v>
      </c>
      <c r="V35" s="255">
        <v>-0.44674338638047634</v>
      </c>
      <c r="W35" s="255"/>
      <c r="X35" s="255">
        <v>-7.5397739255675361E-2</v>
      </c>
      <c r="Y35" s="255"/>
      <c r="Z35" s="255">
        <v>15.632</v>
      </c>
      <c r="AA35" s="255">
        <v>17.753</v>
      </c>
      <c r="AB35" s="255">
        <v>17.975999999999999</v>
      </c>
      <c r="AC35" s="255">
        <v>1.0269989558055994</v>
      </c>
      <c r="AD35" s="255"/>
      <c r="AG35" s="19" t="s">
        <v>207</v>
      </c>
      <c r="AH35" s="19" t="s">
        <v>58</v>
      </c>
      <c r="AI35" s="255"/>
      <c r="AJ35" s="255">
        <v>3.6</v>
      </c>
      <c r="AK35" s="255">
        <v>4.2</v>
      </c>
      <c r="AL35" s="255">
        <v>4.7</v>
      </c>
      <c r="AM35" s="255">
        <v>-0.95618913341601841</v>
      </c>
      <c r="AN35" s="255"/>
      <c r="AO35" s="255">
        <v>-1.4750000000000001</v>
      </c>
      <c r="AP35" s="255">
        <v>-1.875</v>
      </c>
      <c r="AQ35" s="255">
        <v>-3.6190000000000002</v>
      </c>
      <c r="AR35" s="255">
        <v>0.53253084553743624</v>
      </c>
      <c r="AS35" s="255"/>
      <c r="AT35" s="255">
        <v>0.255</v>
      </c>
      <c r="AU35" s="255">
        <v>0.3</v>
      </c>
      <c r="AV35" s="255">
        <v>0.31900000000000001</v>
      </c>
      <c r="AW35" s="255">
        <v>-4.8464921193174193E-2</v>
      </c>
      <c r="AX35" s="255"/>
      <c r="AY35" s="255">
        <v>2.9882649519699045E-2</v>
      </c>
      <c r="AZ35" s="255"/>
      <c r="BA35" s="255"/>
      <c r="BB35" s="255">
        <v>7.9597543452814534</v>
      </c>
      <c r="BC35" s="255">
        <v>7.2778881240805449</v>
      </c>
      <c r="BD35" s="255">
        <v>1.2880288002818967</v>
      </c>
      <c r="BE35" s="255"/>
      <c r="BF35" s="255"/>
      <c r="BG35" s="255">
        <v>3.95196496039449</v>
      </c>
      <c r="BH35" s="255">
        <v>3.9999958299432326</v>
      </c>
      <c r="BI35" s="255">
        <v>0.24414554541416977</v>
      </c>
      <c r="BJ35" s="255"/>
      <c r="BK35" s="255">
        <v>0.95107803436498517</v>
      </c>
      <c r="BL35" s="255"/>
      <c r="BM35" s="255">
        <v>0.90556294462900888</v>
      </c>
    </row>
    <row r="36" spans="1:65" x14ac:dyDescent="0.2">
      <c r="A36" s="19" t="s">
        <v>207</v>
      </c>
      <c r="B36" s="19" t="s">
        <v>12</v>
      </c>
      <c r="D36" s="255">
        <v>27.1</v>
      </c>
      <c r="E36" s="255">
        <v>28.126999999999999</v>
      </c>
      <c r="F36" s="255">
        <v>29.792000000000002</v>
      </c>
      <c r="G36" s="255">
        <v>2.0155195345417076</v>
      </c>
      <c r="H36" s="255"/>
      <c r="I36" s="255">
        <v>-3.2869999999999999</v>
      </c>
      <c r="J36" s="255">
        <v>-1.905</v>
      </c>
      <c r="K36" s="255">
        <v>1.7629999999999999</v>
      </c>
      <c r="L36" s="255">
        <v>1.3747074866913702</v>
      </c>
      <c r="M36" s="255"/>
      <c r="N36" s="255">
        <v>100.5</v>
      </c>
      <c r="O36" s="255">
        <v>92.9</v>
      </c>
      <c r="P36" s="255">
        <v>91</v>
      </c>
      <c r="Q36" s="255">
        <v>-0.67265128159356857</v>
      </c>
      <c r="R36" s="255"/>
      <c r="S36" s="255">
        <v>-7.6</v>
      </c>
      <c r="T36" s="255">
        <v>-5.2</v>
      </c>
      <c r="U36" s="255">
        <v>-3</v>
      </c>
      <c r="V36" s="255">
        <v>-0.70030044351534126</v>
      </c>
      <c r="W36" s="255"/>
      <c r="X36" s="255">
        <v>0.95238605694826084</v>
      </c>
      <c r="Y36" s="255"/>
      <c r="Z36" s="255">
        <v>27.393000000000001</v>
      </c>
      <c r="AA36" s="255">
        <v>25.629000000000001</v>
      </c>
      <c r="AB36" s="255">
        <v>27.67</v>
      </c>
      <c r="AC36" s="255">
        <v>-0.81344088846251328</v>
      </c>
      <c r="AD36" s="255"/>
      <c r="AG36" s="19" t="s">
        <v>207</v>
      </c>
      <c r="AH36" s="19" t="s">
        <v>12</v>
      </c>
      <c r="AI36" s="255"/>
      <c r="AJ36" s="255">
        <v>0</v>
      </c>
      <c r="AK36" s="255">
        <v>-1.6</v>
      </c>
      <c r="AL36" s="255">
        <v>-1.5</v>
      </c>
      <c r="AM36" s="255">
        <v>1.2395044322059501</v>
      </c>
      <c r="AN36" s="255"/>
      <c r="AO36" s="255">
        <v>2.629</v>
      </c>
      <c r="AP36" s="255">
        <v>4.9459999999999997</v>
      </c>
      <c r="AQ36" s="255">
        <v>7.0190000000000001</v>
      </c>
      <c r="AR36" s="255">
        <v>-2.0824010333805143</v>
      </c>
      <c r="AS36" s="255"/>
      <c r="AT36" s="255">
        <v>0.47000000000000003</v>
      </c>
      <c r="AU36" s="255">
        <v>0.185</v>
      </c>
      <c r="AV36" s="255">
        <v>0.161</v>
      </c>
      <c r="AW36" s="255">
        <v>0.94416846472628058</v>
      </c>
      <c r="AX36" s="255"/>
      <c r="AY36" s="255">
        <v>-1.1193007852127006</v>
      </c>
      <c r="AZ36" s="255"/>
      <c r="BA36" s="255"/>
      <c r="BB36" s="255">
        <v>6.1903056141825816</v>
      </c>
      <c r="BC36" s="255">
        <v>5.607240055984251</v>
      </c>
      <c r="BD36" s="255">
        <v>0.50378849306256868</v>
      </c>
      <c r="BE36" s="255"/>
      <c r="BF36" s="255"/>
      <c r="BG36" s="255">
        <v>3.4761114721463038</v>
      </c>
      <c r="BH36" s="255">
        <v>3.5079475998269607</v>
      </c>
      <c r="BI36" s="255">
        <v>-1.3449400704406356</v>
      </c>
      <c r="BJ36" s="255"/>
      <c r="BK36" s="255">
        <v>1.2604599071281086</v>
      </c>
      <c r="BL36" s="255"/>
      <c r="BM36" s="255">
        <v>1.093545178863669</v>
      </c>
    </row>
    <row r="37" spans="1:65" x14ac:dyDescent="0.2">
      <c r="A37" s="19" t="s">
        <v>207</v>
      </c>
      <c r="B37" s="19" t="s">
        <v>64</v>
      </c>
      <c r="D37" s="255">
        <v>6.7</v>
      </c>
      <c r="E37" s="255">
        <v>9.2070000000000007</v>
      </c>
      <c r="F37" s="255">
        <v>13.464</v>
      </c>
      <c r="G37" s="255">
        <v>7.9249250950511274E-2</v>
      </c>
      <c r="H37" s="255"/>
      <c r="I37" s="255">
        <v>5.3235000000000001</v>
      </c>
      <c r="J37" s="255">
        <v>6.7839999999999998</v>
      </c>
      <c r="K37" s="255">
        <v>6.2590000000000003</v>
      </c>
      <c r="L37" s="255">
        <v>-0.89248289328823482</v>
      </c>
      <c r="M37" s="255"/>
      <c r="N37" s="255">
        <v>51.1</v>
      </c>
      <c r="O37" s="255">
        <v>49.5</v>
      </c>
      <c r="P37" s="255">
        <v>48.6</v>
      </c>
      <c r="Q37" s="255">
        <v>-1.1641404504191992</v>
      </c>
      <c r="R37" s="255"/>
      <c r="S37" s="255">
        <v>-6.5</v>
      </c>
      <c r="T37" s="255">
        <v>-5.3999999999999995</v>
      </c>
      <c r="U37" s="255">
        <v>-7.3</v>
      </c>
      <c r="V37" s="255">
        <v>1.1168584659511904</v>
      </c>
      <c r="W37" s="255"/>
      <c r="X37" s="255">
        <v>-0.38246503132854381</v>
      </c>
      <c r="Y37" s="255"/>
      <c r="Z37" s="255">
        <v>31.564</v>
      </c>
      <c r="AA37" s="255">
        <v>34.284999999999997</v>
      </c>
      <c r="AB37" s="255">
        <v>32.365000000000002</v>
      </c>
      <c r="AC37" s="255">
        <v>-1.7048030783571684</v>
      </c>
      <c r="AD37" s="255"/>
      <c r="AG37" s="19" t="s">
        <v>207</v>
      </c>
      <c r="AH37" s="19" t="s">
        <v>64</v>
      </c>
      <c r="AI37" s="255"/>
      <c r="AJ37" s="255">
        <v>10.175000000000001</v>
      </c>
      <c r="AK37" s="255">
        <v>7.1</v>
      </c>
      <c r="AL37" s="255">
        <v>6.9</v>
      </c>
      <c r="AM37" s="255">
        <v>-1.7353062050883299</v>
      </c>
      <c r="AN37" s="255"/>
      <c r="AO37" s="255">
        <v>-6.5640000000000001</v>
      </c>
      <c r="AP37" s="255">
        <v>-3.7919999999999998</v>
      </c>
      <c r="AQ37" s="255">
        <v>-4.0090000000000003</v>
      </c>
      <c r="AR37" s="255">
        <v>0.6283969324690023</v>
      </c>
      <c r="AS37" s="255"/>
      <c r="AT37" s="255">
        <v>0.71499999999999997</v>
      </c>
      <c r="AU37" s="255">
        <v>0.65</v>
      </c>
      <c r="AV37" s="255">
        <v>0.6</v>
      </c>
      <c r="AW37" s="255">
        <v>-1.8138445505815715</v>
      </c>
      <c r="AX37" s="255"/>
      <c r="AY37" s="255">
        <v>3.1690983255570391</v>
      </c>
      <c r="AZ37" s="255"/>
      <c r="BA37" s="255"/>
      <c r="BB37" s="255">
        <v>0.20018272492862255</v>
      </c>
      <c r="BC37" s="255">
        <v>1.0199311111404934</v>
      </c>
      <c r="BD37" s="255">
        <v>-1.6495989527527888</v>
      </c>
      <c r="BE37" s="255"/>
      <c r="BF37" s="255"/>
      <c r="BG37" s="255">
        <v>4.0262426492953862</v>
      </c>
      <c r="BH37" s="255">
        <v>4.239329277034865</v>
      </c>
      <c r="BI37" s="255">
        <v>1.0170806255309899</v>
      </c>
      <c r="BJ37" s="255"/>
      <c r="BK37" s="255">
        <v>-2.0382617654605939</v>
      </c>
      <c r="BL37" s="255"/>
      <c r="BM37" s="255">
        <v>0.74837152876790114</v>
      </c>
    </row>
    <row r="38" spans="1:65" ht="15" x14ac:dyDescent="0.25">
      <c r="A38" s="18" t="s">
        <v>200</v>
      </c>
      <c r="D38" s="255"/>
      <c r="E38" s="300">
        <v>11.197857142857142</v>
      </c>
      <c r="F38" s="301">
        <v>12.795714285714284</v>
      </c>
      <c r="G38" s="301"/>
      <c r="H38" s="301"/>
      <c r="I38" s="301"/>
      <c r="J38" s="300">
        <v>5.0542857142857134</v>
      </c>
      <c r="K38" s="301">
        <v>4.4891428571428573</v>
      </c>
      <c r="L38" s="301"/>
      <c r="M38" s="301"/>
      <c r="N38" s="301"/>
      <c r="O38" s="300">
        <v>152.27142857142857</v>
      </c>
      <c r="P38" s="301">
        <v>149.02857142857144</v>
      </c>
      <c r="Q38" s="301"/>
      <c r="R38" s="301"/>
      <c r="S38" s="301"/>
      <c r="T38" s="300">
        <v>-4.7</v>
      </c>
      <c r="U38" s="301">
        <v>-4.6571428571428575</v>
      </c>
      <c r="V38" s="255"/>
      <c r="W38" s="255"/>
      <c r="X38" s="255"/>
      <c r="Y38" s="255"/>
      <c r="Z38" s="255"/>
      <c r="AA38" s="300">
        <v>22.583285714285715</v>
      </c>
      <c r="AB38" s="301">
        <v>23.385428571428573</v>
      </c>
      <c r="AC38" s="301"/>
      <c r="AD38" s="255"/>
      <c r="AG38" s="18" t="s">
        <v>200</v>
      </c>
      <c r="AI38" s="255"/>
      <c r="AJ38" s="255"/>
      <c r="AK38" s="300">
        <v>1.9142857142857144</v>
      </c>
      <c r="AL38" s="301">
        <v>2.0000000000000004</v>
      </c>
      <c r="AM38" s="301"/>
      <c r="AN38" s="255"/>
      <c r="AO38" s="255"/>
      <c r="AP38" s="300">
        <v>-1.4262857142857144</v>
      </c>
      <c r="AQ38" s="301">
        <v>-1.4525714285714286</v>
      </c>
      <c r="AR38" s="301"/>
      <c r="AS38" s="255"/>
      <c r="AT38" s="255"/>
      <c r="AU38" s="300">
        <v>0.32114285714285717</v>
      </c>
      <c r="AV38" s="301">
        <v>0.31128571428571428</v>
      </c>
      <c r="AW38" s="301"/>
      <c r="AX38" s="255"/>
      <c r="AY38" s="255"/>
      <c r="AZ38" s="255"/>
      <c r="BA38" s="255"/>
      <c r="BB38" s="300">
        <v>4.878394061010729</v>
      </c>
      <c r="BC38" s="301">
        <v>4.5340316721301184</v>
      </c>
      <c r="BD38" s="301"/>
      <c r="BE38" s="255"/>
      <c r="BF38" s="255"/>
      <c r="BG38" s="300">
        <v>3.7873523335255892</v>
      </c>
      <c r="BH38" s="301">
        <v>3.9243980255749684</v>
      </c>
      <c r="BI38" s="301"/>
      <c r="BJ38" s="255"/>
      <c r="BK38" s="255"/>
      <c r="BL38" s="255"/>
      <c r="BM38" s="255"/>
    </row>
    <row r="39" spans="1:65" ht="15" x14ac:dyDescent="0.25">
      <c r="A39" s="18" t="s">
        <v>163</v>
      </c>
      <c r="D39" s="255"/>
      <c r="E39" s="300">
        <v>7.9671670922725433</v>
      </c>
      <c r="F39" s="301">
        <v>8.4327070132566906</v>
      </c>
      <c r="G39" s="301"/>
      <c r="H39" s="301"/>
      <c r="I39" s="301"/>
      <c r="J39" s="300">
        <v>3.8545641653450167</v>
      </c>
      <c r="K39" s="301">
        <v>1.9830712231764345</v>
      </c>
      <c r="L39" s="301"/>
      <c r="M39" s="301"/>
      <c r="N39" s="301"/>
      <c r="O39" s="300">
        <v>92.52527067934308</v>
      </c>
      <c r="P39" s="301">
        <v>86.268432122951992</v>
      </c>
      <c r="Q39" s="301"/>
      <c r="R39" s="301"/>
      <c r="S39" s="301"/>
      <c r="T39" s="300">
        <v>1.8547236990991414</v>
      </c>
      <c r="U39" s="301">
        <v>2.3663312974991069</v>
      </c>
      <c r="V39" s="255"/>
      <c r="W39" s="255"/>
      <c r="X39" s="255"/>
      <c r="Y39" s="255"/>
      <c r="Z39" s="255"/>
      <c r="AA39" s="300">
        <v>6.3361226501777264</v>
      </c>
      <c r="AB39" s="301">
        <v>5.267219154264188</v>
      </c>
      <c r="AC39" s="301"/>
      <c r="AD39" s="255"/>
      <c r="AG39" s="18" t="s">
        <v>163</v>
      </c>
      <c r="AI39" s="255"/>
      <c r="AJ39" s="255"/>
      <c r="AK39" s="300">
        <v>2.8585710716070314</v>
      </c>
      <c r="AL39" s="301">
        <v>2.8237091446063158</v>
      </c>
      <c r="AM39" s="301"/>
      <c r="AN39" s="255"/>
      <c r="AO39" s="255"/>
      <c r="AP39" s="300">
        <v>3.3039182654481487</v>
      </c>
      <c r="AQ39" s="301">
        <v>4.0681748101223834</v>
      </c>
      <c r="AR39" s="301"/>
      <c r="AS39" s="255"/>
      <c r="AT39" s="255"/>
      <c r="AU39" s="300">
        <v>0.17639012498004575</v>
      </c>
      <c r="AV39" s="301">
        <v>0.15917256284267331</v>
      </c>
      <c r="AW39" s="301"/>
      <c r="AX39" s="255"/>
      <c r="AY39" s="255"/>
      <c r="AZ39" s="255"/>
      <c r="BA39" s="255"/>
      <c r="BB39" s="300">
        <v>2.6454260407139514</v>
      </c>
      <c r="BC39" s="301">
        <v>2.1302756982995326</v>
      </c>
      <c r="BD39" s="301"/>
      <c r="BE39" s="255"/>
      <c r="BF39" s="255"/>
      <c r="BG39" s="300">
        <v>0.23827215632121049</v>
      </c>
      <c r="BH39" s="301">
        <v>0.30964236615507207</v>
      </c>
      <c r="BI39" s="301"/>
      <c r="BJ39" s="255"/>
      <c r="BK39" s="255"/>
      <c r="BL39" s="255"/>
      <c r="BM39" s="255"/>
    </row>
    <row r="40" spans="1:65" ht="15" x14ac:dyDescent="0.25">
      <c r="A40" s="18"/>
      <c r="D40" s="255"/>
      <c r="E40" s="300"/>
      <c r="F40" s="301"/>
      <c r="G40" s="301"/>
      <c r="H40" s="301"/>
      <c r="I40" s="301"/>
      <c r="J40" s="300"/>
      <c r="K40" s="301"/>
      <c r="L40" s="301"/>
      <c r="M40" s="301"/>
      <c r="N40" s="301"/>
      <c r="O40" s="300"/>
      <c r="P40" s="301"/>
      <c r="Q40" s="301"/>
      <c r="R40" s="301"/>
      <c r="S40" s="301"/>
      <c r="T40" s="300"/>
      <c r="U40" s="301"/>
      <c r="V40" s="255"/>
      <c r="W40" s="255"/>
      <c r="X40" s="255"/>
      <c r="Y40" s="255"/>
      <c r="Z40" s="255"/>
      <c r="AA40" s="300"/>
      <c r="AB40" s="301"/>
      <c r="AC40" s="301"/>
      <c r="AD40" s="255"/>
      <c r="AG40" s="18"/>
      <c r="AI40" s="255"/>
      <c r="AJ40" s="255"/>
      <c r="AK40" s="300"/>
      <c r="AL40" s="301"/>
      <c r="AM40" s="301"/>
      <c r="AN40" s="255"/>
      <c r="AO40" s="255"/>
      <c r="AP40" s="300"/>
      <c r="AQ40" s="301"/>
      <c r="AR40" s="301"/>
      <c r="AS40" s="255"/>
      <c r="AT40" s="255"/>
      <c r="AU40" s="300"/>
      <c r="AV40" s="301"/>
      <c r="AW40" s="301"/>
      <c r="AX40" s="255"/>
      <c r="AY40" s="255"/>
      <c r="AZ40" s="255"/>
      <c r="BA40" s="255"/>
      <c r="BB40" s="300"/>
      <c r="BC40" s="301"/>
      <c r="BD40" s="301"/>
      <c r="BE40" s="255"/>
      <c r="BF40" s="255"/>
      <c r="BG40" s="300"/>
      <c r="BH40" s="301"/>
      <c r="BI40" s="301"/>
      <c r="BJ40" s="255"/>
      <c r="BK40" s="255"/>
      <c r="BL40" s="255"/>
      <c r="BM40" s="255"/>
    </row>
    <row r="41" spans="1:65" ht="15" x14ac:dyDescent="0.25">
      <c r="A41" s="18"/>
      <c r="D41" s="255"/>
      <c r="E41" s="300"/>
      <c r="F41" s="301"/>
      <c r="G41" s="301"/>
      <c r="H41" s="301"/>
      <c r="I41" s="301"/>
      <c r="J41" s="300"/>
      <c r="K41" s="301"/>
      <c r="L41" s="301"/>
      <c r="M41" s="301"/>
      <c r="N41" s="301"/>
      <c r="O41" s="300"/>
      <c r="P41" s="301"/>
      <c r="Q41" s="301"/>
      <c r="R41" s="301"/>
      <c r="S41" s="301"/>
      <c r="T41" s="300"/>
      <c r="U41" s="301"/>
      <c r="V41" s="255"/>
      <c r="W41" s="255"/>
      <c r="X41" s="255"/>
      <c r="Y41" s="255"/>
      <c r="Z41" s="255"/>
      <c r="AA41" s="300"/>
      <c r="AB41" s="301"/>
      <c r="AC41" s="301"/>
      <c r="AD41" s="255"/>
      <c r="AG41" s="18"/>
      <c r="AI41" s="255"/>
      <c r="AJ41" s="255"/>
      <c r="AK41" s="300"/>
      <c r="AL41" s="301"/>
      <c r="AM41" s="301"/>
      <c r="AN41" s="255"/>
      <c r="AO41" s="255"/>
      <c r="AP41" s="300"/>
      <c r="AQ41" s="301"/>
      <c r="AR41" s="301"/>
      <c r="AS41" s="255"/>
      <c r="AT41" s="255"/>
      <c r="AU41" s="300"/>
      <c r="AV41" s="301"/>
      <c r="AW41" s="301"/>
      <c r="AX41" s="255"/>
      <c r="AY41" s="255"/>
      <c r="AZ41" s="255"/>
      <c r="BA41" s="255"/>
      <c r="BB41" s="300"/>
      <c r="BC41" s="301"/>
      <c r="BD41" s="301"/>
      <c r="BE41" s="255"/>
      <c r="BF41" s="255"/>
      <c r="BG41" s="300"/>
      <c r="BH41" s="301"/>
      <c r="BI41" s="301"/>
      <c r="BJ41" s="255"/>
      <c r="BK41" s="255"/>
      <c r="BL41" s="255"/>
      <c r="BM41" s="255"/>
    </row>
    <row r="42" spans="1:65" ht="15" x14ac:dyDescent="0.25">
      <c r="A42" s="18"/>
      <c r="D42" s="255"/>
      <c r="E42" s="300"/>
      <c r="F42" s="301"/>
      <c r="G42" s="301"/>
      <c r="H42" s="301"/>
      <c r="I42" s="301"/>
      <c r="J42" s="300"/>
      <c r="K42" s="301"/>
      <c r="L42" s="301"/>
      <c r="M42" s="301"/>
      <c r="N42" s="301"/>
      <c r="O42" s="300"/>
      <c r="P42" s="301"/>
      <c r="Q42" s="301"/>
      <c r="R42" s="301"/>
      <c r="S42" s="301"/>
      <c r="T42" s="300"/>
      <c r="U42" s="301"/>
      <c r="V42" s="255"/>
      <c r="W42" s="255"/>
      <c r="X42" s="255"/>
      <c r="Y42" s="255"/>
      <c r="Z42" s="255"/>
      <c r="AA42" s="300"/>
      <c r="AB42" s="301"/>
      <c r="AC42" s="301"/>
      <c r="AD42" s="255"/>
      <c r="AG42" s="18"/>
      <c r="AI42" s="255"/>
      <c r="AJ42" s="255"/>
      <c r="AK42" s="300"/>
      <c r="AL42" s="301"/>
      <c r="AM42" s="301"/>
      <c r="AN42" s="255"/>
      <c r="AO42" s="255"/>
      <c r="AP42" s="300"/>
      <c r="AQ42" s="301"/>
      <c r="AR42" s="301"/>
      <c r="AS42" s="255"/>
      <c r="AT42" s="255"/>
      <c r="AU42" s="300"/>
      <c r="AV42" s="301"/>
      <c r="AW42" s="301"/>
      <c r="AX42" s="255"/>
      <c r="AY42" s="255"/>
      <c r="AZ42" s="255"/>
      <c r="BA42" s="255"/>
      <c r="BB42" s="300"/>
      <c r="BC42" s="301"/>
      <c r="BD42" s="301"/>
      <c r="BE42" s="255"/>
      <c r="BF42" s="255"/>
      <c r="BG42" s="300"/>
      <c r="BH42" s="301"/>
      <c r="BI42" s="301"/>
      <c r="BJ42" s="255"/>
      <c r="BK42" s="255"/>
      <c r="BL42" s="255"/>
      <c r="BM42" s="255"/>
    </row>
    <row r="43" spans="1:65" x14ac:dyDescent="0.2">
      <c r="B43" s="19" t="s">
        <v>181</v>
      </c>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H43" s="19" t="s">
        <v>181</v>
      </c>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row>
    <row r="44" spans="1:65" ht="15" x14ac:dyDescent="0.25">
      <c r="B44" s="18" t="s">
        <v>709</v>
      </c>
      <c r="C44" s="18"/>
      <c r="D44" s="303">
        <v>0.79430763400157911</v>
      </c>
      <c r="E44" s="213"/>
      <c r="F44" s="304">
        <v>0.79430763400157911</v>
      </c>
      <c r="G44" s="213"/>
      <c r="H44" s="213"/>
      <c r="I44" s="303">
        <v>-0.4344438713547758</v>
      </c>
      <c r="J44" s="213"/>
      <c r="K44" s="304">
        <v>0.43444387135477602</v>
      </c>
      <c r="L44" s="213"/>
      <c r="M44" s="213"/>
      <c r="N44" s="303">
        <v>0.40904709292582375</v>
      </c>
      <c r="O44" s="213"/>
      <c r="P44" s="304">
        <v>0.40904709292582375</v>
      </c>
      <c r="Q44" s="213"/>
      <c r="R44" s="213"/>
      <c r="S44" s="303">
        <v>-0.31960967616442937</v>
      </c>
      <c r="T44" s="213"/>
      <c r="U44" s="304">
        <v>0.31960967616442898</v>
      </c>
      <c r="V44" s="213"/>
      <c r="W44" s="213"/>
      <c r="X44" s="213"/>
      <c r="Y44" s="213"/>
      <c r="Z44" s="303">
        <v>-0.1505226403959298</v>
      </c>
      <c r="AA44" s="213"/>
      <c r="AB44" s="304">
        <v>0.15052264039593</v>
      </c>
      <c r="AC44" s="213"/>
      <c r="AD44" s="213"/>
      <c r="AH44" s="18" t="s">
        <v>709</v>
      </c>
      <c r="AI44" s="213"/>
      <c r="AJ44" s="303">
        <v>-0.23087278260713512</v>
      </c>
      <c r="AK44" s="213"/>
      <c r="AL44" s="304">
        <v>0.23087278260713501</v>
      </c>
      <c r="AM44" s="213"/>
      <c r="AN44" s="213"/>
      <c r="AO44" s="303">
        <v>-0.20049638710730583</v>
      </c>
      <c r="AP44" s="213"/>
      <c r="AQ44" s="304">
        <v>0.200496387107306</v>
      </c>
      <c r="AR44" s="213"/>
      <c r="AS44" s="213"/>
      <c r="AT44" s="303">
        <v>-1.4542829518588116</v>
      </c>
      <c r="AU44" s="213"/>
      <c r="AV44" s="304">
        <v>1.4542829518588101</v>
      </c>
      <c r="AW44" s="213"/>
      <c r="AX44" s="213"/>
      <c r="AY44" s="213"/>
      <c r="AZ44" s="213"/>
      <c r="BA44" s="303">
        <v>0.85531297104004989</v>
      </c>
      <c r="BB44" s="213"/>
      <c r="BC44" s="304">
        <v>0.85531297104004989</v>
      </c>
      <c r="BD44" s="213"/>
      <c r="BE44" s="213"/>
      <c r="BF44" s="303">
        <v>-0.6168030030358066</v>
      </c>
      <c r="BG44" s="213"/>
      <c r="BH44" s="304">
        <v>0.61680300303580704</v>
      </c>
      <c r="BI44" s="213"/>
      <c r="BJ44" s="213"/>
      <c r="BK44" s="213"/>
      <c r="BL44" s="213"/>
      <c r="BM44" s="305">
        <v>1.4210854715202005E-15</v>
      </c>
    </row>
    <row r="45" spans="1:65" ht="15" x14ac:dyDescent="0.25">
      <c r="B45" s="18" t="s">
        <v>315</v>
      </c>
      <c r="C45" s="18"/>
      <c r="D45" s="303">
        <v>7.0035178147864668E-2</v>
      </c>
      <c r="E45" s="213"/>
      <c r="F45" s="304">
        <v>7.0035178147864668E-2</v>
      </c>
      <c r="G45" s="213"/>
      <c r="H45" s="213"/>
      <c r="I45" s="303">
        <v>0.16365362199693603</v>
      </c>
      <c r="J45" s="213"/>
      <c r="K45" s="304">
        <v>0.16365362199693603</v>
      </c>
      <c r="L45" s="213"/>
      <c r="M45" s="213"/>
      <c r="N45" s="303">
        <v>-4.0509460033485156E-2</v>
      </c>
      <c r="O45" s="213"/>
      <c r="P45" s="304">
        <v>-4.0509460033485156E-2</v>
      </c>
      <c r="Q45" s="213"/>
      <c r="R45" s="213"/>
      <c r="S45" s="303">
        <v>-7.07699732186923E-2</v>
      </c>
      <c r="T45" s="213"/>
      <c r="U45" s="304">
        <v>-7.07699732186923E-2</v>
      </c>
      <c r="V45" s="213"/>
      <c r="W45" s="213"/>
      <c r="X45" s="213"/>
      <c r="Y45" s="213"/>
      <c r="Z45" s="303">
        <v>0.21117555451099407</v>
      </c>
      <c r="AA45" s="213"/>
      <c r="AB45" s="304">
        <v>0.21117555451099407</v>
      </c>
      <c r="AC45" s="213"/>
      <c r="AD45" s="213"/>
      <c r="AH45" s="18" t="s">
        <v>315</v>
      </c>
      <c r="AI45" s="213"/>
      <c r="AJ45" s="303">
        <v>0.15922802053366852</v>
      </c>
      <c r="AK45" s="213"/>
      <c r="AL45" s="304">
        <v>0.15922802053366852</v>
      </c>
      <c r="AM45" s="213"/>
      <c r="AN45" s="213"/>
      <c r="AO45" s="303">
        <v>5.8302855713347437E-2</v>
      </c>
      <c r="AP45" s="213"/>
      <c r="AQ45" s="304">
        <v>5.8302855713347437E-2</v>
      </c>
      <c r="AR45" s="213"/>
      <c r="AS45" s="213"/>
      <c r="AT45" s="303">
        <v>-0.10727143539580408</v>
      </c>
      <c r="AU45" s="213"/>
      <c r="AV45" s="304">
        <v>-0.10727143539580408</v>
      </c>
      <c r="AW45" s="213"/>
      <c r="AX45" s="213"/>
      <c r="AY45" s="213"/>
      <c r="AZ45" s="213"/>
      <c r="BA45" s="303">
        <v>0.2922465237980616</v>
      </c>
      <c r="BB45" s="213"/>
      <c r="BC45" s="304">
        <v>0.2922465237980616</v>
      </c>
      <c r="BD45" s="213"/>
      <c r="BE45" s="213"/>
      <c r="BF45" s="303">
        <v>0.19816276049694945</v>
      </c>
      <c r="BG45" s="213"/>
      <c r="BH45" s="304">
        <v>0.19816276049694945</v>
      </c>
      <c r="BI45" s="213"/>
      <c r="BJ45" s="213"/>
      <c r="BK45" s="213"/>
      <c r="BL45" s="213"/>
      <c r="BM45" s="305">
        <v>2.4541500646349625</v>
      </c>
    </row>
  </sheetData>
  <phoneticPr fontId="3" type="noConversion"/>
  <pageMargins left="0.4" right="0.51" top="1" bottom="1" header="0.5" footer="0.5"/>
  <pageSetup paperSize="5" scale="59" fitToWidth="2" orientation="landscape" r:id="rId1"/>
  <headerFooter alignWithMargins="0">
    <oddHeader>&amp;C&amp;11Relative Sovereign Model Indicators by Rating</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0.249977111117893"/>
    <pageSetUpPr fitToPage="1"/>
  </sheetPr>
  <dimension ref="A1:E28"/>
  <sheetViews>
    <sheetView workbookViewId="0">
      <selection activeCell="E22" sqref="E22"/>
    </sheetView>
  </sheetViews>
  <sheetFormatPr defaultRowHeight="12.75" x14ac:dyDescent="0.2"/>
  <cols>
    <col min="1" max="1" width="20.42578125" customWidth="1"/>
    <col min="2" max="5" width="19.28515625" customWidth="1"/>
  </cols>
  <sheetData>
    <row r="1" spans="1:5" ht="18" x14ac:dyDescent="0.25">
      <c r="A1" s="313" t="s">
        <v>652</v>
      </c>
      <c r="B1" s="313"/>
      <c r="C1" s="313"/>
      <c r="D1" s="313"/>
      <c r="E1" s="313"/>
    </row>
    <row r="2" spans="1:5" ht="18" x14ac:dyDescent="0.25">
      <c r="A2" s="26"/>
      <c r="B2" s="26"/>
      <c r="C2" s="26"/>
      <c r="D2" s="26"/>
      <c r="E2" s="26"/>
    </row>
    <row r="3" spans="1:5" ht="30" x14ac:dyDescent="0.2">
      <c r="A3" s="32" t="s">
        <v>210</v>
      </c>
      <c r="B3" s="30" t="s">
        <v>198</v>
      </c>
      <c r="C3" s="30" t="s">
        <v>199</v>
      </c>
      <c r="D3" s="30" t="s">
        <v>209</v>
      </c>
      <c r="E3" s="30" t="s">
        <v>211</v>
      </c>
    </row>
    <row r="4" spans="1:5" ht="14.25" x14ac:dyDescent="0.2">
      <c r="A4" s="33" t="s">
        <v>0</v>
      </c>
      <c r="B4" s="31">
        <f>VLOOKUP(A4,'ALL EM Rank'!$A$2:$AB$26,10,FALSE)</f>
        <v>-2.2686120722102712</v>
      </c>
      <c r="C4" s="31">
        <f>VLOOKUP(A4,'ALL EM Rank'!$A$2:$AB$26,20,FALSE)</f>
        <v>-7.3593148512985085</v>
      </c>
      <c r="D4" s="31">
        <f>VLOOKUP(A4,'ALL EM Rank'!$A$2:$AB$26,26,FALSE)</f>
        <v>-1.8222182755650129</v>
      </c>
      <c r="E4" s="31">
        <f>IF(B4+C4+D4&lt;&gt;VLOOKUP(A4,'ALL EM Rank'!$A$2:$AB$26,28,FALSE),"check values",'ALL EM Rank Summary'!B4+'ALL EM Rank Summary'!C4+'ALL EM Rank Summary'!D4)</f>
        <v>-11.450145199073791</v>
      </c>
    </row>
    <row r="5" spans="1:5" ht="14.25" x14ac:dyDescent="0.2">
      <c r="A5" s="33" t="s">
        <v>3</v>
      </c>
      <c r="B5" s="31">
        <f>VLOOKUP(A5,'ALL EM Rank'!$A$2:$AB$26,10,FALSE)</f>
        <v>-1.1327815742058716</v>
      </c>
      <c r="C5" s="31">
        <f>VLOOKUP(A5,'ALL EM Rank'!$A$2:$AB$26,20,FALSE)</f>
        <v>-1.5151965267352729</v>
      </c>
      <c r="D5" s="31">
        <f>VLOOKUP(A5,'ALL EM Rank'!$A$2:$AB$26,26,FALSE)</f>
        <v>-2.3196506122442058</v>
      </c>
      <c r="E5" s="31">
        <f>IF(B5+C5+D5&lt;&gt;VLOOKUP(A5,'ALL EM Rank'!$A$2:$AB$26,28,FALSE),"check values",'ALL EM Rank Summary'!B5+'ALL EM Rank Summary'!C5+'ALL EM Rank Summary'!D5)</f>
        <v>-4.9676287131853503</v>
      </c>
    </row>
    <row r="6" spans="1:5" ht="14.25" x14ac:dyDescent="0.2">
      <c r="A6" s="33" t="s">
        <v>47</v>
      </c>
      <c r="B6" s="31">
        <f>VLOOKUP(A6,'ALL EM Rank'!$A$2:$AB$26,10,FALSE)</f>
        <v>-1.8096964846801531</v>
      </c>
      <c r="C6" s="31">
        <f>VLOOKUP(A6,'ALL EM Rank'!$A$2:$AB$26,20,FALSE)</f>
        <v>-0.67463357845598826</v>
      </c>
      <c r="D6" s="31">
        <f>VLOOKUP(A6,'ALL EM Rank'!$A$2:$AB$26,26,FALSE)</f>
        <v>-0.7360654774044143</v>
      </c>
      <c r="E6" s="31">
        <f>IF(B6+C6+D6&lt;&gt;VLOOKUP(A6,'ALL EM Rank'!$A$2:$AB$26,28,FALSE),"check values",'ALL EM Rank Summary'!B6+'ALL EM Rank Summary'!C6+'ALL EM Rank Summary'!D6)</f>
        <v>-3.2203955405405558</v>
      </c>
    </row>
    <row r="7" spans="1:5" ht="14.25" x14ac:dyDescent="0.2">
      <c r="A7" s="33" t="s">
        <v>36</v>
      </c>
      <c r="B7" s="31">
        <f>VLOOKUP(A7,'ALL EM Rank'!$A$2:$AB$26,10,FALSE)</f>
        <v>-1.3735707721598835</v>
      </c>
      <c r="C7" s="31">
        <f>VLOOKUP(A7,'ALL EM Rank'!$A$2:$AB$26,20,FALSE)</f>
        <v>0.21288240301037165</v>
      </c>
      <c r="D7" s="31">
        <f>VLOOKUP(A7,'ALL EM Rank'!$A$2:$AB$26,26,FALSE)</f>
        <v>-1.9770415600475864</v>
      </c>
      <c r="E7" s="31">
        <f>IF(B7+C7+D7&lt;&gt;VLOOKUP(A7,'ALL EM Rank'!$A$2:$AB$26,28,FALSE),"check values",'ALL EM Rank Summary'!B7+'ALL EM Rank Summary'!C7+'ALL EM Rank Summary'!D7)</f>
        <v>-3.1377299291970981</v>
      </c>
    </row>
    <row r="8" spans="1:5" ht="14.25" x14ac:dyDescent="0.2">
      <c r="A8" s="33" t="s">
        <v>71</v>
      </c>
      <c r="B8" s="31">
        <f>VLOOKUP(A8,'ALL EM Rank'!$A$2:$AB$26,10,FALSE)</f>
        <v>-1.8018030409095764</v>
      </c>
      <c r="C8" s="31">
        <f>VLOOKUP(A8,'ALL EM Rank'!$A$2:$AB$26,20,FALSE)</f>
        <v>0.79001095807309341</v>
      </c>
      <c r="D8" s="31">
        <f>VLOOKUP(A8,'ALL EM Rank'!$A$2:$AB$26,26,FALSE)</f>
        <v>-1.2093373579830349</v>
      </c>
      <c r="E8" s="31">
        <f>IF(B8+C8+D8&lt;&gt;VLOOKUP(A8,'ALL EM Rank'!$A$2:$AB$26,28,FALSE),"check values",'ALL EM Rank Summary'!B8+'ALL EM Rank Summary'!C8+'ALL EM Rank Summary'!D8)</f>
        <v>-2.2211294408195181</v>
      </c>
    </row>
    <row r="9" spans="1:5" ht="14.25" x14ac:dyDescent="0.2">
      <c r="A9" s="33" t="s">
        <v>11</v>
      </c>
      <c r="B9" s="31">
        <f>VLOOKUP(A9,'ALL EM Rank'!$A$2:$AB$26,10,FALSE)</f>
        <v>-0.91233982939937219</v>
      </c>
      <c r="C9" s="31">
        <f>VLOOKUP(A9,'ALL EM Rank'!$A$2:$AB$26,20,FALSE)</f>
        <v>0.29537767703727141</v>
      </c>
      <c r="D9" s="31">
        <f>VLOOKUP(A9,'ALL EM Rank'!$A$2:$AB$26,26,FALSE)</f>
        <v>-1.1144765191269643</v>
      </c>
      <c r="E9" s="31">
        <f>IF(B9+C9+D9&lt;&gt;VLOOKUP(A9,'ALL EM Rank'!$A$2:$AB$26,28,FALSE),"check values",'ALL EM Rank Summary'!B9+'ALL EM Rank Summary'!C9+'ALL EM Rank Summary'!D9)</f>
        <v>-1.7314386714890651</v>
      </c>
    </row>
    <row r="10" spans="1:5" ht="14.25" x14ac:dyDescent="0.2">
      <c r="A10" s="33" t="s">
        <v>9</v>
      </c>
      <c r="B10" s="31">
        <f>VLOOKUP(A10,'ALL EM Rank'!$A$2:$AB$26,10,FALSE)</f>
        <v>-1.7141940321687643E-2</v>
      </c>
      <c r="C10" s="31">
        <f>VLOOKUP(A10,'ALL EM Rank'!$A$2:$AB$26,20,FALSE)</f>
        <v>-2.1027206987055264E-2</v>
      </c>
      <c r="D10" s="31">
        <f>VLOOKUP(A10,'ALL EM Rank'!$A$2:$AB$26,26,FALSE)</f>
        <v>-0.83333998492838868</v>
      </c>
      <c r="E10" s="31">
        <f>IF(B10+C10+D10&lt;&gt;VLOOKUP(A10,'ALL EM Rank'!$A$2:$AB$26,28,FALSE),"check values",'ALL EM Rank Summary'!B10+'ALL EM Rank Summary'!C10+'ALL EM Rank Summary'!D10)</f>
        <v>-0.87150913223713156</v>
      </c>
    </row>
    <row r="11" spans="1:5" ht="14.25" x14ac:dyDescent="0.2">
      <c r="A11" s="33" t="s">
        <v>72</v>
      </c>
      <c r="B11" s="31">
        <f>VLOOKUP(A11,'ALL EM Rank'!$A$2:$AB$26,10,FALSE)</f>
        <v>-0.33360511317114749</v>
      </c>
      <c r="C11" s="31">
        <f>VLOOKUP(A11,'ALL EM Rank'!$A$2:$AB$26,20,FALSE)</f>
        <v>2.8991488792538822E-2</v>
      </c>
      <c r="D11" s="31">
        <f>VLOOKUP(A11,'ALL EM Rank'!$A$2:$AB$26,26,FALSE)</f>
        <v>-0.52566489244397885</v>
      </c>
      <c r="E11" s="31">
        <f>IF(B11+C11+D11&lt;&gt;VLOOKUP(A11,'ALL EM Rank'!$A$2:$AB$26,28,FALSE),"check values",'ALL EM Rank Summary'!B11+'ALL EM Rank Summary'!C11+'ALL EM Rank Summary'!D11)</f>
        <v>-0.83027851682258746</v>
      </c>
    </row>
    <row r="12" spans="1:5" ht="14.25" x14ac:dyDescent="0.2">
      <c r="A12" s="33" t="s">
        <v>2</v>
      </c>
      <c r="B12" s="31">
        <f>VLOOKUP(A12,'ALL EM Rank'!$A$2:$AB$26,10,FALSE)</f>
        <v>-0.61255148386383473</v>
      </c>
      <c r="C12" s="31">
        <f>VLOOKUP(A12,'ALL EM Rank'!$A$2:$AB$26,20,FALSE)</f>
        <v>8.7639622700920294E-2</v>
      </c>
      <c r="D12" s="31">
        <f>VLOOKUP(A12,'ALL EM Rank'!$A$2:$AB$26,26,FALSE)</f>
        <v>-0.42370599898566152</v>
      </c>
      <c r="E12" s="31">
        <f>IF(B12+C12+D12&lt;&gt;VLOOKUP(A12,'ALL EM Rank'!$A$2:$AB$26,28,FALSE),"check values",'ALL EM Rank Summary'!B12+'ALL EM Rank Summary'!C12+'ALL EM Rank Summary'!D12)</f>
        <v>-0.94861786014857596</v>
      </c>
    </row>
    <row r="13" spans="1:5" ht="14.25" x14ac:dyDescent="0.2">
      <c r="A13" s="33" t="s">
        <v>4</v>
      </c>
      <c r="B13" s="31">
        <f>VLOOKUP(A13,'ALL EM Rank'!$A$2:$AB$26,10,FALSE)</f>
        <v>-0.51332565937108132</v>
      </c>
      <c r="C13" s="31">
        <f>VLOOKUP(A13,'ALL EM Rank'!$A$2:$AB$26,20,FALSE)</f>
        <v>-9.2385008933758617E-2</v>
      </c>
      <c r="D13" s="31">
        <f>VLOOKUP(A13,'ALL EM Rank'!$A$2:$AB$26,26,FALSE)</f>
        <v>-0.13372855429369224</v>
      </c>
      <c r="E13" s="31">
        <f>IF(B13+C13+D13&lt;&gt;VLOOKUP(A13,'ALL EM Rank'!$A$2:$AB$26,28,FALSE),"check values",'ALL EM Rank Summary'!B13+'ALL EM Rank Summary'!C13+'ALL EM Rank Summary'!D13)</f>
        <v>-0.73943922259853212</v>
      </c>
    </row>
    <row r="14" spans="1:5" ht="14.25" x14ac:dyDescent="0.2">
      <c r="A14" s="33" t="s">
        <v>43</v>
      </c>
      <c r="B14" s="31">
        <f>VLOOKUP(A14,'ALL EM Rank'!$A$2:$AB$26,10,FALSE)</f>
        <v>2.2424778149125191E-2</v>
      </c>
      <c r="C14" s="31">
        <f>VLOOKUP(A14,'ALL EM Rank'!$A$2:$AB$26,20,FALSE)</f>
        <v>0.43101580330538969</v>
      </c>
      <c r="D14" s="31">
        <f>VLOOKUP(A14,'ALL EM Rank'!$A$2:$AB$26,26,FALSE)</f>
        <v>-0.99110325476344596</v>
      </c>
      <c r="E14" s="31">
        <f>IF(B14+C14+D14&lt;&gt;VLOOKUP(A14,'ALL EM Rank'!$A$2:$AB$26,28,FALSE),"check values",'ALL EM Rank Summary'!B14+'ALL EM Rank Summary'!C14+'ALL EM Rank Summary'!D14)</f>
        <v>-0.53766267330893114</v>
      </c>
    </row>
    <row r="15" spans="1:5" ht="14.25" x14ac:dyDescent="0.2">
      <c r="A15" s="33" t="s">
        <v>13</v>
      </c>
      <c r="B15" s="31">
        <f>VLOOKUP(A15,'ALL EM Rank'!$A$2:$AB$26,10,FALSE)</f>
        <v>0.15808320811805349</v>
      </c>
      <c r="C15" s="31">
        <f>VLOOKUP(A15,'ALL EM Rank'!$A$2:$AB$26,20,FALSE)</f>
        <v>-0.37114819914137454</v>
      </c>
      <c r="D15" s="31">
        <f>VLOOKUP(A15,'ALL EM Rank'!$A$2:$AB$26,26,FALSE)</f>
        <v>-0.34950223603668934</v>
      </c>
      <c r="E15" s="31">
        <f>IF(B15+C15+D15&lt;&gt;VLOOKUP(A15,'ALL EM Rank'!$A$2:$AB$26,28,FALSE),"check values",'ALL EM Rank Summary'!B15+'ALL EM Rank Summary'!C15+'ALL EM Rank Summary'!D15)</f>
        <v>-0.56256722706001039</v>
      </c>
    </row>
    <row r="16" spans="1:5" ht="14.25" x14ac:dyDescent="0.2">
      <c r="A16" s="33" t="s">
        <v>37</v>
      </c>
      <c r="B16" s="31">
        <f>VLOOKUP(A16,'ALL EM Rank'!$A$2:$AB$26,10,FALSE)</f>
        <v>-0.39398954584361395</v>
      </c>
      <c r="C16" s="31">
        <f>VLOOKUP(A16,'ALL EM Rank'!$A$2:$AB$26,20,FALSE)</f>
        <v>0.66619103883506869</v>
      </c>
      <c r="D16" s="31">
        <f>VLOOKUP(A16,'ALL EM Rank'!$A$2:$AB$26,26,FALSE)</f>
        <v>-0.69999447877966237</v>
      </c>
      <c r="E16" s="31">
        <f>IF(B16+C16+D16&lt;&gt;VLOOKUP(A16,'ALL EM Rank'!$A$2:$AB$26,28,FALSE),"check values",'ALL EM Rank Summary'!B16+'ALL EM Rank Summary'!C16+'ALL EM Rank Summary'!D16)</f>
        <v>-0.42779298578820762</v>
      </c>
    </row>
    <row r="17" spans="1:5" ht="14.25" x14ac:dyDescent="0.2">
      <c r="A17" s="33" t="s">
        <v>23</v>
      </c>
      <c r="B17" s="31">
        <f>VLOOKUP(A17,'ALL EM Rank'!$A$2:$AB$26,10,FALSE)</f>
        <v>-0.10005806400386455</v>
      </c>
      <c r="C17" s="31">
        <f>VLOOKUP(A17,'ALL EM Rank'!$A$2:$AB$26,20,FALSE)</f>
        <v>0.70908082947960804</v>
      </c>
      <c r="D17" s="31">
        <f>VLOOKUP(A17,'ALL EM Rank'!$A$2:$AB$26,26,FALSE)</f>
        <v>-0.9014707817807841</v>
      </c>
      <c r="E17" s="31">
        <f>IF(B17+C17+D17&lt;&gt;VLOOKUP(A17,'ALL EM Rank'!$A$2:$AB$26,28,FALSE),"check values",'ALL EM Rank Summary'!B17+'ALL EM Rank Summary'!C17+'ALL EM Rank Summary'!D17)</f>
        <v>-0.29244801630504058</v>
      </c>
    </row>
    <row r="18" spans="1:5" ht="14.25" x14ac:dyDescent="0.2">
      <c r="A18" s="33" t="s">
        <v>48</v>
      </c>
      <c r="B18" s="31">
        <f>VLOOKUP(A18,'ALL EM Rank'!$A$2:$AB$26,10,FALSE)</f>
        <v>0.16099562066753453</v>
      </c>
      <c r="C18" s="31">
        <f>VLOOKUP(A18,'ALL EM Rank'!$A$2:$AB$26,20,FALSE)</f>
        <v>0.99708853321332447</v>
      </c>
      <c r="D18" s="31">
        <f>VLOOKUP(A18,'ALL EM Rank'!$A$2:$AB$26,26,FALSE)</f>
        <v>-1.3168716644534815</v>
      </c>
      <c r="E18" s="31">
        <f>IF(B18+C18+D18&lt;&gt;VLOOKUP(A18,'ALL EM Rank'!$A$2:$AB$26,28,FALSE),"check values",'ALL EM Rank Summary'!B18+'ALL EM Rank Summary'!C18+'ALL EM Rank Summary'!D18)</f>
        <v>-0.15878751057262241</v>
      </c>
    </row>
    <row r="19" spans="1:5" ht="14.25" x14ac:dyDescent="0.2">
      <c r="A19" s="33" t="s">
        <v>64</v>
      </c>
      <c r="B19" s="31">
        <f>VLOOKUP(A19,'ALL EM Rank'!$A$2:$AB$26,10,FALSE)</f>
        <v>0.60776606753352924</v>
      </c>
      <c r="C19" s="31">
        <f>VLOOKUP(A19,'ALL EM Rank'!$A$2:$AB$26,20,FALSE)</f>
        <v>-0.20152354116306495</v>
      </c>
      <c r="D19" s="31">
        <f>VLOOKUP(A19,'ALL EM Rank'!$A$2:$AB$26,26,FALSE)</f>
        <v>-0.17283491457682185</v>
      </c>
      <c r="E19" s="31">
        <f>IF(B19+C19+D19&lt;&gt;VLOOKUP(A19,'ALL EM Rank'!$A$2:$AB$26,28,FALSE),"check values",'ALL EM Rank Summary'!B19+'ALL EM Rank Summary'!C19+'ALL EM Rank Summary'!D19)</f>
        <v>0.23340761179364247</v>
      </c>
    </row>
    <row r="20" spans="1:5" ht="14.25" x14ac:dyDescent="0.2">
      <c r="A20" s="33" t="s">
        <v>14</v>
      </c>
      <c r="B20" s="31">
        <f>VLOOKUP(A20,'ALL EM Rank'!$A$2:$AB$26,10,FALSE)</f>
        <v>-5.2135716955758679E-2</v>
      </c>
      <c r="C20" s="31">
        <f>VLOOKUP(A20,'ALL EM Rank'!$A$2:$AB$26,20,FALSE)</f>
        <v>1.1220615306639026</v>
      </c>
      <c r="D20" s="31">
        <f>VLOOKUP(A20,'ALL EM Rank'!$A$2:$AB$26,26,FALSE)</f>
        <v>-0.7744689730118518</v>
      </c>
      <c r="E20" s="31">
        <f>IF(B20+C20+D20&lt;&gt;VLOOKUP(A20,'ALL EM Rank'!$A$2:$AB$26,28,FALSE),"check values",'ALL EM Rank Summary'!B20+'ALL EM Rank Summary'!C20+'ALL EM Rank Summary'!D20)</f>
        <v>0.29545684069629219</v>
      </c>
    </row>
    <row r="21" spans="1:5" ht="14.25" x14ac:dyDescent="0.2">
      <c r="A21" s="33" t="s">
        <v>45</v>
      </c>
      <c r="B21" s="31">
        <f>VLOOKUP(A21,'ALL EM Rank'!$A$2:$AB$26,10,FALSE)</f>
        <v>0.40390858957074738</v>
      </c>
      <c r="C21" s="31">
        <f>VLOOKUP(A21,'ALL EM Rank'!$A$2:$AB$26,20,FALSE)</f>
        <v>0.21200097008968671</v>
      </c>
      <c r="D21" s="31">
        <f>VLOOKUP(A21,'ALL EM Rank'!$A$2:$AB$26,26,FALSE)</f>
        <v>9.3624018780631257E-2</v>
      </c>
      <c r="E21" s="31">
        <f>IF(B21+C21+D21&lt;&gt;VLOOKUP(A21,'ALL EM Rank'!$A$2:$AB$26,28,FALSE),"check values",'ALL EM Rank Summary'!B21+'ALL EM Rank Summary'!C21+'ALL EM Rank Summary'!D21)</f>
        <v>0.70953357844106524</v>
      </c>
    </row>
    <row r="22" spans="1:5" ht="14.25" x14ac:dyDescent="0.2">
      <c r="A22" s="33" t="s">
        <v>77</v>
      </c>
      <c r="B22" s="31">
        <f>VLOOKUP(A22,'ALL EM Rank'!$A$2:$AB$26,10,FALSE)</f>
        <v>1.1626755695973388</v>
      </c>
      <c r="C22" s="31">
        <f>VLOOKUP(A22,'ALL EM Rank'!$A$2:$AB$26,20,FALSE)</f>
        <v>0.78753570847792198</v>
      </c>
      <c r="D22" s="31">
        <f>VLOOKUP(A22,'ALL EM Rank'!$A$2:$AB$26,26,FALSE)</f>
        <v>0.10072183387211392</v>
      </c>
      <c r="E22" s="31">
        <f>IF(B22+C22+D22&lt;&gt;VLOOKUP(A22,'ALL EM Rank'!$A$2:$AB$26,28,FALSE),"check values",'ALL EM Rank Summary'!B22+'ALL EM Rank Summary'!C22+'ALL EM Rank Summary'!D22)</f>
        <v>2.0509331119473746</v>
      </c>
    </row>
    <row r="23" spans="1:5" ht="14.25" x14ac:dyDescent="0.2">
      <c r="A23" s="33" t="s">
        <v>10</v>
      </c>
      <c r="B23" s="31">
        <f>VLOOKUP(A23,'ALL EM Rank'!$A$2:$AB$26,10,FALSE)</f>
        <v>-0.12369940743441957</v>
      </c>
      <c r="C23" s="31">
        <f>VLOOKUP(A23,'ALL EM Rank'!$A$2:$AB$26,20,FALSE)</f>
        <v>0.59318155883492851</v>
      </c>
      <c r="D23" s="31">
        <f>VLOOKUP(A23,'ALL EM Rank'!$A$2:$AB$26,26,FALSE)</f>
        <v>1.422670374501299</v>
      </c>
      <c r="E23" s="31">
        <f>IF(B23+C23+D23&lt;&gt;VLOOKUP(A23,'ALL EM Rank'!$A$2:$AB$26,28,FALSE),"check values",'ALL EM Rank Summary'!B23+'ALL EM Rank Summary'!C23+'ALL EM Rank Summary'!D23)</f>
        <v>1.8921525259018079</v>
      </c>
    </row>
    <row r="24" spans="1:5" ht="14.25" x14ac:dyDescent="0.2">
      <c r="A24" s="33" t="s">
        <v>65</v>
      </c>
      <c r="B24" s="31">
        <f>VLOOKUP(A24,'ALL EM Rank'!$A$2:$AB$26,10,FALSE)</f>
        <v>1.8646715348728646</v>
      </c>
      <c r="C24" s="31">
        <f>VLOOKUP(A24,'ALL EM Rank'!$A$2:$AB$26,20,FALSE)</f>
        <v>-1.5869230621591429E-2</v>
      </c>
      <c r="D24" s="31">
        <f>VLOOKUP(A24,'ALL EM Rank'!$A$2:$AB$26,26,FALSE)</f>
        <v>0.26116802574987769</v>
      </c>
      <c r="E24" s="31">
        <f>IF(B24+C24+D24&lt;&gt;VLOOKUP(A24,'ALL EM Rank'!$A$2:$AB$26,28,FALSE),"check values",'ALL EM Rank Summary'!B24+'ALL EM Rank Summary'!C24+'ALL EM Rank Summary'!D24)</f>
        <v>2.109970330001151</v>
      </c>
    </row>
    <row r="25" spans="1:5" ht="14.25" x14ac:dyDescent="0.2">
      <c r="A25" s="33" t="s">
        <v>39</v>
      </c>
      <c r="B25" s="31">
        <f>VLOOKUP(A25,'ALL EM Rank'!$A$2:$AB$26,10,FALSE)</f>
        <v>-2.3474836624547968E-2</v>
      </c>
      <c r="C25" s="31">
        <f>VLOOKUP(A25,'ALL EM Rank'!$A$2:$AB$26,20,FALSE)</f>
        <v>1.111647718516303</v>
      </c>
      <c r="D25" s="31">
        <f>VLOOKUP(A25,'ALL EM Rank'!$A$2:$AB$26,26,FALSE)</f>
        <v>2.019360749379445</v>
      </c>
      <c r="E25" s="31">
        <f>IF(B25+C25+D25&lt;&gt;VLOOKUP(A25,'ALL EM Rank'!$A$2:$AB$26,28,FALSE),"check values",'ALL EM Rank Summary'!B25+'ALL EM Rank Summary'!C25+'ALL EM Rank Summary'!D25)</f>
        <v>3.1075336312711999</v>
      </c>
    </row>
    <row r="26" spans="1:5" ht="14.25" x14ac:dyDescent="0.2">
      <c r="A26" s="33" t="s">
        <v>58</v>
      </c>
      <c r="B26" s="31">
        <f>VLOOKUP(A26,'ALL EM Rank'!$A$2:$AB$26,10,FALSE)</f>
        <v>0.76972025730783988</v>
      </c>
      <c r="C26" s="31">
        <f>VLOOKUP(A26,'ALL EM Rank'!$A$2:$AB$26,20,FALSE)</f>
        <v>0.57341324331734911</v>
      </c>
      <c r="D26" s="31">
        <f>VLOOKUP(A26,'ALL EM Rank'!$A$2:$AB$26,26,FALSE)</f>
        <v>2.2379875671233433</v>
      </c>
      <c r="E26" s="31">
        <f>IF(B26+C26+D26&lt;&gt;VLOOKUP(A26,'ALL EM Rank'!$A$2:$AB$26,28,FALSE),"check values",'ALL EM Rank Summary'!B26+'ALL EM Rank Summary'!C26+'ALL EM Rank Summary'!D26)</f>
        <v>3.5811210677485326</v>
      </c>
    </row>
    <row r="27" spans="1:5" ht="14.25" x14ac:dyDescent="0.2">
      <c r="A27" s="33" t="s">
        <v>70</v>
      </c>
      <c r="B27" s="31">
        <f>VLOOKUP(A27,'ALL EM Rank'!$A$2:$AB$26,10,FALSE)</f>
        <v>2.724084554942956</v>
      </c>
      <c r="C27" s="31">
        <f>VLOOKUP(A27,'ALL EM Rank'!$A$2:$AB$26,20,FALSE)</f>
        <v>0.89817375777551911</v>
      </c>
      <c r="D27" s="31">
        <f>VLOOKUP(A27,'ALL EM Rank'!$A$2:$AB$26,26,FALSE)</f>
        <v>2.3316979423601634</v>
      </c>
      <c r="E27" s="31">
        <f>IF(B27+C27+D27&lt;&gt;VLOOKUP(A27,'ALL EM Rank'!$A$2:$AB$26,28,FALSE),"check values",'ALL EM Rank Summary'!B27+'ALL EM Rank Summary'!C27+'ALL EM Rank Summary'!D27)</f>
        <v>5.9539562550786389</v>
      </c>
    </row>
    <row r="28" spans="1:5" ht="14.25" x14ac:dyDescent="0.2">
      <c r="A28" s="33" t="s">
        <v>12</v>
      </c>
      <c r="B28" s="31">
        <f>VLOOKUP(A28,'ALL EM Rank'!$A$2:$AB$26,10,FALSE)</f>
        <v>3.5944553603951035</v>
      </c>
      <c r="C28" s="31">
        <f>VLOOKUP(A28,'ALL EM Rank'!$A$2:$AB$26,20,FALSE)</f>
        <v>0.7348053012134097</v>
      </c>
      <c r="D28" s="31">
        <f>VLOOKUP(A28,'ALL EM Rank'!$A$2:$AB$26,26,FALSE)</f>
        <v>2.5898537259884344</v>
      </c>
      <c r="E28" s="31">
        <f>IF(B28+C28+D28&lt;&gt;VLOOKUP(A28,'ALL EM Rank'!$A$2:$AB$26,28,FALSE),"check values",'ALL EM Rank Summary'!B28+'ALL EM Rank Summary'!C28+'ALL EM Rank Summary'!D28)</f>
        <v>6.9191143875969479</v>
      </c>
    </row>
  </sheetData>
  <sortState ref="A4:E28">
    <sortCondition ref="E4:E28"/>
  </sortState>
  <mergeCells count="1">
    <mergeCell ref="A1:E1"/>
  </mergeCells>
  <phoneticPr fontId="3" type="noConversion"/>
  <printOptions horizontalCentered="1"/>
  <pageMargins left="0.75" right="0.75" top="1" bottom="1" header="0.5" footer="0.5"/>
  <pageSetup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0.249977111117893"/>
    <pageSetUpPr fitToPage="1"/>
  </sheetPr>
  <dimension ref="A1:K41"/>
  <sheetViews>
    <sheetView topLeftCell="A2" workbookViewId="0">
      <selection activeCell="F17" sqref="F17"/>
    </sheetView>
  </sheetViews>
  <sheetFormatPr defaultRowHeight="12.75" x14ac:dyDescent="0.2"/>
  <cols>
    <col min="1" max="1" width="15.28515625" customWidth="1"/>
    <col min="2" max="5" width="10.7109375" customWidth="1"/>
    <col min="6" max="6" width="5.7109375" customWidth="1"/>
    <col min="7" max="7" width="15.28515625" customWidth="1"/>
    <col min="8" max="11" width="10.7109375" customWidth="1"/>
  </cols>
  <sheetData>
    <row r="1" spans="1:11" ht="18" x14ac:dyDescent="0.25">
      <c r="A1" s="313" t="s">
        <v>653</v>
      </c>
      <c r="B1" s="313"/>
      <c r="C1" s="313"/>
      <c r="D1" s="313"/>
      <c r="E1" s="313"/>
      <c r="F1" s="313"/>
      <c r="G1" s="313"/>
      <c r="H1" s="313"/>
      <c r="I1" s="313"/>
      <c r="J1" s="313"/>
      <c r="K1" s="313"/>
    </row>
    <row r="2" spans="1:11" ht="15.75" x14ac:dyDescent="0.25">
      <c r="A2" s="22"/>
      <c r="B2" s="22"/>
      <c r="C2" s="22"/>
      <c r="D2" s="22"/>
      <c r="E2" s="22"/>
      <c r="F2" s="22"/>
      <c r="G2" s="22"/>
      <c r="H2" s="22"/>
      <c r="I2" s="22"/>
      <c r="J2" s="22"/>
      <c r="K2" s="29" t="s">
        <v>714</v>
      </c>
    </row>
    <row r="3" spans="1:11" ht="15.75" x14ac:dyDescent="0.25">
      <c r="A3" s="22"/>
      <c r="B3" s="22"/>
      <c r="C3" s="22"/>
      <c r="D3" s="22"/>
      <c r="E3" s="22"/>
      <c r="F3" s="22"/>
      <c r="G3" s="22"/>
      <c r="H3" s="22"/>
      <c r="I3" s="22"/>
      <c r="J3" s="22"/>
      <c r="K3" s="27"/>
    </row>
    <row r="4" spans="1:11" ht="15.75" x14ac:dyDescent="0.25">
      <c r="A4" s="314" t="s">
        <v>202</v>
      </c>
      <c r="B4" s="314"/>
      <c r="C4" s="314"/>
      <c r="D4" s="314"/>
      <c r="E4" s="314"/>
      <c r="F4" s="23"/>
      <c r="G4" s="314" t="s">
        <v>203</v>
      </c>
      <c r="H4" s="314"/>
      <c r="I4" s="314"/>
      <c r="J4" s="314"/>
      <c r="K4" s="314"/>
    </row>
    <row r="6" spans="1:11" x14ac:dyDescent="0.2">
      <c r="A6" s="1" t="s">
        <v>654</v>
      </c>
      <c r="B6" s="23" t="s">
        <v>198</v>
      </c>
      <c r="C6" s="23" t="s">
        <v>199</v>
      </c>
      <c r="D6" s="23" t="s">
        <v>201</v>
      </c>
      <c r="E6" s="23" t="s">
        <v>76</v>
      </c>
    </row>
    <row r="7" spans="1:11" x14ac:dyDescent="0.2">
      <c r="A7" s="24" t="s">
        <v>0</v>
      </c>
      <c r="B7" s="28">
        <v>-0.7027870593594282</v>
      </c>
      <c r="C7" s="28">
        <v>-10.404718696016602</v>
      </c>
      <c r="D7" s="28">
        <v>1.259890925965421</v>
      </c>
      <c r="E7" s="28">
        <f>B7+C7+D7</f>
        <v>-9.8476148294106096</v>
      </c>
    </row>
    <row r="9" spans="1:11" x14ac:dyDescent="0.2">
      <c r="A9" s="200" t="s">
        <v>204</v>
      </c>
      <c r="B9" s="201" t="s">
        <v>198</v>
      </c>
      <c r="C9" s="201" t="s">
        <v>199</v>
      </c>
      <c r="D9" s="201" t="s">
        <v>201</v>
      </c>
      <c r="E9" s="201" t="s">
        <v>76</v>
      </c>
      <c r="G9" s="1" t="s">
        <v>169</v>
      </c>
      <c r="H9" s="23" t="s">
        <v>198</v>
      </c>
      <c r="I9" s="23" t="s">
        <v>199</v>
      </c>
      <c r="J9" s="23" t="s">
        <v>201</v>
      </c>
      <c r="K9" s="23" t="s">
        <v>76</v>
      </c>
    </row>
    <row r="10" spans="1:11" x14ac:dyDescent="0.2">
      <c r="A10" s="24" t="s">
        <v>3</v>
      </c>
      <c r="B10" s="28">
        <v>-1.3611200836213553</v>
      </c>
      <c r="C10" s="28">
        <v>-1.6832506212713041</v>
      </c>
      <c r="D10" s="28">
        <v>9.967182955731746E-2</v>
      </c>
      <c r="E10" s="28">
        <f>B10+C10+D10</f>
        <v>-2.9446988753353422</v>
      </c>
      <c r="G10" s="24" t="s">
        <v>47</v>
      </c>
      <c r="H10" s="28">
        <v>-1.1204596784691498</v>
      </c>
      <c r="I10" s="28">
        <v>-2.5958263427190498</v>
      </c>
      <c r="J10" s="28">
        <v>-0.78299471066852033</v>
      </c>
      <c r="K10" s="28">
        <f t="shared" ref="K10:K19" si="0">H10+I10+J10</f>
        <v>-4.4992807318567198</v>
      </c>
    </row>
    <row r="11" spans="1:11" x14ac:dyDescent="0.2">
      <c r="A11" s="24" t="s">
        <v>36</v>
      </c>
      <c r="B11" s="28">
        <v>-0.4771620064596882</v>
      </c>
      <c r="C11" s="28">
        <v>0.37748291152061819</v>
      </c>
      <c r="D11" s="28">
        <v>-0.87834006008104371</v>
      </c>
      <c r="E11" s="28">
        <f>B11+C11+D11</f>
        <v>-0.97801915502011372</v>
      </c>
      <c r="G11" s="24" t="s">
        <v>36</v>
      </c>
      <c r="H11" s="28">
        <v>-0.89075697347286387</v>
      </c>
      <c r="I11" s="28">
        <v>-0.1541286834215819</v>
      </c>
      <c r="J11" s="28">
        <v>-2.0163447793643714</v>
      </c>
      <c r="K11" s="28">
        <f t="shared" si="0"/>
        <v>-3.0612304362588172</v>
      </c>
    </row>
    <row r="12" spans="1:11" x14ac:dyDescent="0.2">
      <c r="A12" s="192" t="s">
        <v>48</v>
      </c>
      <c r="B12" s="28">
        <v>1.8430122936048663</v>
      </c>
      <c r="C12" s="28">
        <v>1.2644865224179054</v>
      </c>
      <c r="D12" s="28">
        <v>0.77866823052372713</v>
      </c>
      <c r="E12" s="28">
        <f>B12+C12+D12</f>
        <v>3.8861670465464986</v>
      </c>
      <c r="G12" s="24" t="s">
        <v>11</v>
      </c>
      <c r="H12" s="28">
        <v>-0.55837251190705184</v>
      </c>
      <c r="I12" s="28">
        <v>-0.45792745657128925</v>
      </c>
      <c r="J12" s="28">
        <v>-1.1298273876653193</v>
      </c>
      <c r="K12" s="28">
        <f t="shared" si="0"/>
        <v>-2.1461273561436602</v>
      </c>
    </row>
    <row r="13" spans="1:11" x14ac:dyDescent="0.2">
      <c r="A13" s="195"/>
      <c r="B13" s="196"/>
      <c r="C13" s="196"/>
      <c r="D13" s="196"/>
      <c r="E13" s="196"/>
      <c r="G13" s="25" t="s">
        <v>71</v>
      </c>
      <c r="H13" s="28">
        <v>-1.4643619626940019</v>
      </c>
      <c r="I13" s="28">
        <v>1.061522961739896</v>
      </c>
      <c r="J13" s="28">
        <v>-1.2387335642421984</v>
      </c>
      <c r="K13" s="28">
        <f t="shared" si="0"/>
        <v>-1.6415725651963042</v>
      </c>
    </row>
    <row r="14" spans="1:11" x14ac:dyDescent="0.2">
      <c r="A14" s="1" t="s">
        <v>205</v>
      </c>
      <c r="B14" s="23" t="s">
        <v>198</v>
      </c>
      <c r="C14" s="23" t="s">
        <v>199</v>
      </c>
      <c r="D14" s="23" t="s">
        <v>201</v>
      </c>
      <c r="E14" s="23" t="s">
        <v>76</v>
      </c>
      <c r="G14" s="24" t="s">
        <v>9</v>
      </c>
      <c r="H14" s="28">
        <v>0.6980770539470873</v>
      </c>
      <c r="I14" s="28">
        <v>-1.1697504997340096</v>
      </c>
      <c r="J14" s="28">
        <v>-0.95122160165699032</v>
      </c>
      <c r="K14" s="28">
        <f t="shared" si="0"/>
        <v>-1.4228950474439126</v>
      </c>
    </row>
    <row r="15" spans="1:11" x14ac:dyDescent="0.2">
      <c r="A15" s="24" t="s">
        <v>47</v>
      </c>
      <c r="B15" s="28">
        <v>-2.180298679364431</v>
      </c>
      <c r="C15" s="28">
        <v>-2.5602879073092244</v>
      </c>
      <c r="D15" s="28">
        <v>0.35517470047655808</v>
      </c>
      <c r="E15" s="28">
        <f t="shared" ref="E15:E23" si="1">B15+C15+D15</f>
        <v>-4.3854118861970974</v>
      </c>
      <c r="G15" s="25" t="s">
        <v>72</v>
      </c>
      <c r="H15" s="28">
        <v>0.35687274083463549</v>
      </c>
      <c r="I15" s="28">
        <v>-0.48516269656741356</v>
      </c>
      <c r="J15" s="28">
        <v>-0.65982184042725189</v>
      </c>
      <c r="K15" s="28">
        <f t="shared" si="0"/>
        <v>-0.78811179616002991</v>
      </c>
    </row>
    <row r="16" spans="1:11" x14ac:dyDescent="0.2">
      <c r="A16" s="24" t="s">
        <v>11</v>
      </c>
      <c r="B16" s="28">
        <v>-0.85551833416982037</v>
      </c>
      <c r="C16" s="28">
        <v>7.0367009745188794E-2</v>
      </c>
      <c r="D16" s="28">
        <v>-1.068587041745386</v>
      </c>
      <c r="E16" s="28">
        <f t="shared" si="1"/>
        <v>-1.8537383661700175</v>
      </c>
      <c r="G16" s="24" t="s">
        <v>37</v>
      </c>
      <c r="H16" s="28">
        <v>0.47199155328934855</v>
      </c>
      <c r="I16" s="28">
        <v>0.17546542553939809</v>
      </c>
      <c r="J16" s="28">
        <v>-0.77907472365758679</v>
      </c>
      <c r="K16" s="28">
        <f t="shared" si="0"/>
        <v>-0.13161774482884014</v>
      </c>
    </row>
    <row r="17" spans="1:11" x14ac:dyDescent="0.2">
      <c r="A17" s="25" t="s">
        <v>71</v>
      </c>
      <c r="B17" s="28">
        <v>-1.8347338118322849</v>
      </c>
      <c r="C17" s="28">
        <v>1.8092286502286461</v>
      </c>
      <c r="D17" s="28">
        <v>-1.5766691083570019</v>
      </c>
      <c r="E17" s="28">
        <f t="shared" si="1"/>
        <v>-1.6021742699606407</v>
      </c>
      <c r="G17" s="24" t="s">
        <v>10</v>
      </c>
      <c r="H17" s="28">
        <v>0.42054815471551144</v>
      </c>
      <c r="I17" s="28">
        <v>0.4643837240763462</v>
      </c>
      <c r="J17" s="28">
        <v>0.9906717643814047</v>
      </c>
      <c r="K17" s="28">
        <f t="shared" si="0"/>
        <v>1.8756036431732623</v>
      </c>
    </row>
    <row r="18" spans="1:11" x14ac:dyDescent="0.2">
      <c r="A18" s="24" t="s">
        <v>9</v>
      </c>
      <c r="B18" s="28">
        <v>0.78179482655351096</v>
      </c>
      <c r="C18" s="28">
        <v>-0.98125778783473683</v>
      </c>
      <c r="D18" s="28">
        <v>-0.46362075891818844</v>
      </c>
      <c r="E18" s="28">
        <f t="shared" si="1"/>
        <v>-0.66308372019941431</v>
      </c>
      <c r="G18" s="24" t="s">
        <v>39</v>
      </c>
      <c r="H18" s="28">
        <v>0.31482395723435064</v>
      </c>
      <c r="I18" s="28">
        <v>1.4788343010423219</v>
      </c>
      <c r="J18" s="28">
        <v>1.5920093723906885</v>
      </c>
      <c r="K18" s="28">
        <f t="shared" si="0"/>
        <v>3.3856676306673612</v>
      </c>
    </row>
    <row r="19" spans="1:11" x14ac:dyDescent="0.2">
      <c r="A19" s="24" t="s">
        <v>23</v>
      </c>
      <c r="B19" s="28">
        <v>0.44541781140890158</v>
      </c>
      <c r="C19" s="28">
        <v>0.80722018847583132</v>
      </c>
      <c r="D19" s="28">
        <v>-0.74672289790594992</v>
      </c>
      <c r="E19" s="28">
        <f t="shared" si="1"/>
        <v>0.50591510197878287</v>
      </c>
      <c r="G19" s="24" t="s">
        <v>12</v>
      </c>
      <c r="H19" s="28">
        <v>2.4714974550012152</v>
      </c>
      <c r="I19" s="28">
        <v>0.99855923307553518</v>
      </c>
      <c r="J19" s="28">
        <v>2.2193681306125939</v>
      </c>
      <c r="K19" s="28">
        <f t="shared" si="0"/>
        <v>5.6894248186893446</v>
      </c>
    </row>
    <row r="20" spans="1:11" x14ac:dyDescent="0.2">
      <c r="A20" s="24" t="s">
        <v>43</v>
      </c>
      <c r="B20" s="28">
        <v>0.48078944726281392</v>
      </c>
      <c r="C20" s="28">
        <v>1.3688567594528565</v>
      </c>
      <c r="D20" s="28">
        <v>-1.0232394946531527</v>
      </c>
      <c r="E20" s="28">
        <f t="shared" si="1"/>
        <v>0.82640671206251759</v>
      </c>
      <c r="G20" s="1"/>
      <c r="H20" s="23"/>
      <c r="I20" s="23"/>
      <c r="J20" s="23"/>
      <c r="K20" s="23"/>
    </row>
    <row r="21" spans="1:11" x14ac:dyDescent="0.2">
      <c r="A21" s="24" t="s">
        <v>37</v>
      </c>
      <c r="B21" s="28">
        <v>-0.13738704898748133</v>
      </c>
      <c r="C21" s="28">
        <v>0.72901825463925984</v>
      </c>
      <c r="D21" s="28">
        <v>0.3866098942424101</v>
      </c>
      <c r="E21" s="28">
        <f t="shared" si="1"/>
        <v>0.97824109989418861</v>
      </c>
    </row>
    <row r="22" spans="1:11" x14ac:dyDescent="0.2">
      <c r="A22" s="24" t="s">
        <v>13</v>
      </c>
      <c r="B22" s="28">
        <v>1.4770174493024613</v>
      </c>
      <c r="C22" s="28">
        <v>-1.6155166815467537</v>
      </c>
      <c r="D22" s="28">
        <v>1.3998613178551695</v>
      </c>
      <c r="E22" s="28">
        <f t="shared" si="1"/>
        <v>1.2613620856108771</v>
      </c>
      <c r="G22" s="1" t="s">
        <v>124</v>
      </c>
      <c r="H22" s="23" t="s">
        <v>198</v>
      </c>
      <c r="I22" s="23" t="s">
        <v>199</v>
      </c>
      <c r="J22" s="23" t="s">
        <v>201</v>
      </c>
      <c r="K22" s="23" t="s">
        <v>76</v>
      </c>
    </row>
    <row r="23" spans="1:11" x14ac:dyDescent="0.2">
      <c r="A23" s="192" t="s">
        <v>45</v>
      </c>
      <c r="B23" s="28">
        <v>1.822918339826334</v>
      </c>
      <c r="C23" s="28">
        <v>0.37237151414893449</v>
      </c>
      <c r="D23" s="28">
        <v>2.7371933890055722</v>
      </c>
      <c r="E23" s="28">
        <f t="shared" si="1"/>
        <v>4.9324832429808403</v>
      </c>
      <c r="G23" s="24" t="s">
        <v>13</v>
      </c>
      <c r="H23" s="28">
        <v>-0.74244278568192867</v>
      </c>
      <c r="I23" s="28">
        <v>-3.0299052069614407</v>
      </c>
      <c r="J23" s="28">
        <v>-0.44783259407856446</v>
      </c>
      <c r="K23" s="28">
        <f t="shared" ref="K23:K31" si="2">H23+I23+J23</f>
        <v>-4.2201805867219333</v>
      </c>
    </row>
    <row r="24" spans="1:11" x14ac:dyDescent="0.2">
      <c r="A24" s="195"/>
      <c r="B24" s="196"/>
      <c r="C24" s="196"/>
      <c r="D24" s="196"/>
      <c r="E24" s="196"/>
      <c r="G24" s="24" t="s">
        <v>23</v>
      </c>
      <c r="H24" s="28">
        <v>-0.64874687373485684</v>
      </c>
      <c r="I24" s="28">
        <v>-0.14999727724197567</v>
      </c>
      <c r="J24" s="28">
        <v>-0.99158974059883309</v>
      </c>
      <c r="K24" s="28">
        <f t="shared" si="2"/>
        <v>-1.7903338915756657</v>
      </c>
    </row>
    <row r="25" spans="1:11" x14ac:dyDescent="0.2">
      <c r="A25" s="1" t="s">
        <v>206</v>
      </c>
      <c r="B25" s="23" t="s">
        <v>198</v>
      </c>
      <c r="C25" s="23" t="s">
        <v>199</v>
      </c>
      <c r="D25" s="23" t="s">
        <v>201</v>
      </c>
      <c r="E25" s="23" t="s">
        <v>76</v>
      </c>
      <c r="G25" s="24" t="s">
        <v>45</v>
      </c>
      <c r="H25" s="28">
        <v>-0.96944839939384253</v>
      </c>
      <c r="I25" s="28">
        <v>-0.60546841039127974</v>
      </c>
      <c r="J25" s="28">
        <v>-8.4995155891323393E-2</v>
      </c>
      <c r="K25" s="28">
        <f t="shared" si="2"/>
        <v>-1.6599119656764456</v>
      </c>
    </row>
    <row r="26" spans="1:11" x14ac:dyDescent="0.2">
      <c r="A26" s="24" t="s">
        <v>4</v>
      </c>
      <c r="B26" s="28">
        <v>-1.1221529618506352</v>
      </c>
      <c r="C26" s="28">
        <v>-1.1580952226504435</v>
      </c>
      <c r="D26" s="28">
        <v>0.39457598303644276</v>
      </c>
      <c r="E26" s="28">
        <f>B26+C26+D26</f>
        <v>-1.8856722014646359</v>
      </c>
      <c r="G26" s="24" t="s">
        <v>43</v>
      </c>
      <c r="H26" s="28">
        <v>-0.40710411096073396</v>
      </c>
      <c r="I26" s="28">
        <v>0.26107168467339947</v>
      </c>
      <c r="J26" s="28">
        <v>-1.0599196701655389</v>
      </c>
      <c r="K26" s="28">
        <f t="shared" si="2"/>
        <v>-1.2059520964528734</v>
      </c>
    </row>
    <row r="27" spans="1:11" x14ac:dyDescent="0.2">
      <c r="A27" s="25" t="s">
        <v>72</v>
      </c>
      <c r="B27" s="28">
        <v>-0.19029051469755481</v>
      </c>
      <c r="C27" s="28">
        <v>-6.9390893814189614E-2</v>
      </c>
      <c r="D27" s="28">
        <v>-0.6427307013566953</v>
      </c>
      <c r="E27" s="28">
        <f>B27+C27+D27</f>
        <v>-0.90241210986843967</v>
      </c>
      <c r="G27" s="24" t="s">
        <v>48</v>
      </c>
      <c r="H27" s="28">
        <v>-0.44026283649480974</v>
      </c>
      <c r="I27" s="28">
        <v>0.88547152941044971</v>
      </c>
      <c r="J27" s="28">
        <v>-1.3815980458192705</v>
      </c>
      <c r="K27" s="28">
        <f t="shared" si="2"/>
        <v>-0.93638935290363046</v>
      </c>
    </row>
    <row r="28" spans="1:11" x14ac:dyDescent="0.2">
      <c r="A28" s="24" t="s">
        <v>2</v>
      </c>
      <c r="B28" s="28">
        <v>-0.66824138319977444</v>
      </c>
      <c r="C28" s="28">
        <v>0.22611300347393054</v>
      </c>
      <c r="D28" s="28">
        <v>0.58095733194519505</v>
      </c>
      <c r="E28" s="28">
        <f>B28+C28+D28</f>
        <v>0.13882895221935115</v>
      </c>
      <c r="G28" s="24" t="s">
        <v>14</v>
      </c>
      <c r="H28" s="28">
        <v>-1.1118361515376285</v>
      </c>
      <c r="I28" s="28">
        <v>1.0794909130955537</v>
      </c>
      <c r="J28" s="28">
        <v>-0.83538691872015813</v>
      </c>
      <c r="K28" s="28">
        <f t="shared" si="2"/>
        <v>-0.86773215716223295</v>
      </c>
    </row>
    <row r="29" spans="1:11" x14ac:dyDescent="0.2">
      <c r="A29" s="24" t="s">
        <v>14</v>
      </c>
      <c r="B29" s="28">
        <v>-0.17568549733789834</v>
      </c>
      <c r="C29" s="28">
        <v>2.3935888088100086</v>
      </c>
      <c r="D29" s="28">
        <v>-1.5334878112883683</v>
      </c>
      <c r="E29" s="28">
        <f>B29+C29+D29</f>
        <v>0.68441550018374175</v>
      </c>
      <c r="G29" s="25" t="s">
        <v>65</v>
      </c>
      <c r="H29" s="28">
        <v>2.8560353249650507</v>
      </c>
      <c r="I29" s="28">
        <v>-2.6504402630962036</v>
      </c>
      <c r="J29" s="28">
        <v>0.25057998034129397</v>
      </c>
      <c r="K29" s="28">
        <f t="shared" si="2"/>
        <v>0.4561750422101411</v>
      </c>
    </row>
    <row r="30" spans="1:11" x14ac:dyDescent="0.2">
      <c r="A30" s="199" t="s">
        <v>65</v>
      </c>
      <c r="B30" s="28">
        <v>2.156370357085863</v>
      </c>
      <c r="C30" s="28">
        <v>-1.3922156958193057</v>
      </c>
      <c r="D30" s="28">
        <v>1.2006851976634287</v>
      </c>
      <c r="E30" s="28">
        <f>B30+C30+D30</f>
        <v>1.964839858929986</v>
      </c>
      <c r="G30" s="24" t="s">
        <v>58</v>
      </c>
      <c r="H30" s="28">
        <v>-2.1927307861704756E-2</v>
      </c>
      <c r="I30" s="28">
        <v>0.15964292782699219</v>
      </c>
      <c r="J30" s="28">
        <v>1.6530548335697854</v>
      </c>
      <c r="K30" s="28">
        <f t="shared" si="2"/>
        <v>1.7907704535350728</v>
      </c>
    </row>
    <row r="31" spans="1:11" x14ac:dyDescent="0.2">
      <c r="A31" s="195"/>
      <c r="B31" s="196"/>
      <c r="C31" s="196"/>
      <c r="D31" s="196"/>
      <c r="E31" s="196"/>
      <c r="G31" s="25" t="s">
        <v>70</v>
      </c>
      <c r="H31" s="28">
        <v>2.9652159553109296</v>
      </c>
      <c r="I31" s="28">
        <v>0.98368641228858145</v>
      </c>
      <c r="J31" s="28">
        <v>2.0033524656470387</v>
      </c>
      <c r="K31" s="28">
        <f t="shared" si="2"/>
        <v>5.9522548332465499</v>
      </c>
    </row>
    <row r="32" spans="1:11" x14ac:dyDescent="0.2">
      <c r="A32" s="1" t="s">
        <v>207</v>
      </c>
      <c r="B32" s="23" t="s">
        <v>198</v>
      </c>
      <c r="C32" s="23" t="s">
        <v>199</v>
      </c>
      <c r="D32" s="23" t="s">
        <v>201</v>
      </c>
      <c r="E32" s="23" t="s">
        <v>76</v>
      </c>
    </row>
    <row r="33" spans="1:11" x14ac:dyDescent="0.2">
      <c r="A33" s="191" t="s">
        <v>64</v>
      </c>
      <c r="B33" s="28">
        <v>-0.46634089768393466</v>
      </c>
      <c r="C33" s="28">
        <v>-3.1810356701018465</v>
      </c>
      <c r="D33" s="28">
        <v>-2.124715913256281</v>
      </c>
      <c r="E33" s="28">
        <f t="shared" ref="E33:E39" si="3">B33+C33+D33</f>
        <v>-5.772092481042062</v>
      </c>
      <c r="G33" s="1" t="s">
        <v>16</v>
      </c>
      <c r="H33" s="23" t="s">
        <v>198</v>
      </c>
      <c r="I33" s="23" t="s">
        <v>199</v>
      </c>
      <c r="J33" s="23" t="s">
        <v>201</v>
      </c>
      <c r="K33" s="23" t="s">
        <v>76</v>
      </c>
    </row>
    <row r="34" spans="1:11" x14ac:dyDescent="0.2">
      <c r="A34" s="25" t="s">
        <v>77</v>
      </c>
      <c r="B34" s="28">
        <v>-0.26129549960577897</v>
      </c>
      <c r="C34" s="28">
        <v>-0.19112994525379579</v>
      </c>
      <c r="D34" s="28">
        <v>-1.7545532407250508</v>
      </c>
      <c r="E34" s="28">
        <f t="shared" si="3"/>
        <v>-2.2069786855846254</v>
      </c>
      <c r="G34" s="24" t="s">
        <v>0</v>
      </c>
      <c r="H34" s="28">
        <v>-1.9612564823486978</v>
      </c>
      <c r="I34" s="28">
        <v>-3.1839799913644296</v>
      </c>
      <c r="J34" s="28">
        <v>-1.4239533927853609</v>
      </c>
      <c r="K34" s="28">
        <f t="shared" ref="K34:K39" si="4">H34+I34+J34</f>
        <v>-6.5691898664984878</v>
      </c>
    </row>
    <row r="35" spans="1:11" x14ac:dyDescent="0.2">
      <c r="A35" s="24" t="s">
        <v>10</v>
      </c>
      <c r="B35" s="28">
        <v>-1.1474255449171775</v>
      </c>
      <c r="C35" s="28">
        <v>-0.42317449455660588</v>
      </c>
      <c r="D35" s="28">
        <v>-6.872636002967579E-2</v>
      </c>
      <c r="E35" s="28">
        <f t="shared" si="3"/>
        <v>-1.639326399503459</v>
      </c>
      <c r="G35" s="24" t="s">
        <v>3</v>
      </c>
      <c r="H35" s="28">
        <v>-0.72651768956200236</v>
      </c>
      <c r="I35" s="28">
        <v>9.1868244274150163E-3</v>
      </c>
      <c r="J35" s="28">
        <v>-2.0887863156401001</v>
      </c>
      <c r="K35" s="28">
        <f t="shared" si="4"/>
        <v>-2.8061171807746872</v>
      </c>
    </row>
    <row r="36" spans="1:11" x14ac:dyDescent="0.2">
      <c r="A36" s="24" t="s">
        <v>58</v>
      </c>
      <c r="B36" s="28">
        <v>-0.37947233113503476</v>
      </c>
      <c r="C36" s="28">
        <v>-0.10722792685271883</v>
      </c>
      <c r="D36" s="28">
        <v>0.84534795125464446</v>
      </c>
      <c r="E36" s="28">
        <f t="shared" si="3"/>
        <v>0.35864769326689089</v>
      </c>
      <c r="G36" s="24" t="s">
        <v>4</v>
      </c>
      <c r="H36" s="28">
        <v>-3.5450814916532611E-2</v>
      </c>
      <c r="I36" s="28">
        <v>0.76131097265026337</v>
      </c>
      <c r="J36" s="28">
        <v>0.53026790234879351</v>
      </c>
      <c r="K36" s="28">
        <f t="shared" si="4"/>
        <v>1.2561280600825242</v>
      </c>
    </row>
    <row r="37" spans="1:11" x14ac:dyDescent="0.2">
      <c r="A37" s="24" t="s">
        <v>39</v>
      </c>
      <c r="B37" s="28">
        <v>-0.7043554948189138</v>
      </c>
      <c r="C37" s="28">
        <v>1.9937263660998663</v>
      </c>
      <c r="D37" s="28">
        <v>0.74893186997426642</v>
      </c>
      <c r="E37" s="28">
        <f t="shared" si="3"/>
        <v>2.0383027412552188</v>
      </c>
      <c r="G37" s="24" t="s">
        <v>2</v>
      </c>
      <c r="H37" s="28">
        <v>-7.6799431198628809E-2</v>
      </c>
      <c r="I37" s="28">
        <v>0.78712024728584695</v>
      </c>
      <c r="J37" s="28">
        <v>0.70997323406703861</v>
      </c>
      <c r="K37" s="28">
        <f t="shared" si="4"/>
        <v>1.4202940501542567</v>
      </c>
    </row>
    <row r="38" spans="1:11" x14ac:dyDescent="0.2">
      <c r="A38" s="25" t="s">
        <v>70</v>
      </c>
      <c r="B38" s="28">
        <v>1.1276157093631793</v>
      </c>
      <c r="C38" s="28">
        <v>0.72952950564364838</v>
      </c>
      <c r="D38" s="28">
        <v>0.90744967948060618</v>
      </c>
      <c r="E38" s="28">
        <f t="shared" si="3"/>
        <v>2.7645948944874341</v>
      </c>
      <c r="G38" s="24" t="s">
        <v>64</v>
      </c>
      <c r="H38" s="28">
        <v>1.7057498029667182</v>
      </c>
      <c r="I38" s="28">
        <v>0.34808791484347057</v>
      </c>
      <c r="J38" s="28">
        <v>0.72176026916095704</v>
      </c>
      <c r="K38" s="28">
        <f t="shared" si="4"/>
        <v>2.775597986971146</v>
      </c>
    </row>
    <row r="39" spans="1:11" x14ac:dyDescent="0.2">
      <c r="A39" s="197" t="s">
        <v>12</v>
      </c>
      <c r="B39" s="28">
        <v>1.8312740587976615</v>
      </c>
      <c r="C39" s="28">
        <v>1.1793121650214524</v>
      </c>
      <c r="D39" s="28">
        <v>1.4462660133014964</v>
      </c>
      <c r="E39" s="28">
        <f t="shared" si="3"/>
        <v>4.4568522371206107</v>
      </c>
      <c r="G39" s="24" t="s">
        <v>77</v>
      </c>
      <c r="H39" s="28">
        <v>1.0942746150591414</v>
      </c>
      <c r="I39" s="28">
        <v>1.2782740321574333</v>
      </c>
      <c r="J39" s="28">
        <v>1.5507383028486763</v>
      </c>
      <c r="K39" s="28">
        <f t="shared" si="4"/>
        <v>3.923286950065251</v>
      </c>
    </row>
    <row r="40" spans="1:11" x14ac:dyDescent="0.2">
      <c r="A40" s="198"/>
      <c r="B40" s="196"/>
      <c r="C40" s="196"/>
      <c r="D40" s="196"/>
      <c r="E40" s="196"/>
    </row>
    <row r="41" spans="1:11" x14ac:dyDescent="0.2">
      <c r="A41" s="193"/>
      <c r="B41" s="194"/>
      <c r="C41" s="194"/>
      <c r="D41" s="194"/>
      <c r="E41" s="194"/>
    </row>
  </sheetData>
  <sortState ref="G34:K39">
    <sortCondition ref="K34:K39"/>
  </sortState>
  <mergeCells count="3">
    <mergeCell ref="A1:K1"/>
    <mergeCell ref="A4:E4"/>
    <mergeCell ref="G4:K4"/>
  </mergeCells>
  <phoneticPr fontId="3" type="noConversion"/>
  <printOptions horizontalCentered="1"/>
  <pageMargins left="0.75" right="0.75" top="1" bottom="1" header="0.5" footer="0.5"/>
  <pageSetup scale="90" orientation="landscape"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1"/>
    <pageSetUpPr fitToPage="1"/>
  </sheetPr>
  <dimension ref="A1:AJ91"/>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2.75" x14ac:dyDescent="0.2"/>
  <cols>
    <col min="1" max="1" width="13.5703125" customWidth="1"/>
    <col min="3" max="3" width="3.7109375" customWidth="1"/>
    <col min="5" max="5" width="3.7109375" customWidth="1"/>
    <col min="6" max="6" width="9.5703125" customWidth="1"/>
    <col min="7" max="7" width="3.7109375" customWidth="1"/>
    <col min="9" max="9" width="3.7109375" customWidth="1"/>
    <col min="10" max="10" width="10.7109375" customWidth="1"/>
    <col min="11" max="11" width="3.7109375" customWidth="1"/>
    <col min="13" max="13" width="3.7109375" customWidth="1"/>
    <col min="15" max="15" width="3.7109375" customWidth="1"/>
    <col min="17" max="17" width="3.7109375" customWidth="1"/>
    <col min="19" max="19" width="3.7109375" customWidth="1"/>
    <col min="20" max="20" width="10.7109375" customWidth="1"/>
    <col min="21" max="21" width="3.7109375" customWidth="1"/>
    <col min="23" max="23" width="3.7109375" customWidth="1"/>
    <col min="25" max="25" width="3.7109375" customWidth="1"/>
    <col min="26" max="26" width="15.7109375" customWidth="1"/>
    <col min="27" max="27" width="3.7109375" customWidth="1"/>
    <col min="28" max="28" width="10.7109375" customWidth="1"/>
    <col min="29" max="29" width="3.7109375" customWidth="1"/>
    <col min="30" max="30" width="10.42578125" hidden="1" customWidth="1"/>
    <col min="31" max="31" width="9.140625" hidden="1" customWidth="1"/>
    <col min="33" max="33" width="11.140625" hidden="1" customWidth="1"/>
    <col min="34" max="34" width="21.5703125" bestFit="1" customWidth="1"/>
    <col min="35" max="35" width="16.5703125" customWidth="1"/>
  </cols>
  <sheetData>
    <row r="1" spans="1:34" ht="51" x14ac:dyDescent="0.2">
      <c r="B1" s="15" t="s">
        <v>164</v>
      </c>
      <c r="C1" s="15"/>
      <c r="D1" s="15" t="s">
        <v>182</v>
      </c>
      <c r="F1" s="15" t="s">
        <v>189</v>
      </c>
      <c r="G1" s="15"/>
      <c r="H1" s="15" t="s">
        <v>183</v>
      </c>
      <c r="J1" s="16" t="s">
        <v>198</v>
      </c>
      <c r="L1" s="15" t="s">
        <v>184</v>
      </c>
      <c r="N1" s="15" t="s">
        <v>185</v>
      </c>
      <c r="P1" s="15" t="s">
        <v>186</v>
      </c>
      <c r="R1" s="15" t="s">
        <v>187</v>
      </c>
      <c r="S1" s="15"/>
      <c r="T1" s="16" t="s">
        <v>199</v>
      </c>
      <c r="V1" s="15" t="s">
        <v>188</v>
      </c>
      <c r="X1" s="15" t="s">
        <v>195</v>
      </c>
      <c r="Z1" s="16" t="s">
        <v>715</v>
      </c>
      <c r="AB1" s="16" t="s">
        <v>638</v>
      </c>
      <c r="AD1" s="16" t="s">
        <v>639</v>
      </c>
      <c r="AE1" s="6" t="s">
        <v>336</v>
      </c>
      <c r="AH1" s="292" t="s">
        <v>311</v>
      </c>
    </row>
    <row r="2" spans="1:34" x14ac:dyDescent="0.2">
      <c r="A2" t="s">
        <v>10</v>
      </c>
      <c r="B2" s="321">
        <f>VLOOKUP(A2,Inflation!$AU$4:$AV$28,2,FALSE)</f>
        <v>0.45939921047819565</v>
      </c>
      <c r="C2" s="321"/>
      <c r="D2" s="321">
        <f>VLOOKUP(A2,'GDP g'!$AY$4:$AZ$28,2,FALSE)</f>
        <v>0.55403526879276965</v>
      </c>
      <c r="E2" s="8"/>
      <c r="F2" s="321">
        <f>VLOOKUP(A2,'Ext Debt Expo'!$U$3:$V$27,2,FALSE)</f>
        <v>0.2963415539117295</v>
      </c>
      <c r="G2" s="321"/>
      <c r="H2" s="321">
        <f>VLOOKUP(A2,'Fiscal Bal'!$AN$3:$AO$27,2,FALSE)</f>
        <v>1.1549216403603035</v>
      </c>
      <c r="I2" s="8"/>
      <c r="J2" s="321">
        <f>B2*B$36+D2*D$36+F2*F$36+H2*H$36</f>
        <v>-0.12369940743441957</v>
      </c>
      <c r="K2" s="8"/>
      <c r="L2" s="321">
        <f>VLOOKUP(A2,Savings!$I$3:$N$27,6,FALSE)</f>
        <v>-0.17588516575445234</v>
      </c>
      <c r="M2" s="8"/>
      <c r="N2" s="321">
        <f>VLOOKUP(A2,FDI!$Z$3:$AE$27,6,FALSE)</f>
        <v>-0.24891911442958042</v>
      </c>
      <c r="O2" s="8"/>
      <c r="P2" s="321">
        <f>VLOOKUP(A2,'CA GDP'!$AW$4:$AX$28,2,FALSE)</f>
        <v>0.14426886920628698</v>
      </c>
      <c r="Q2" s="8"/>
      <c r="R2" s="321">
        <f>VLOOKUP(A2,'FX Res'!$I$3:$M$27,5,FALSE)</f>
        <v>-0.37005425735527414</v>
      </c>
      <c r="S2" s="321"/>
      <c r="T2" s="321">
        <f>L2*L$36+N2*N$36+P2*P$36+R2*R$36</f>
        <v>0.59318155883492851</v>
      </c>
      <c r="U2" s="8"/>
      <c r="V2" s="321">
        <f>VLOOKUP(A2,'Political Risk'!$AN$2:$AR$40,5,FALSE)</f>
        <v>1.2956758519269069</v>
      </c>
      <c r="W2" s="8"/>
      <c r="X2" s="321">
        <f>VLOOKUP(A2,Competitiveness!$A$5:$H$43,8,FALSE)</f>
        <v>-0.50982568265251049</v>
      </c>
      <c r="Y2" s="8"/>
      <c r="Z2" s="321">
        <f>V2*V$36+X2*X$36</f>
        <v>1.422670374501299</v>
      </c>
      <c r="AA2" s="8"/>
      <c r="AB2" s="321">
        <f t="shared" ref="AB2:AB26" si="0">J2+T2+Z2</f>
        <v>1.8921525259018079</v>
      </c>
      <c r="AD2" s="7">
        <f>(B$36*B2+B$37)+(D$36*D2+D$37)+(F$36*F2+F$37)+(H$36*H2+H$37)+(L$36*L2+L$37)+(N$36*N2+N$37)+(P$36*P2+P$37)+(R$36*R2+R$37)+(V$36*V2+V$37)+(X$36*X2+X$37)</f>
        <v>2.826406172451648</v>
      </c>
      <c r="AE2" s="14">
        <f>AB2-AD2</f>
        <v>-0.93425364654984011</v>
      </c>
      <c r="AG2" t="s">
        <v>10</v>
      </c>
      <c r="AH2" s="60">
        <f>VLOOKUP(AG2,'Stripped Spread'!$C$18:$E$60,3,FALSE)</f>
        <v>1.4255405250063531</v>
      </c>
    </row>
    <row r="3" spans="1:34" x14ac:dyDescent="0.2">
      <c r="A3" t="s">
        <v>9</v>
      </c>
      <c r="B3" s="321">
        <f>VLOOKUP(A3,Inflation!$AU$4:$AV$28,2,FALSE)</f>
        <v>-0.23280940167344286</v>
      </c>
      <c r="C3" s="321"/>
      <c r="D3" s="321">
        <f>VLOOKUP(A3,'GDP g'!$AY$4:$AZ$28,2,FALSE)</f>
        <v>-0.25522382998415805</v>
      </c>
      <c r="E3" s="8"/>
      <c r="F3" s="321">
        <f>VLOOKUP(A3,'Ext Debt Expo'!$U$3:$V$27,2,FALSE)</f>
        <v>0.3700750326049897</v>
      </c>
      <c r="G3" s="321"/>
      <c r="H3" s="321">
        <f>VLOOKUP(A3,'Fiscal Bal'!$AN$3:$AO$27,2,FALSE)</f>
        <v>0.29560494366364881</v>
      </c>
      <c r="I3" s="8"/>
      <c r="J3" s="321">
        <f t="shared" ref="J3:J26" si="1">B3*B$36+D3*D$36+F3*F$36+H3*H$36</f>
        <v>-1.7141940321687643E-2</v>
      </c>
      <c r="K3" s="8"/>
      <c r="L3" s="321">
        <f>VLOOKUP(A3,Savings!$I$3:$N$27,6,FALSE)</f>
        <v>-0.80669185604126203</v>
      </c>
      <c r="M3" s="8"/>
      <c r="N3" s="321">
        <f>VLOOKUP(A3,FDI!$Z$3:$AE$27,6,FALSE)</f>
        <v>0.38837379901964642</v>
      </c>
      <c r="O3" s="8"/>
      <c r="P3" s="321">
        <f>VLOOKUP(A3,'CA GDP'!$AW$4:$AX$28,2,FALSE)</f>
        <v>-0.38619497198461339</v>
      </c>
      <c r="Q3" s="8"/>
      <c r="R3" s="321">
        <f>VLOOKUP(A3,'FX Res'!$I$3:$M$27,5,FALSE)</f>
        <v>8.9541276619100232E-2</v>
      </c>
      <c r="S3" s="321"/>
      <c r="T3" s="321">
        <f>L3*L$36+N3*N$36+P3*P$36+R3*R$36</f>
        <v>-2.1027206987055264E-2</v>
      </c>
      <c r="U3" s="8"/>
      <c r="V3" s="321">
        <f>VLOOKUP(A3,'Political Risk'!$AN$2:$AR$40,5,FALSE)</f>
        <v>-0.66011465110928813</v>
      </c>
      <c r="W3" s="8"/>
      <c r="X3" s="321">
        <f>VLOOKUP(A3,Competitiveness!$A$5:$H$43,8,FALSE)</f>
        <v>0.43569074751316811</v>
      </c>
      <c r="Y3" s="8"/>
      <c r="Z3" s="321">
        <f t="shared" ref="Z3:Z25" si="2">V3*V$36+X3*X$36</f>
        <v>-0.83333998492838868</v>
      </c>
      <c r="AA3" s="8"/>
      <c r="AB3" s="321">
        <f t="shared" si="0"/>
        <v>-0.87150913223713156</v>
      </c>
      <c r="AD3" s="7">
        <f t="shared" ref="AD3:AD26" si="3">(B$36*B3+B$37)+(D$36*D3+D$37)+(F$36*F3+F$37)+(H$36*H3+H$37)+(L$36*L3+L$37)+(N$36*N3+N$37)+(P$36*P3+P$37)+(R$36*R3+R$37)+(V$36*V3+V$37)+(X$36*X3+X$37)</f>
        <v>6.2744514312708749E-2</v>
      </c>
      <c r="AE3" s="14">
        <f t="shared" ref="AE3:AE26" si="4">AB3-AD3</f>
        <v>-0.93425364654984033</v>
      </c>
      <c r="AG3" t="s">
        <v>9</v>
      </c>
      <c r="AH3" s="60">
        <f>VLOOKUP(AG3,'Stripped Spread'!$C$18:$E$60,3,FALSE)</f>
        <v>-0.49043451301485325</v>
      </c>
    </row>
    <row r="4" spans="1:34" x14ac:dyDescent="0.2">
      <c r="A4" t="s">
        <v>36</v>
      </c>
      <c r="B4" s="321">
        <f>VLOOKUP(A4,Inflation!$AU$4:$AV$28,2,FALSE)</f>
        <v>-0.69701275955805952</v>
      </c>
      <c r="C4" s="321"/>
      <c r="D4" s="321">
        <f>VLOOKUP(A4,'GDP g'!$AY$4:$AZ$28,2,FALSE)</f>
        <v>0.49311764682124248</v>
      </c>
      <c r="E4" s="8"/>
      <c r="F4" s="321">
        <f>VLOOKUP(A4,'Ext Debt Expo'!$U$3:$V$27,2,FALSE)</f>
        <v>-0.61192084271888303</v>
      </c>
      <c r="G4" s="321"/>
      <c r="H4" s="321">
        <f>VLOOKUP(A4,'Fiscal Bal'!$AN$3:$AO$27,2,FALSE)</f>
        <v>1.1119558055254706</v>
      </c>
      <c r="I4" s="8"/>
      <c r="J4" s="321">
        <f t="shared" si="1"/>
        <v>-1.3735707721598835</v>
      </c>
      <c r="K4" s="8"/>
      <c r="L4" s="321">
        <f>VLOOKUP(A4,Savings!$I$3:$N$27,6,FALSE)</f>
        <v>0.44078672115438283</v>
      </c>
      <c r="M4" s="8"/>
      <c r="N4" s="321">
        <f>VLOOKUP(A4,FDI!$Z$3:$AE$27,6,FALSE)</f>
        <v>0.500837254334216</v>
      </c>
      <c r="O4" s="8"/>
      <c r="P4" s="321">
        <f>VLOOKUP(A4,'CA GDP'!$AW$4:$AX$28,2,FALSE)</f>
        <v>0.22563679445750329</v>
      </c>
      <c r="Q4" s="8"/>
      <c r="R4" s="321">
        <f>VLOOKUP(A4,'FX Res'!$I$3:$M$27,5,FALSE)</f>
        <v>-0.30262325237061694</v>
      </c>
      <c r="S4" s="321"/>
      <c r="T4" s="321">
        <f t="shared" ref="T4:T26" si="5">L4*L$36+N4*N$36+P4*P$36+R4*R$36</f>
        <v>0.21288240301037165</v>
      </c>
      <c r="U4" s="8"/>
      <c r="V4" s="321">
        <f>VLOOKUP(A4,'Political Risk'!$AN$2:$AR$40,5,FALSE)</f>
        <v>-1.1957424090819433</v>
      </c>
      <c r="W4" s="8"/>
      <c r="X4" s="321">
        <f>VLOOKUP(A4,Competitiveness!$A$5:$H$43,8,FALSE)</f>
        <v>1.5471837245282076</v>
      </c>
      <c r="Y4" s="8"/>
      <c r="Z4" s="321">
        <f t="shared" si="2"/>
        <v>-1.9770415600475864</v>
      </c>
      <c r="AA4" s="8"/>
      <c r="AB4" s="321">
        <f t="shared" si="0"/>
        <v>-3.1377299291970981</v>
      </c>
      <c r="AD4" s="7">
        <f t="shared" si="3"/>
        <v>-2.2034762826472578</v>
      </c>
      <c r="AE4" s="14">
        <f t="shared" si="4"/>
        <v>-0.93425364654984033</v>
      </c>
      <c r="AG4" t="s">
        <v>36</v>
      </c>
      <c r="AH4" s="60">
        <f>VLOOKUP(AG4,'Stripped Spread'!$C$18:$E$60,3,FALSE)</f>
        <v>-0.6767951584626779</v>
      </c>
    </row>
    <row r="5" spans="1:34" x14ac:dyDescent="0.2">
      <c r="A5" t="s">
        <v>0</v>
      </c>
      <c r="B5" s="321">
        <f>VLOOKUP(A5,Inflation!$AU$4:$AV$28,2,FALSE)</f>
        <v>-0.45645675734973384</v>
      </c>
      <c r="C5" s="321"/>
      <c r="D5" s="321">
        <f>VLOOKUP(A5,'GDP g'!$AY$4:$AZ$28,2,FALSE)</f>
        <v>2.4398557903423792</v>
      </c>
      <c r="E5" s="8"/>
      <c r="F5" s="321">
        <f>VLOOKUP(A5,'Ext Debt Expo'!$U$3:$V$27,2,FALSE)</f>
        <v>-1.5352650872640263</v>
      </c>
      <c r="G5" s="321"/>
      <c r="H5" s="321">
        <f>VLOOKUP(A5,'Fiscal Bal'!$AN$3:$AO$27,2,FALSE)</f>
        <v>0.68229745717714341</v>
      </c>
      <c r="I5" s="8"/>
      <c r="J5" s="321">
        <f>B5*B$36+D5*D$36+F5*F$36+H5*H$36</f>
        <v>-2.2686120722102712</v>
      </c>
      <c r="K5" s="8"/>
      <c r="L5" s="321">
        <f>VLOOKUP(A5,Savings!$I$3:$N$27,6,FALSE)</f>
        <v>3.2665421034379558</v>
      </c>
      <c r="M5" s="8"/>
      <c r="N5" s="321">
        <f>VLOOKUP(A5,FDI!$Z$3:$AE$27,6,FALSE)</f>
        <v>5.0983433075938112E-2</v>
      </c>
      <c r="O5" s="8"/>
      <c r="P5" s="321">
        <f>VLOOKUP(A5,'CA GDP'!$AW$4:$AX$28,2,FALSE)</f>
        <v>1.2447012689202002</v>
      </c>
      <c r="Q5" s="8"/>
      <c r="R5" s="321">
        <f>VLOOKUP(A5,'FX Res'!$I$3:$M$27,5,FALSE)</f>
        <v>4.5426493558032419</v>
      </c>
      <c r="S5" s="321"/>
      <c r="T5" s="321">
        <f t="shared" si="5"/>
        <v>-7.3593148512985085</v>
      </c>
      <c r="U5" s="8"/>
      <c r="V5" s="321">
        <f>VLOOKUP(A5,'Political Risk'!$AN$2:$AR$40,5,FALSE)</f>
        <v>-0.60726175792252624</v>
      </c>
      <c r="W5" s="8"/>
      <c r="X5" s="321">
        <f>VLOOKUP(A5,Competitiveness!$A$5:$H$43,8,FALSE)</f>
        <v>2.1122131552295027</v>
      </c>
      <c r="Y5" s="8"/>
      <c r="Z5" s="321">
        <f t="shared" si="2"/>
        <v>-1.8222182755650129</v>
      </c>
      <c r="AA5" s="8"/>
      <c r="AB5" s="321">
        <f t="shared" si="0"/>
        <v>-11.450145199073791</v>
      </c>
      <c r="AD5" s="7">
        <f t="shared" si="3"/>
        <v>-10.515891552523952</v>
      </c>
      <c r="AE5" s="14">
        <f t="shared" si="4"/>
        <v>-0.93425364654983944</v>
      </c>
      <c r="AG5" t="s">
        <v>0</v>
      </c>
      <c r="AH5" s="60">
        <f>VLOOKUP(AG5,'Stripped Spread'!$C$18:$E$60,3,FALSE)</f>
        <v>-0.36041566053529961</v>
      </c>
    </row>
    <row r="6" spans="1:34" x14ac:dyDescent="0.2">
      <c r="A6" t="s">
        <v>37</v>
      </c>
      <c r="B6" s="321">
        <f>VLOOKUP(A6,Inflation!$AU$4:$AV$28,2,FALSE)</f>
        <v>-0.7053799248522622</v>
      </c>
      <c r="C6" s="321"/>
      <c r="D6" s="321">
        <f>VLOOKUP(A6,'GDP g'!$AY$4:$AZ$28,2,FALSE)</f>
        <v>-0.17907680251974906</v>
      </c>
      <c r="E6" s="8"/>
      <c r="F6" s="321">
        <f>VLOOKUP(A6,'Ext Debt Expo'!$U$3:$V$27,2,FALSE)</f>
        <v>0.34661438029349773</v>
      </c>
      <c r="G6" s="321"/>
      <c r="H6" s="321">
        <f>VLOOKUP(A6,'Fiscal Bal'!$AN$3:$AO$27,2,FALSE)</f>
        <v>0.16670743915915073</v>
      </c>
      <c r="I6" s="8"/>
      <c r="J6" s="321">
        <f>B6*B$36+D6*D$36+F6*F$36+H6*H$36</f>
        <v>-0.39398954584361395</v>
      </c>
      <c r="K6" s="8"/>
      <c r="L6" s="321">
        <f>VLOOKUP(A6,Savings!$I$3:$N$27,6,FALSE)</f>
        <v>-0.4078493421201248</v>
      </c>
      <c r="M6" s="8"/>
      <c r="N6" s="321">
        <f>VLOOKUP(A6,FDI!$Z$3:$AE$27,6,FALSE)</f>
        <v>-0.99867548319337673</v>
      </c>
      <c r="O6" s="8"/>
      <c r="P6" s="321">
        <f>VLOOKUP(A6,'CA GDP'!$AW$4:$AX$28,2,FALSE)</f>
        <v>-0.28930031703570125</v>
      </c>
      <c r="Q6" s="8"/>
      <c r="R6" s="321">
        <f>VLOOKUP(A6,'FX Res'!$I$3:$M$27,5,FALSE)</f>
        <v>-0.21744724607420773</v>
      </c>
      <c r="S6" s="321"/>
      <c r="T6" s="321">
        <f t="shared" si="5"/>
        <v>0.66619103883506869</v>
      </c>
      <c r="U6" s="8"/>
      <c r="V6" s="321">
        <f>VLOOKUP(A6,'Political Risk'!$AN$2:$AR$40,5,FALSE)</f>
        <v>-0.74993687190819736</v>
      </c>
      <c r="W6" s="8"/>
      <c r="X6" s="321">
        <f>VLOOKUP(A6,Competitiveness!$A$5:$H$43,8,FALSE)</f>
        <v>9.4947243264282583E-2</v>
      </c>
      <c r="Y6" s="8"/>
      <c r="Z6" s="321">
        <f t="shared" si="2"/>
        <v>-0.69999447877966237</v>
      </c>
      <c r="AA6" s="8"/>
      <c r="AB6" s="321">
        <f t="shared" si="0"/>
        <v>-0.42779298578820762</v>
      </c>
      <c r="AD6" s="7">
        <f t="shared" si="3"/>
        <v>0.50646066076163243</v>
      </c>
      <c r="AE6" s="14">
        <f t="shared" si="4"/>
        <v>-0.93425364654984011</v>
      </c>
      <c r="AG6" t="s">
        <v>37</v>
      </c>
      <c r="AH6" s="60">
        <f>VLOOKUP(AG6,'Stripped Spread'!$C$18:$E$60,3,FALSE)</f>
        <v>-0.58302567466255073</v>
      </c>
    </row>
    <row r="7" spans="1:34" x14ac:dyDescent="0.2">
      <c r="A7" t="s">
        <v>39</v>
      </c>
      <c r="B7" s="321">
        <f>VLOOKUP(A7,Inflation!$AU$4:$AV$28,2,FALSE)</f>
        <v>-0.71531593363912771</v>
      </c>
      <c r="C7" s="321"/>
      <c r="D7" s="321">
        <f>VLOOKUP(A7,'GDP g'!$AY$4:$AZ$28,2,FALSE)</f>
        <v>-0.91744039296774416</v>
      </c>
      <c r="E7" s="8"/>
      <c r="F7" s="321">
        <f>VLOOKUP(A7,'Ext Debt Expo'!$U$3:$V$27,2,FALSE)</f>
        <v>-0.58678442952799892</v>
      </c>
      <c r="G7" s="321"/>
      <c r="H7" s="321">
        <f>VLOOKUP(A7,'Fiscal Bal'!$AN$3:$AO$27,2,FALSE)</f>
        <v>-1.2081992755554964</v>
      </c>
      <c r="I7" s="8"/>
      <c r="J7" s="321">
        <f t="shared" si="1"/>
        <v>-2.3474836624547968E-2</v>
      </c>
      <c r="K7" s="8"/>
      <c r="L7" s="321">
        <f>VLOOKUP(A7,Savings!$I$3:$N$27,6,FALSE)</f>
        <v>-0.25105163953189741</v>
      </c>
      <c r="M7" s="8"/>
      <c r="N7" s="321">
        <f>VLOOKUP(A7,FDI!$Z$3:$AE$27,6,FALSE)</f>
        <v>-0.36138256974414984</v>
      </c>
      <c r="O7" s="8"/>
      <c r="P7" s="321">
        <f>VLOOKUP(A7,'CA GDP'!$AW$4:$AX$28,2,FALSE)</f>
        <v>-0.67255503742186484</v>
      </c>
      <c r="Q7" s="8"/>
      <c r="R7" s="321">
        <f>VLOOKUP(A7,'FX Res'!$I$3:$M$27,5,FALSE)</f>
        <v>-0.58831777348982262</v>
      </c>
      <c r="S7" s="321"/>
      <c r="T7" s="321">
        <f t="shared" si="5"/>
        <v>1.111647718516303</v>
      </c>
      <c r="U7" s="8"/>
      <c r="V7" s="321">
        <f>VLOOKUP(A7,'Political Risk'!$AN$2:$AR$40,5,FALSE)</f>
        <v>1.6338669824900809</v>
      </c>
      <c r="W7" s="8"/>
      <c r="X7" s="321">
        <f>VLOOKUP(A7,Competitiveness!$A$5:$H$43,8,FALSE)</f>
        <v>-1.0082524294479007</v>
      </c>
      <c r="Y7" s="8"/>
      <c r="Z7" s="321">
        <f t="shared" si="2"/>
        <v>2.019360749379445</v>
      </c>
      <c r="AA7" s="8"/>
      <c r="AB7" s="321">
        <f t="shared" si="0"/>
        <v>3.1075336312711999</v>
      </c>
      <c r="AD7" s="7">
        <f t="shared" si="3"/>
        <v>4.0417872778210402</v>
      </c>
      <c r="AE7" s="14">
        <f t="shared" si="4"/>
        <v>-0.93425364654984033</v>
      </c>
      <c r="AG7" t="s">
        <v>39</v>
      </c>
      <c r="AH7" s="60">
        <f>VLOOKUP(AG7,'Stripped Spread'!$C$18:$E$60,3,FALSE)</f>
        <v>1.4223422220211868</v>
      </c>
    </row>
    <row r="8" spans="1:34" x14ac:dyDescent="0.2">
      <c r="A8" s="6" t="s">
        <v>65</v>
      </c>
      <c r="B8" s="321">
        <f>VLOOKUP(A8,Inflation!$AU$4:$AV$28,2,FALSE)</f>
        <v>0.6797345632255315</v>
      </c>
      <c r="C8" s="321"/>
      <c r="D8" s="321">
        <f>VLOOKUP(A8,'GDP g'!$AY$4:$AZ$28,2,FALSE)</f>
        <v>-2.0727746027725731</v>
      </c>
      <c r="E8" s="8"/>
      <c r="F8" s="321">
        <f>VLOOKUP(A8,'Ext Debt Expo'!$U$3:$V$27,2,FALSE)</f>
        <v>-0.64543606030672851</v>
      </c>
      <c r="G8" s="321"/>
      <c r="H8" s="321">
        <f>VLOOKUP(A8,'Fiscal Bal'!$AN$3:$AO$27,2,FALSE)</f>
        <v>-2.1534476419218165</v>
      </c>
      <c r="I8" s="8"/>
      <c r="J8" s="321">
        <f t="shared" si="1"/>
        <v>1.8646715348728646</v>
      </c>
      <c r="K8" s="8"/>
      <c r="L8" s="321">
        <f>VLOOKUP(A8,Savings!$I$3:$N$27,6,FALSE)</f>
        <v>-1.0073184063131306</v>
      </c>
      <c r="M8" s="8"/>
      <c r="N8" s="321">
        <f>VLOOKUP(A8,FDI!$Z$3:$AE$27,6,FALSE)</f>
        <v>-9.8967840676821114E-2</v>
      </c>
      <c r="O8" s="8"/>
      <c r="P8" s="321">
        <f>VLOOKUP(A8,'CA GDP'!$AW$4:$AX$28,2,FALSE)</f>
        <v>-0.28576258115521352</v>
      </c>
      <c r="Q8" s="8"/>
      <c r="R8" s="321">
        <f>VLOOKUP(A8,'FX Res'!$I$3:$M$27,5,FALSE)</f>
        <v>0.17028103258757138</v>
      </c>
      <c r="S8" s="321"/>
      <c r="T8" s="321">
        <f t="shared" si="5"/>
        <v>-1.5869230621591429E-2</v>
      </c>
      <c r="U8" s="8"/>
      <c r="V8" s="321">
        <f>VLOOKUP(A8,'Political Risk'!$AN$2:$AR$40,5,FALSE)</f>
        <v>-0.30410494529430043</v>
      </c>
      <c r="W8" s="8"/>
      <c r="X8" s="321">
        <f>VLOOKUP(A8,Competitiveness!$A$5:$H$43,8,FALSE)</f>
        <v>-0.84512060974394565</v>
      </c>
      <c r="Y8" s="8"/>
      <c r="Z8" s="321">
        <f t="shared" si="2"/>
        <v>0.26116802574987769</v>
      </c>
      <c r="AA8" s="8"/>
      <c r="AB8" s="321">
        <f t="shared" si="0"/>
        <v>2.109970330001151</v>
      </c>
      <c r="AD8" s="7">
        <f t="shared" si="3"/>
        <v>3.0442239765509922</v>
      </c>
      <c r="AE8" s="14">
        <f t="shared" si="4"/>
        <v>-0.93425364654984122</v>
      </c>
      <c r="AG8" t="s">
        <v>65</v>
      </c>
      <c r="AH8" s="60">
        <f>VLOOKUP(AG8,'Stripped Spread'!$C$18:$E$60,3,FALSE)</f>
        <v>5.2153815465916083E-2</v>
      </c>
    </row>
    <row r="9" spans="1:34" x14ac:dyDescent="0.2">
      <c r="A9" t="s">
        <v>43</v>
      </c>
      <c r="B9" s="321">
        <f>VLOOKUP(A9,Inflation!$AU$4:$AV$28,2,FALSE)</f>
        <v>-0.61299247472877483</v>
      </c>
      <c r="C9" s="321"/>
      <c r="D9" s="321">
        <f>VLOOKUP(A9,'GDP g'!$AY$4:$AZ$28,2,FALSE)</f>
        <v>-1.1327526775222805</v>
      </c>
      <c r="E9" s="8"/>
      <c r="F9" s="321">
        <f>VLOOKUP(A9,'Ext Debt Expo'!$U$3:$V$27,2,FALSE)</f>
        <v>0.17233524883670134</v>
      </c>
      <c r="G9" s="321"/>
      <c r="H9" s="321">
        <f>VLOOKUP(A9,'Fiscal Bal'!$AN$3:$AO$27,2,FALSE)</f>
        <v>0.16670743915915073</v>
      </c>
      <c r="I9" s="8"/>
      <c r="J9" s="321">
        <f t="shared" si="1"/>
        <v>2.2424778149125191E-2</v>
      </c>
      <c r="K9" s="8"/>
      <c r="L9" s="321">
        <f>VLOOKUP(A9,Savings!$I$3:$N$27,6,FALSE)</f>
        <v>-0.5556621309332056</v>
      </c>
      <c r="M9" s="8"/>
      <c r="N9" s="321">
        <f>VLOOKUP(A9,FDI!$Z$3:$AE$27,6,FALSE)</f>
        <v>1.138130167783443</v>
      </c>
      <c r="O9" s="8"/>
      <c r="P9" s="321">
        <f>VLOOKUP(A9,'CA GDP'!$AW$4:$AX$28,2,FALSE)</f>
        <v>0.40684748789137143</v>
      </c>
      <c r="Q9" s="8"/>
      <c r="R9" s="321">
        <f>VLOOKUP(A9,'FX Res'!$I$3:$M$27,5,FALSE)</f>
        <v>-0.47563701516019802</v>
      </c>
      <c r="S9" s="321"/>
      <c r="T9" s="321">
        <f t="shared" si="5"/>
        <v>0.43101580330538969</v>
      </c>
      <c r="U9" s="8"/>
      <c r="V9" s="321">
        <f>VLOOKUP(A9,'Political Risk'!$AN$2:$AR$40,5,FALSE)</f>
        <v>-0.7573717531881845</v>
      </c>
      <c r="W9" s="8"/>
      <c r="X9" s="321">
        <f>VLOOKUP(A9,Competitiveness!$A$5:$H$43,8,FALSE)</f>
        <v>0.55660132760786607</v>
      </c>
      <c r="Y9" s="8"/>
      <c r="Z9" s="321">
        <f t="shared" si="2"/>
        <v>-0.99110325476344596</v>
      </c>
      <c r="AA9" s="8"/>
      <c r="AB9" s="321">
        <f t="shared" si="0"/>
        <v>-0.53766267330893114</v>
      </c>
      <c r="AD9" s="7">
        <f t="shared" si="3"/>
        <v>0.39659097324090897</v>
      </c>
      <c r="AE9" s="14">
        <f t="shared" si="4"/>
        <v>-0.93425364654984011</v>
      </c>
      <c r="AG9" t="s">
        <v>43</v>
      </c>
      <c r="AH9" s="60">
        <f>VLOOKUP(AG9,'Stripped Spread'!$C$18:$E$60,3,FALSE)</f>
        <v>0.23579793496626733</v>
      </c>
    </row>
    <row r="10" spans="1:34" x14ac:dyDescent="0.2">
      <c r="A10" t="s">
        <v>2</v>
      </c>
      <c r="B10" s="321">
        <f>VLOOKUP(A10,Inflation!$AU$4:$AV$28,2,FALSE)</f>
        <v>-7.9585687223357127E-2</v>
      </c>
      <c r="C10" s="321"/>
      <c r="D10" s="321">
        <f>VLOOKUP(A10,'GDP g'!$AY$4:$AZ$28,2,FALSE)</f>
        <v>0.65801534767520453</v>
      </c>
      <c r="E10" s="8"/>
      <c r="F10" s="321">
        <f>VLOOKUP(A10,'Ext Debt Expo'!$U$3:$V$27,2,FALSE)</f>
        <v>-4.3837904604901889E-2</v>
      </c>
      <c r="G10" s="321"/>
      <c r="H10" s="321">
        <f>VLOOKUP(A10,'Fiscal Bal'!$AN$3:$AO$27,2,FALSE)</f>
        <v>0.76822912684680889</v>
      </c>
      <c r="I10" s="8"/>
      <c r="J10" s="321">
        <f t="shared" si="1"/>
        <v>-0.61255148386383473</v>
      </c>
      <c r="K10" s="8"/>
      <c r="L10" s="321">
        <f>VLOOKUP(A10,Savings!$I$3:$N$27,6,FALSE)</f>
        <v>1.0817836185276388</v>
      </c>
      <c r="M10" s="8"/>
      <c r="N10" s="321">
        <f>VLOOKUP(A10,FDI!$Z$3:$AE$27,6,FALSE)</f>
        <v>-0.1739434775532008</v>
      </c>
      <c r="O10" s="8"/>
      <c r="P10" s="321">
        <f>VLOOKUP(A10,'CA GDP'!$AW$4:$AX$28,2,FALSE)</f>
        <v>0.29658805294950591</v>
      </c>
      <c r="Q10" s="8"/>
      <c r="R10" s="321">
        <f>VLOOKUP(A10,'FX Res'!$I$3:$M$27,5,FALSE)</f>
        <v>-0.18550624371305438</v>
      </c>
      <c r="S10" s="321"/>
      <c r="T10" s="321">
        <f t="shared" si="5"/>
        <v>8.7639622700920294E-2</v>
      </c>
      <c r="U10" s="8"/>
      <c r="V10" s="321">
        <f>VLOOKUP(A10,'Political Risk'!$AN$2:$AR$40,5,FALSE)</f>
        <v>-6.280273147582198E-2</v>
      </c>
      <c r="W10" s="8"/>
      <c r="X10" s="321">
        <f>VLOOKUP(A10,Competitiveness!$A$5:$H$43,8,FALSE)</f>
        <v>0.59985117827995904</v>
      </c>
      <c r="Y10" s="8"/>
      <c r="Z10" s="321">
        <f>V10*V$36+X10*X$36</f>
        <v>-0.42370599898566152</v>
      </c>
      <c r="AA10" s="8"/>
      <c r="AB10" s="321">
        <f t="shared" si="0"/>
        <v>-0.94861786014857596</v>
      </c>
      <c r="AD10" s="7">
        <f t="shared" si="3"/>
        <v>-1.4364213598735687E-2</v>
      </c>
      <c r="AE10" s="14">
        <f t="shared" si="4"/>
        <v>-0.93425364654984033</v>
      </c>
      <c r="AG10" t="s">
        <v>2</v>
      </c>
      <c r="AH10" s="60">
        <f>VLOOKUP(AG10,'Stripped Spread'!$C$18:$E$60,3,FALSE)</f>
        <v>-0.35838987515994025</v>
      </c>
    </row>
    <row r="11" spans="1:34" x14ac:dyDescent="0.2">
      <c r="A11" t="s">
        <v>45</v>
      </c>
      <c r="B11" s="321">
        <f>VLOOKUP(A11,Inflation!$AU$4:$AV$28,2,FALSE)</f>
        <v>0.26433966955709659</v>
      </c>
      <c r="C11" s="321"/>
      <c r="D11" s="321">
        <f>VLOOKUP(A11,'GDP g'!$AY$4:$AZ$28,2,FALSE)</f>
        <v>0.52095069823926787</v>
      </c>
      <c r="E11" s="8"/>
      <c r="F11" s="321">
        <f>VLOOKUP(A11,'Ext Debt Expo'!$U$3:$V$27,2,FALSE)</f>
        <v>1.1576826459193585</v>
      </c>
      <c r="G11" s="321"/>
      <c r="H11" s="321">
        <f>VLOOKUP(A11,'Fiscal Bal'!$AN$3:$AO$27,2,FALSE)</f>
        <v>0.16670743915915073</v>
      </c>
      <c r="I11" s="8"/>
      <c r="J11" s="321">
        <f t="shared" si="1"/>
        <v>0.40390858957074738</v>
      </c>
      <c r="K11" s="8"/>
      <c r="L11" s="321">
        <f>VLOOKUP(A11,Savings!$I$3:$N$27,6,FALSE)</f>
        <v>1.63052079152683</v>
      </c>
      <c r="M11" s="8"/>
      <c r="N11" s="321">
        <f>VLOOKUP(A11,FDI!$Z$3:$AE$27,6,FALSE)</f>
        <v>-1.5235049413280342</v>
      </c>
      <c r="O11" s="8"/>
      <c r="P11" s="321">
        <f>VLOOKUP(A11,'CA GDP'!$AW$4:$AX$28,2,FALSE)</f>
        <v>1.2688757974368658</v>
      </c>
      <c r="Q11" s="8"/>
      <c r="R11" s="321">
        <f>VLOOKUP(A11,'FX Res'!$I$3:$M$27,5,FALSE)</f>
        <v>-0.247613748304186</v>
      </c>
      <c r="S11" s="321"/>
      <c r="T11" s="321">
        <f>L11*L$36+N11*N$36+P11*P$36+R11*R$36</f>
        <v>0.21200097008968671</v>
      </c>
      <c r="U11" s="8"/>
      <c r="V11" s="321">
        <f>VLOOKUP(A11,'Political Risk'!$AN$2:$AR$40,5,FALSE)</f>
        <v>0.14001412618268663</v>
      </c>
      <c r="W11" s="8"/>
      <c r="X11" s="321">
        <f>VLOOKUP(A11,Competitiveness!$A$5:$H$43,8,FALSE)</f>
        <v>4.2366654091568819E-2</v>
      </c>
      <c r="Y11" s="8"/>
      <c r="Z11" s="321">
        <f t="shared" si="2"/>
        <v>9.3624018780631257E-2</v>
      </c>
      <c r="AA11" s="8"/>
      <c r="AB11" s="321">
        <f t="shared" si="0"/>
        <v>0.70953357844106524</v>
      </c>
      <c r="AD11" s="7">
        <f t="shared" si="3"/>
        <v>1.6437872249909056</v>
      </c>
      <c r="AE11" s="14">
        <f t="shared" si="4"/>
        <v>-0.93425364654984033</v>
      </c>
      <c r="AG11" t="s">
        <v>45</v>
      </c>
      <c r="AH11" s="60">
        <f>VLOOKUP(AG11,'Stripped Spread'!$C$18:$E$60,3,FALSE)</f>
        <v>0.12883472578450098</v>
      </c>
    </row>
    <row r="12" spans="1:34" x14ac:dyDescent="0.2">
      <c r="A12" t="s">
        <v>3</v>
      </c>
      <c r="B12" s="321">
        <f>VLOOKUP(A12,Inflation!$AU$4:$AV$28,2,FALSE)</f>
        <v>-0.8373370941795828</v>
      </c>
      <c r="C12" s="321"/>
      <c r="D12" s="321">
        <f>VLOOKUP(A12,'GDP g'!$AY$4:$AZ$28,2,FALSE)</f>
        <v>0.29040900819184973</v>
      </c>
      <c r="E12" s="8"/>
      <c r="F12" s="321">
        <f>VLOOKUP(A12,'Ext Debt Expo'!$U$3:$V$27,2,FALSE)</f>
        <v>-1.3760678037217602</v>
      </c>
      <c r="G12" s="321"/>
      <c r="H12" s="321">
        <f>VLOOKUP(A12,'Fiscal Bal'!$AN$3:$AO$27,2,FALSE)</f>
        <v>-0.6926092575375038</v>
      </c>
      <c r="I12" s="8"/>
      <c r="J12" s="321">
        <f t="shared" si="1"/>
        <v>-1.1327815742058716</v>
      </c>
      <c r="K12" s="8"/>
      <c r="L12" s="321">
        <f>VLOOKUP(A12,Savings!$I$3:$N$27,6,FALSE)</f>
        <v>0.95993942196711535</v>
      </c>
      <c r="M12" s="8"/>
      <c r="N12" s="321">
        <f>VLOOKUP(A12,FDI!$Z$3:$AE$27,6,FALSE)</f>
        <v>-1.1486267569461359</v>
      </c>
      <c r="O12" s="8"/>
      <c r="P12" s="321">
        <f>VLOOKUP(A12,'CA GDP'!$AW$4:$AX$28,2,FALSE)</f>
        <v>2.3612500209785567</v>
      </c>
      <c r="Q12" s="8"/>
      <c r="R12" s="321">
        <f>VLOOKUP(A12,'FX Res'!$I$3:$M$27,5,FALSE)</f>
        <v>0.79934132908917643</v>
      </c>
      <c r="S12" s="321"/>
      <c r="T12" s="321">
        <f t="shared" si="5"/>
        <v>-1.5151965267352729</v>
      </c>
      <c r="U12" s="8"/>
      <c r="V12" s="321">
        <f>VLOOKUP(A12,'Political Risk'!$AN$2:$AR$40,5,FALSE)</f>
        <v>-0.79840411771343123</v>
      </c>
      <c r="W12" s="8"/>
      <c r="X12" s="321">
        <f>VLOOKUP(A12,Competitiveness!$A$5:$H$43,8,FALSE)</f>
        <v>2.6536271810873528</v>
      </c>
      <c r="Y12" s="8"/>
      <c r="Z12" s="321">
        <f t="shared" si="2"/>
        <v>-2.3196506122442058</v>
      </c>
      <c r="AA12" s="8"/>
      <c r="AB12" s="321">
        <f t="shared" si="0"/>
        <v>-4.9676287131853503</v>
      </c>
      <c r="AD12" s="7">
        <f t="shared" si="3"/>
        <v>-4.0333750666355108</v>
      </c>
      <c r="AE12" s="14">
        <f t="shared" si="4"/>
        <v>-0.93425364654983944</v>
      </c>
      <c r="AG12" t="s">
        <v>3</v>
      </c>
      <c r="AH12" s="60">
        <f>VLOOKUP(AG12,'Stripped Spread'!$C$18:$E$60,3,FALSE)</f>
        <v>-0.61809672118954739</v>
      </c>
    </row>
    <row r="13" spans="1:34" x14ac:dyDescent="0.2">
      <c r="A13" t="s">
        <v>11</v>
      </c>
      <c r="B13" s="321">
        <f>VLOOKUP(A13,Inflation!$AU$4:$AV$28,2,FALSE)</f>
        <v>-0.69248054502369982</v>
      </c>
      <c r="C13" s="321"/>
      <c r="D13" s="321">
        <f>VLOOKUP(A13,'GDP g'!$AY$4:$AZ$28,2,FALSE)</f>
        <v>-0.16017133363203342</v>
      </c>
      <c r="E13" s="8"/>
      <c r="F13" s="321">
        <f>VLOOKUP(A13,'Ext Debt Expo'!$U$3:$V$27,2,FALSE)</f>
        <v>-0.75771203922601094</v>
      </c>
      <c r="G13" s="321"/>
      <c r="H13" s="321">
        <f>VLOOKUP(A13,'Fiscal Bal'!$AN$3:$AO$27,2,FALSE)</f>
        <v>0.38153661333331435</v>
      </c>
      <c r="I13" s="8"/>
      <c r="J13" s="321">
        <f t="shared" si="1"/>
        <v>-0.91233982939937219</v>
      </c>
      <c r="K13" s="8"/>
      <c r="L13" s="321">
        <f>VLOOKUP(A13,Savings!$I$3:$N$27,6,FALSE)</f>
        <v>0.12346586392481866</v>
      </c>
      <c r="M13" s="8"/>
      <c r="N13" s="321">
        <f>VLOOKUP(A13,FDI!$Z$3:$AE$27,6,FALSE)</f>
        <v>-0.47384602505871937</v>
      </c>
      <c r="O13" s="8"/>
      <c r="P13" s="321">
        <f>VLOOKUP(A13,'CA GDP'!$AW$4:$AX$28,2,FALSE)</f>
        <v>-5.4433962747770175E-2</v>
      </c>
      <c r="Q13" s="8"/>
      <c r="R13" s="321">
        <f>VLOOKUP(A13,'FX Res'!$I$3:$M$27,5,FALSE)</f>
        <v>-0.13315848984338621</v>
      </c>
      <c r="S13" s="321"/>
      <c r="T13" s="321">
        <f t="shared" si="5"/>
        <v>0.29537767703727141</v>
      </c>
      <c r="U13" s="8"/>
      <c r="V13" s="321">
        <f>VLOOKUP(A13,'Political Risk'!$AN$2:$AR$40,5,FALSE)</f>
        <v>-1.0431238832649856</v>
      </c>
      <c r="W13" s="8"/>
      <c r="X13" s="321">
        <f>VLOOKUP(A13,Competitiveness!$A$5:$H$43,8,FALSE)</f>
        <v>0.36037297204250407</v>
      </c>
      <c r="Y13" s="8"/>
      <c r="Z13" s="321">
        <f t="shared" si="2"/>
        <v>-1.1144765191269643</v>
      </c>
      <c r="AA13" s="8"/>
      <c r="AB13" s="321">
        <f t="shared" si="0"/>
        <v>-1.7314386714890651</v>
      </c>
      <c r="AD13" s="7">
        <f t="shared" si="3"/>
        <v>-0.79718502493922483</v>
      </c>
      <c r="AE13" s="14">
        <f t="shared" si="4"/>
        <v>-0.93425364654984022</v>
      </c>
      <c r="AG13" t="s">
        <v>11</v>
      </c>
      <c r="AH13" s="60">
        <f>VLOOKUP(AG13,'Stripped Spread'!$C$18:$E$60,3,FALSE)</f>
        <v>-0.48422075013713889</v>
      </c>
    </row>
    <row r="14" spans="1:34" x14ac:dyDescent="0.2">
      <c r="A14" t="s">
        <v>70</v>
      </c>
      <c r="B14" s="321">
        <f>VLOOKUP(A14,Inflation!$AU$4:$AV$28,2,FALSE)</f>
        <v>1.3764753899115296</v>
      </c>
      <c r="C14" s="321"/>
      <c r="D14" s="321">
        <f>VLOOKUP(A14,'GDP g'!$AY$4:$AZ$28,2,FALSE)</f>
        <v>-1.1537587540641865</v>
      </c>
      <c r="E14" s="8"/>
      <c r="F14" s="321">
        <f>VLOOKUP(A14,'Ext Debt Expo'!$U$3:$V$27,2,FALSE)</f>
        <v>2.2201150434540602</v>
      </c>
      <c r="G14" s="321"/>
      <c r="H14" s="321">
        <f>VLOOKUP(A14,'Fiscal Bal'!$AN$3:$AO$27,2,FALSE)</f>
        <v>-0.6926092575375038</v>
      </c>
      <c r="I14" s="8"/>
      <c r="J14" s="321">
        <f t="shared" si="1"/>
        <v>2.724084554942956</v>
      </c>
      <c r="K14" s="8"/>
      <c r="L14" s="321">
        <f>VLOOKUP(A14,Savings!$I$3:$N$27,6,FALSE)</f>
        <v>-0.78006583107344962</v>
      </c>
      <c r="M14" s="8"/>
      <c r="N14" s="321">
        <f>VLOOKUP(A14,FDI!$Z$3:$AE$27,6,FALSE)</f>
        <v>-0.32389475130596007</v>
      </c>
      <c r="O14" s="8"/>
      <c r="P14" s="321">
        <f>VLOOKUP(A14,'CA GDP'!$AW$4:$AX$28,2,FALSE)</f>
        <v>-0.17412736003760282</v>
      </c>
      <c r="Q14" s="8"/>
      <c r="R14" s="321">
        <f>VLOOKUP(A14,'FX Res'!$I$3:$M$27,5,FALSE)</f>
        <v>-0.46144101411079647</v>
      </c>
      <c r="S14" s="321"/>
      <c r="T14" s="321">
        <f t="shared" si="5"/>
        <v>0.89817375777551911</v>
      </c>
      <c r="U14" s="8"/>
      <c r="V14" s="321">
        <f>VLOOKUP(A14,'Political Risk'!$AN$2:$AR$40,5,FALSE)</f>
        <v>1.488046298339526</v>
      </c>
      <c r="W14" s="8"/>
      <c r="X14" s="321">
        <f>VLOOKUP(A14,Competitiveness!$A$5:$H$43,8,FALSE)</f>
        <v>-1.7168409308486474</v>
      </c>
      <c r="Y14" s="8"/>
      <c r="Z14" s="321">
        <f t="shared" si="2"/>
        <v>2.3316979423601634</v>
      </c>
      <c r="AA14" s="8"/>
      <c r="AB14" s="321">
        <f t="shared" si="0"/>
        <v>5.9539562550786389</v>
      </c>
      <c r="AD14" s="7">
        <f t="shared" si="3"/>
        <v>6.8882099016284783</v>
      </c>
      <c r="AE14" s="14">
        <f t="shared" si="4"/>
        <v>-0.93425364654983944</v>
      </c>
      <c r="AG14" t="s">
        <v>70</v>
      </c>
      <c r="AH14" s="60">
        <f>VLOOKUP(AG14,'Stripped Spread'!$C$18:$E$60,3,FALSE)</f>
        <v>2.1692475485534328</v>
      </c>
    </row>
    <row r="15" spans="1:34" x14ac:dyDescent="0.2">
      <c r="A15" t="s">
        <v>71</v>
      </c>
      <c r="B15" s="321">
        <f>VLOOKUP(A15,Inflation!$AU$4:$AV$28,2,FALSE)</f>
        <v>-0.45053001526634034</v>
      </c>
      <c r="C15" s="321"/>
      <c r="D15" s="321">
        <f>VLOOKUP(A15,'GDP g'!$AY$4:$AZ$28,2,FALSE)</f>
        <v>1.2881976439323841</v>
      </c>
      <c r="E15" s="8"/>
      <c r="F15" s="321">
        <f>VLOOKUP(A15,'Ext Debt Expo'!$U$3:$V$27,2,FALSE)</f>
        <v>-0.85658193111015501</v>
      </c>
      <c r="G15" s="321"/>
      <c r="H15" s="321">
        <f>VLOOKUP(A15,'Fiscal Bal'!$AN$3:$AO$27,2,FALSE)</f>
        <v>1.6705116583782962</v>
      </c>
      <c r="I15" s="8"/>
      <c r="J15" s="321">
        <f t="shared" si="1"/>
        <v>-1.8018030409095764</v>
      </c>
      <c r="K15" s="8"/>
      <c r="L15" s="321">
        <f>VLOOKUP(A15,Savings!$I$3:$N$27,6,FALSE)</f>
        <v>-0.9428900002181777</v>
      </c>
      <c r="M15" s="8"/>
      <c r="N15" s="321">
        <f>VLOOKUP(A15,FDI!$Z$3:$AE$27,6,FALSE)</f>
        <v>2.4876916315582762</v>
      </c>
      <c r="O15" s="8"/>
      <c r="P15" s="321">
        <f>VLOOKUP(A15,'CA GDP'!$AW$4:$AX$28,2,FALSE)</f>
        <v>-2.3445283227167852</v>
      </c>
      <c r="Q15" s="8"/>
      <c r="R15" s="321">
        <f>VLOOKUP(A15,'FX Res'!$I$3:$M$27,5,FALSE)</f>
        <v>-0.51733776824281497</v>
      </c>
      <c r="S15" s="321"/>
      <c r="T15" s="321">
        <f t="shared" si="5"/>
        <v>0.79001095807309341</v>
      </c>
      <c r="U15" s="8"/>
      <c r="V15" s="321">
        <f>VLOOKUP(A15,'Political Risk'!$AN$2:$AR$40,5,FALSE)</f>
        <v>-1.0318323930328936</v>
      </c>
      <c r="W15" s="8"/>
      <c r="X15" s="321">
        <f>VLOOKUP(A15,Competitiveness!$A$5:$H$43,8,FALSE)</f>
        <v>0.52982512516031777</v>
      </c>
      <c r="Y15" s="8"/>
      <c r="Z15" s="321">
        <f t="shared" si="2"/>
        <v>-1.2093373579830349</v>
      </c>
      <c r="AA15" s="8"/>
      <c r="AB15" s="321">
        <f t="shared" si="0"/>
        <v>-2.2211294408195181</v>
      </c>
      <c r="AD15" s="7">
        <f t="shared" si="3"/>
        <v>-1.2868757942696771</v>
      </c>
      <c r="AE15" s="14">
        <f t="shared" si="4"/>
        <v>-0.934253646549841</v>
      </c>
      <c r="AG15" t="s">
        <v>71</v>
      </c>
      <c r="AH15" s="60">
        <f>VLOOKUP(AG15,'Stripped Spread'!$C$18:$E$60,3,FALSE)</f>
        <v>-0.55505648603455771</v>
      </c>
    </row>
    <row r="16" spans="1:34" x14ac:dyDescent="0.2">
      <c r="A16" t="s">
        <v>47</v>
      </c>
      <c r="B16" s="321">
        <f>VLOOKUP(A16,Inflation!$AU$4:$AV$28,2,FALSE)</f>
        <v>-0.85546595231702172</v>
      </c>
      <c r="C16" s="321"/>
      <c r="D16" s="321">
        <f>VLOOKUP(A16,'GDP g'!$AY$4:$AZ$28,2,FALSE)</f>
        <v>1.3412379872006965</v>
      </c>
      <c r="E16" s="8"/>
      <c r="F16" s="321">
        <f>VLOOKUP(A16,'Ext Debt Expo'!$U$3:$V$27,2,FALSE)</f>
        <v>-0.36893551520700318</v>
      </c>
      <c r="G16" s="321"/>
      <c r="H16" s="321">
        <f>VLOOKUP(A16,'Fiscal Bal'!$AN$3:$AO$27,2,FALSE)</f>
        <v>1.2408533100299688</v>
      </c>
      <c r="I16" s="8"/>
      <c r="J16" s="321">
        <f t="shared" si="1"/>
        <v>-1.8096964846801531</v>
      </c>
      <c r="K16" s="8"/>
      <c r="L16" s="321">
        <f>VLOOKUP(A16,Savings!$I$3:$N$27,6,FALSE)</f>
        <v>7.514455935360409E-2</v>
      </c>
      <c r="M16" s="8"/>
      <c r="N16" s="321">
        <f>VLOOKUP(A16,FDI!$Z$3:$AE$27,6,FALSE)</f>
        <v>0.83822762027792419</v>
      </c>
      <c r="O16" s="8"/>
      <c r="P16" s="321">
        <f>VLOOKUP(A16,'CA GDP'!$AW$4:$AX$28,2,FALSE)</f>
        <v>-0.28202830439247661</v>
      </c>
      <c r="Q16" s="8"/>
      <c r="R16" s="321">
        <f>VLOOKUP(A16,'FX Res'!$I$3:$M$27,5,FALSE)</f>
        <v>0.36192704675449205</v>
      </c>
      <c r="S16" s="321"/>
      <c r="T16" s="321">
        <f t="shared" si="5"/>
        <v>-0.67463357845598826</v>
      </c>
      <c r="U16" s="8"/>
      <c r="V16" s="321">
        <f>VLOOKUP(A16,'Political Risk'!$AN$2:$AR$40,5,FALSE)</f>
        <v>-0.77304168766066395</v>
      </c>
      <c r="W16" s="8"/>
      <c r="X16" s="321">
        <f>VLOOKUP(A16,Competitiveness!$A$5:$H$43,8,FALSE)</f>
        <v>0.121388667735152</v>
      </c>
      <c r="Y16" s="8"/>
      <c r="Z16" s="321">
        <f t="shared" si="2"/>
        <v>-0.7360654774044143</v>
      </c>
      <c r="AA16" s="8"/>
      <c r="AB16" s="321">
        <f t="shared" si="0"/>
        <v>-3.2203955405405558</v>
      </c>
      <c r="AD16" s="7">
        <f t="shared" si="3"/>
        <v>-2.2861418939907159</v>
      </c>
      <c r="AE16" s="14">
        <f t="shared" si="4"/>
        <v>-0.93425364654983989</v>
      </c>
      <c r="AG16" t="s">
        <v>47</v>
      </c>
      <c r="AH16" s="60">
        <f>VLOOKUP(AG16,'Stripped Spread'!$C$18:$E$60,3,FALSE)</f>
        <v>-0.50718932529558414</v>
      </c>
    </row>
    <row r="17" spans="1:34" x14ac:dyDescent="0.2">
      <c r="A17" t="s">
        <v>4</v>
      </c>
      <c r="B17" s="321">
        <f>VLOOKUP(A17,Inflation!$AU$4:$AV$28,2,FALSE)</f>
        <v>-0.46953045312192548</v>
      </c>
      <c r="C17" s="321"/>
      <c r="D17" s="321">
        <f>VLOOKUP(A17,'GDP g'!$AY$4:$AZ$28,2,FALSE)</f>
        <v>3.1509114812855502E-3</v>
      </c>
      <c r="E17" s="8"/>
      <c r="F17" s="321">
        <f>VLOOKUP(A17,'Ext Debt Expo'!$U$3:$V$27,2,FALSE)</f>
        <v>-0.31028388442827359</v>
      </c>
      <c r="G17" s="321"/>
      <c r="H17" s="321">
        <f>VLOOKUP(A17,'Fiscal Bal'!$AN$3:$AO$27,2,FALSE)</f>
        <v>3.7809934654652641E-2</v>
      </c>
      <c r="I17" s="8"/>
      <c r="J17" s="321">
        <f t="shared" si="1"/>
        <v>-0.51332565937108132</v>
      </c>
      <c r="K17" s="8"/>
      <c r="L17" s="321">
        <f>VLOOKUP(A17,Savings!$I$3:$N$27,6,FALSE)</f>
        <v>-0.63608806643268745</v>
      </c>
      <c r="M17" s="8"/>
      <c r="N17" s="321">
        <f>VLOOKUP(A17,FDI!$Z$3:$AE$27,6,FALSE)</f>
        <v>-0.43635820662052949</v>
      </c>
      <c r="O17" s="8"/>
      <c r="P17" s="321">
        <f>VLOOKUP(A17,'CA GDP'!$AW$4:$AX$28,2,FALSE)</f>
        <v>0.69477988038661753</v>
      </c>
      <c r="Q17" s="8"/>
      <c r="R17" s="321">
        <f>VLOOKUP(A17,'FX Res'!$I$3:$M$27,5,FALSE)</f>
        <v>0.10285002760291417</v>
      </c>
      <c r="S17" s="321"/>
      <c r="T17" s="321">
        <f>L17*L$36+N17*N$36+P17*P$36+R17*R$36</f>
        <v>-9.2385008933758617E-2</v>
      </c>
      <c r="U17" s="8"/>
      <c r="V17" s="321">
        <f>VLOOKUP(A17,'Political Risk'!$AN$2:$AR$40,5,FALSE)</f>
        <v>-0.33904931120500675</v>
      </c>
      <c r="W17" s="8"/>
      <c r="X17" s="321">
        <f>VLOOKUP(A17,Competitiveness!$A$5:$H$43,8,FALSE)</f>
        <v>-0.25334623637212272</v>
      </c>
      <c r="Y17" s="8"/>
      <c r="Z17" s="321">
        <f t="shared" si="2"/>
        <v>-0.13372855429369224</v>
      </c>
      <c r="AA17" s="8"/>
      <c r="AB17" s="321">
        <f t="shared" si="0"/>
        <v>-0.73943922259853212</v>
      </c>
      <c r="AD17" s="7">
        <f t="shared" si="3"/>
        <v>0.1948144239513081</v>
      </c>
      <c r="AE17" s="14">
        <f t="shared" si="4"/>
        <v>-0.93425364654984022</v>
      </c>
      <c r="AG17" t="s">
        <v>4</v>
      </c>
      <c r="AH17" s="60">
        <f>VLOOKUP(AG17,'Stripped Spread'!$C$18:$E$60,3,FALSE)</f>
        <v>-0.46284842419996541</v>
      </c>
    </row>
    <row r="18" spans="1:34" x14ac:dyDescent="0.2">
      <c r="A18" t="s">
        <v>48</v>
      </c>
      <c r="B18" s="321">
        <f>VLOOKUP(A18,Inflation!$AU$4:$AV$28,2,FALSE)</f>
        <v>-0.61891921681216833</v>
      </c>
      <c r="C18" s="321"/>
      <c r="D18" s="321">
        <f>VLOOKUP(A18,'GDP g'!$AY$4:$AZ$28,2,FALSE)</f>
        <v>-0.58501923169208203</v>
      </c>
      <c r="E18" s="8"/>
      <c r="F18" s="321">
        <f>VLOOKUP(A18,'Ext Debt Expo'!$U$3:$V$27,2,FALSE)</f>
        <v>-7.0650078675178418E-2</v>
      </c>
      <c r="G18" s="321"/>
      <c r="H18" s="321">
        <f>VLOOKUP(A18,'Fiscal Bal'!$AN$3:$AO$27,2,FALSE)</f>
        <v>-1.3370967800599947</v>
      </c>
      <c r="I18" s="8"/>
      <c r="J18" s="321">
        <f>B18*B$36+D18*D$36+F18*F$36+H18*H$36</f>
        <v>0.16099562066753453</v>
      </c>
      <c r="K18" s="8"/>
      <c r="L18" s="321">
        <f>VLOOKUP(A18,Savings!$I$3:$N$27,6,FALSE)</f>
        <v>-0.83397531372432876</v>
      </c>
      <c r="M18" s="8"/>
      <c r="N18" s="321">
        <f>VLOOKUP(A18,FDI!$Z$3:$AE$27,6,FALSE)</f>
        <v>-0.58630948037328878</v>
      </c>
      <c r="O18" s="8"/>
      <c r="P18" s="321">
        <f>VLOOKUP(A18,'CA GDP'!$AW$4:$AX$28,2,FALSE)</f>
        <v>-0.64661164096495538</v>
      </c>
      <c r="Q18" s="8"/>
      <c r="R18" s="321">
        <f>VLOOKUP(A18,'FX Res'!$I$3:$M$27,5,FALSE)</f>
        <v>-0.41707851083141673</v>
      </c>
      <c r="S18" s="321"/>
      <c r="T18" s="321">
        <f t="shared" si="5"/>
        <v>0.99708853321332447</v>
      </c>
      <c r="U18" s="8"/>
      <c r="V18" s="321">
        <f>VLOOKUP(A18,'Political Risk'!$AN$2:$AR$40,5,FALSE)</f>
        <v>-0.92915410369356033</v>
      </c>
      <c r="W18" s="8"/>
      <c r="X18" s="321">
        <f>VLOOKUP(A18,Competitiveness!$A$5:$H$43,8,FALSE)</f>
        <v>0.8465492303042107</v>
      </c>
      <c r="Y18" s="8"/>
      <c r="Z18" s="321">
        <f t="shared" si="2"/>
        <v>-1.3168716644534815</v>
      </c>
      <c r="AA18" s="8"/>
      <c r="AB18" s="321">
        <f t="shared" si="0"/>
        <v>-0.15878751057262241</v>
      </c>
      <c r="AD18" s="7">
        <f t="shared" si="3"/>
        <v>0.7754661359772177</v>
      </c>
      <c r="AE18" s="14">
        <f t="shared" si="4"/>
        <v>-0.93425364654984011</v>
      </c>
      <c r="AG18" t="s">
        <v>48</v>
      </c>
      <c r="AH18" s="60">
        <f>VLOOKUP(AG18,'Stripped Spread'!$C$18:$E$60,3,FALSE)</f>
        <v>-0.36315540465326435</v>
      </c>
    </row>
    <row r="19" spans="1:34" x14ac:dyDescent="0.2">
      <c r="A19" t="s">
        <v>13</v>
      </c>
      <c r="B19" s="321">
        <f>VLOOKUP(A19,Inflation!$AU$4:$AV$28,2,FALSE)</f>
        <v>0.29850559450842429</v>
      </c>
      <c r="C19" s="321"/>
      <c r="D19" s="321">
        <f>VLOOKUP(A19,'GDP g'!$AY$4:$AZ$28,2,FALSE)</f>
        <v>-6.2493077712170643E-2</v>
      </c>
      <c r="E19" s="8"/>
      <c r="F19" s="321">
        <f>VLOOKUP(A19,'Ext Debt Expo'!$U$3:$V$27,2,FALSE)</f>
        <v>-0.12930170945390804</v>
      </c>
      <c r="G19" s="321"/>
      <c r="H19" s="321">
        <f>VLOOKUP(A19,'Fiscal Bal'!$AN$3:$AO$27,2,FALSE)</f>
        <v>0.16670743915915073</v>
      </c>
      <c r="I19" s="8"/>
      <c r="J19" s="321">
        <f t="shared" si="1"/>
        <v>0.15808320811805349</v>
      </c>
      <c r="K19" s="8"/>
      <c r="L19" s="321">
        <f>VLOOKUP(A19,Savings!$I$3:$N$27,6,FALSE)</f>
        <v>0.60240559698781049</v>
      </c>
      <c r="M19" s="8"/>
      <c r="N19" s="321">
        <f>VLOOKUP(A19,FDI!$Z$3:$AE$27,6,FALSE)</f>
        <v>-0.96118766475518691</v>
      </c>
      <c r="O19" s="8"/>
      <c r="P19" s="321">
        <f>VLOOKUP(A19,'CA GDP'!$AW$4:$AX$28,2,FALSE)</f>
        <v>1.2126651051135617</v>
      </c>
      <c r="Q19" s="8"/>
      <c r="R19" s="321">
        <f>VLOOKUP(A19,'FX Res'!$I$3:$M$27,5,FALSE)</f>
        <v>0.17826628317785975</v>
      </c>
      <c r="S19" s="321"/>
      <c r="T19" s="321">
        <f t="shared" si="5"/>
        <v>-0.37114819914137454</v>
      </c>
      <c r="U19" s="8"/>
      <c r="V19" s="321">
        <f>VLOOKUP(A19,'Political Risk'!$AN$2:$AR$40,5,FALSE)</f>
        <v>-0.31498274610456278</v>
      </c>
      <c r="W19" s="8"/>
      <c r="X19" s="321">
        <f>Competitiveness!$H$34</f>
        <v>0.12985249300900778</v>
      </c>
      <c r="Y19" s="8"/>
      <c r="Z19" s="321">
        <f t="shared" si="2"/>
        <v>-0.34950223603668934</v>
      </c>
      <c r="AA19" s="8"/>
      <c r="AB19" s="321">
        <f t="shared" si="0"/>
        <v>-0.56256722706001039</v>
      </c>
      <c r="AD19" s="7">
        <f t="shared" si="3"/>
        <v>0.37168641948982972</v>
      </c>
      <c r="AE19" s="14">
        <f t="shared" si="4"/>
        <v>-0.93425364654984011</v>
      </c>
      <c r="AG19" t="s">
        <v>13</v>
      </c>
      <c r="AH19" s="60">
        <f>VLOOKUP(AG19,'Stripped Spread'!$C$18:$E$60,3,FALSE)</f>
        <v>-0.16466036285246269</v>
      </c>
    </row>
    <row r="20" spans="1:34" x14ac:dyDescent="0.2">
      <c r="A20" t="s">
        <v>23</v>
      </c>
      <c r="B20" s="321">
        <f>VLOOKUP(A20,Inflation!$AU$4:$AV$28,2,FALSE)</f>
        <v>-0.46586981830571189</v>
      </c>
      <c r="C20" s="321"/>
      <c r="D20" s="321">
        <f>VLOOKUP(A20,'GDP g'!$AY$4:$AZ$28,2,FALSE)</f>
        <v>-0.74991693254604397</v>
      </c>
      <c r="E20" s="8"/>
      <c r="F20" s="321">
        <f>VLOOKUP(A20,'Ext Debt Expo'!$U$3:$V$27,2,FALSE)</f>
        <v>-0.47618421148810886</v>
      </c>
      <c r="G20" s="321"/>
      <c r="H20" s="321">
        <f>VLOOKUP(A20,'Fiscal Bal'!$AN$3:$AO$27,2,FALSE)</f>
        <v>-0.43481424852850759</v>
      </c>
      <c r="I20" s="8"/>
      <c r="J20" s="321">
        <f t="shared" si="1"/>
        <v>-0.10005806400386455</v>
      </c>
      <c r="K20" s="8"/>
      <c r="L20" s="321">
        <f>VLOOKUP(A20,Savings!$I$3:$N$27,6,FALSE)</f>
        <v>-0.6679735531225367</v>
      </c>
      <c r="M20" s="8"/>
      <c r="N20" s="321">
        <f>VLOOKUP(A20,FDI!$Z$3:$AE$27,6,FALSE)</f>
        <v>-0.54882166193509885</v>
      </c>
      <c r="O20" s="8"/>
      <c r="P20" s="321">
        <f>VLOOKUP(A20,'CA GDP'!$AW$4:$AX$28,2,FALSE)</f>
        <v>-0.73584120150614418</v>
      </c>
      <c r="Q20" s="8"/>
      <c r="R20" s="321">
        <f>VLOOKUP(A20,'FX Res'!$I$3:$M$27,5,FALSE)</f>
        <v>-0.22986874699243409</v>
      </c>
      <c r="S20" s="321"/>
      <c r="T20" s="321">
        <f t="shared" si="5"/>
        <v>0.70908082947960804</v>
      </c>
      <c r="U20" s="8"/>
      <c r="V20" s="321">
        <f>VLOOKUP(A20,'Political Risk'!$AN$2:$AR$40,5,FALSE)</f>
        <v>-0.69417935048935897</v>
      </c>
      <c r="W20" s="8"/>
      <c r="X20" s="321">
        <f>VLOOKUP(A20,Competitiveness!$A$5:$H$43,8,FALSE)</f>
        <v>0.49891160964599601</v>
      </c>
      <c r="Y20" s="8"/>
      <c r="Z20" s="321">
        <f t="shared" si="2"/>
        <v>-0.9014707817807841</v>
      </c>
      <c r="AA20" s="8"/>
      <c r="AB20" s="321">
        <f t="shared" si="0"/>
        <v>-0.29244801630504058</v>
      </c>
      <c r="AD20" s="7">
        <f t="shared" si="3"/>
        <v>0.64180563024479942</v>
      </c>
      <c r="AE20" s="14">
        <f t="shared" si="4"/>
        <v>-0.93425364654984</v>
      </c>
      <c r="AG20" t="s">
        <v>23</v>
      </c>
      <c r="AH20" s="60">
        <f>VLOOKUP(AG20,'Stripped Spread'!$C$18:$E$60,3,FALSE)</f>
        <v>-0.49266345738201095</v>
      </c>
    </row>
    <row r="21" spans="1:34" x14ac:dyDescent="0.2">
      <c r="A21" t="s">
        <v>77</v>
      </c>
      <c r="B21" s="321">
        <f>VLOOKUP(A21,Inflation!$AU$4:$AV$28,2,FALSE)</f>
        <v>5.1325586442188084E-2</v>
      </c>
      <c r="C21" s="321"/>
      <c r="D21" s="321">
        <f>VLOOKUP(A21,'GDP g'!$AY$4:$AZ$28,2,FALSE)</f>
        <v>1.0518792828359416</v>
      </c>
      <c r="E21" s="8"/>
      <c r="F21" s="321">
        <f>VLOOKUP(A21,'Ext Debt Expo'!$U$3:$V$27,2,FALSE)</f>
        <v>2.7144645028747814</v>
      </c>
      <c r="G21" s="321"/>
      <c r="H21" s="321">
        <f>VLOOKUP(A21,'Fiscal Bal'!$AN$3:$AO$27,2,FALSE)</f>
        <v>-1.4659942845644927</v>
      </c>
      <c r="I21" s="8"/>
      <c r="J21" s="321">
        <f>B21*B$36+D21*D$36+F21*F$36+H21*H$36</f>
        <v>1.1626755695973388</v>
      </c>
      <c r="K21" s="8"/>
      <c r="L21" s="321">
        <f>VLOOKUP(A21,Savings!$I$3:$N$27,6,FALSE)</f>
        <v>-0.12734471694481969</v>
      </c>
      <c r="M21" s="8"/>
      <c r="N21" s="321">
        <f>VLOOKUP(A21,FDI!$Z$3:$AE$27,6,FALSE)</f>
        <v>-0.39887038818233966</v>
      </c>
      <c r="O21" s="8"/>
      <c r="P21" s="321">
        <f>VLOOKUP(A21,'CA GDP'!$AW$4:$AX$28,2,FALSE)</f>
        <v>-0.688867930648558</v>
      </c>
      <c r="Q21" s="8"/>
      <c r="R21" s="321">
        <f>VLOOKUP(A21,'FX Res'!$I$3:$M$27,5,FALSE)</f>
        <v>-0.37005425735527414</v>
      </c>
      <c r="S21" s="321"/>
      <c r="T21" s="321">
        <f t="shared" si="5"/>
        <v>0.78753570847792198</v>
      </c>
      <c r="U21" s="8"/>
      <c r="V21" s="321">
        <f>VLOOKUP(A21,'Political Risk'!$AN$2:$AR$40,5,FALSE)</f>
        <v>0.44651415673313205</v>
      </c>
      <c r="W21" s="8"/>
      <c r="X21" s="321">
        <f>VLOOKUP(A21,Competitiveness!$A$5:$H$43,8,FALSE)</f>
        <v>0.45587896743495632</v>
      </c>
      <c r="Y21" s="8"/>
      <c r="Z21" s="321">
        <f>V21*V$36+X21*X$36</f>
        <v>0.10072183387211392</v>
      </c>
      <c r="AA21" s="8"/>
      <c r="AB21" s="321">
        <f>J21+T21+Z21</f>
        <v>2.0509331119473746</v>
      </c>
      <c r="AD21" s="7">
        <f t="shared" si="3"/>
        <v>2.9851867584972149</v>
      </c>
      <c r="AE21" s="14">
        <f t="shared" si="4"/>
        <v>-0.93425364654984033</v>
      </c>
      <c r="AG21" t="s">
        <v>77</v>
      </c>
      <c r="AH21" s="60">
        <f>VLOOKUP(AG21,'Stripped Spread'!$C$18:$E$60,3,FALSE)</f>
        <v>0.16739140015649304</v>
      </c>
    </row>
    <row r="22" spans="1:34" x14ac:dyDescent="0.2">
      <c r="A22" t="s">
        <v>14</v>
      </c>
      <c r="B22" s="321">
        <f>VLOOKUP(A22,Inflation!$AU$4:$AV$28,2,FALSE)</f>
        <v>-0.33356401709113276</v>
      </c>
      <c r="C22" s="321"/>
      <c r="D22" s="321">
        <f>VLOOKUP(A22,'GDP g'!$AY$4:$AZ$28,2,FALSE)</f>
        <v>-0.18222771400103507</v>
      </c>
      <c r="E22" s="8"/>
      <c r="F22" s="321">
        <f>VLOOKUP(A22,'Ext Debt Expo'!$U$3:$V$27,2,FALSE)</f>
        <v>0.59127546868477021</v>
      </c>
      <c r="G22" s="321"/>
      <c r="H22" s="321">
        <f>VLOOKUP(A22,'Fiscal Bal'!$AN$3:$AO$27,2,FALSE)</f>
        <v>0.33857077849848161</v>
      </c>
      <c r="I22" s="8"/>
      <c r="J22" s="321">
        <f t="shared" si="1"/>
        <v>-5.2135716955758679E-2</v>
      </c>
      <c r="K22" s="8"/>
      <c r="L22" s="321">
        <f>VLOOKUP(A22,Savings!$I$3:$N$27,6,FALSE)</f>
        <v>-1.0736095384346385</v>
      </c>
      <c r="M22" s="8"/>
      <c r="N22" s="321">
        <f>VLOOKUP(A22,FDI!$Z$3:$AE$27,6,FALSE)</f>
        <v>-0.21143129599139057</v>
      </c>
      <c r="O22" s="8"/>
      <c r="P22" s="321">
        <f>VLOOKUP(A22,'CA GDP'!$AW$4:$AX$28,2,FALSE)</f>
        <v>-1.4573427802433785</v>
      </c>
      <c r="Q22" s="8"/>
      <c r="R22" s="321">
        <f>VLOOKUP(A22,'FX Res'!$I$3:$M$27,5,FALSE)</f>
        <v>-0.4259510114872927</v>
      </c>
      <c r="S22" s="321"/>
      <c r="T22" s="321">
        <f t="shared" si="5"/>
        <v>1.1220615306639026</v>
      </c>
      <c r="U22" s="8"/>
      <c r="V22" s="321">
        <f>VLOOKUP(A22,'Political Risk'!$AN$2:$AR$40,5,FALSE)</f>
        <v>-0.67427991174671464</v>
      </c>
      <c r="W22" s="8"/>
      <c r="X22" s="321">
        <f>VLOOKUP(A22,Competitiveness!$A$5:$H$43,8,FALSE)</f>
        <v>0.32060255447826819</v>
      </c>
      <c r="Y22" s="8"/>
      <c r="Z22" s="321">
        <f t="shared" si="2"/>
        <v>-0.7744689730118518</v>
      </c>
      <c r="AA22" s="8"/>
      <c r="AB22" s="321">
        <f t="shared" si="0"/>
        <v>0.29545684069629219</v>
      </c>
      <c r="AD22" s="7">
        <f t="shared" si="3"/>
        <v>1.2297104872461324</v>
      </c>
      <c r="AE22" s="14">
        <f t="shared" si="4"/>
        <v>-0.93425364654984022</v>
      </c>
      <c r="AG22" t="s">
        <v>14</v>
      </c>
      <c r="AH22" s="60">
        <f>VLOOKUP(AG22,'Stripped Spread'!$C$18:$E$60,3,FALSE)</f>
        <v>-0.24455989205539388</v>
      </c>
    </row>
    <row r="23" spans="1:34" x14ac:dyDescent="0.2">
      <c r="A23" t="s">
        <v>58</v>
      </c>
      <c r="B23" s="321">
        <f>VLOOKUP(A23,Inflation!$AU$4:$AV$28,2,FALSE)</f>
        <v>0.27427567834396227</v>
      </c>
      <c r="C23" s="321"/>
      <c r="D23" s="321">
        <f>VLOOKUP(A23,'GDP g'!$AY$4:$AZ$28,2,FALSE)</f>
        <v>-0.23474290535579986</v>
      </c>
      <c r="E23" s="8"/>
      <c r="F23" s="321">
        <f>VLOOKUP(A23,'Ext Debt Expo'!$U$3:$V$27,2,FALSE)</f>
        <v>1.0286490582061536</v>
      </c>
      <c r="G23" s="321"/>
      <c r="H23" s="321">
        <f>VLOOKUP(A23,'Fiscal Bal'!$AN$3:$AO$27,2,FALSE)</f>
        <v>-9.1087569849845645E-2</v>
      </c>
      <c r="I23" s="8"/>
      <c r="J23" s="321">
        <f t="shared" si="1"/>
        <v>0.76972025730783988</v>
      </c>
      <c r="K23" s="8"/>
      <c r="L23" s="321">
        <f>VLOOKUP(A23,Savings!$I$3:$N$27,6,FALSE)</f>
        <v>-0.71114496809092365</v>
      </c>
      <c r="M23" s="8"/>
      <c r="N23" s="321">
        <f>VLOOKUP(A23,FDI!$Z$3:$AE$27,6,FALSE)</f>
        <v>1.0631545309070634</v>
      </c>
      <c r="O23" s="8"/>
      <c r="P23" s="321">
        <f>VLOOKUP(A23,'CA GDP'!$AW$4:$AX$28,2,FALSE)</f>
        <v>-0.5894182442304049</v>
      </c>
      <c r="Q23" s="8"/>
      <c r="R23" s="321">
        <f>VLOOKUP(A23,'FX Res'!$I$3:$M$27,5,FALSE)</f>
        <v>-0.40820601017554076</v>
      </c>
      <c r="S23" s="321"/>
      <c r="T23" s="321">
        <f t="shared" si="5"/>
        <v>0.57341324331734911</v>
      </c>
      <c r="U23" s="8"/>
      <c r="V23" s="321">
        <f>VLOOKUP(A23,'Political Risk'!$AN$2:$AR$40,5,FALSE)</f>
        <v>2.2602476880500322</v>
      </c>
      <c r="W23" s="8"/>
      <c r="X23" s="321">
        <f>VLOOKUP(A23,Competitiveness!$A$5:$H$43,8,FALSE)</f>
        <v>-0.49410978913987891</v>
      </c>
      <c r="Y23" s="8"/>
      <c r="Z23" s="321">
        <f t="shared" si="2"/>
        <v>2.2379875671233433</v>
      </c>
      <c r="AA23" s="8"/>
      <c r="AB23" s="321">
        <f t="shared" si="0"/>
        <v>3.5811210677485326</v>
      </c>
      <c r="AD23" s="7">
        <f t="shared" si="3"/>
        <v>4.5153747142983729</v>
      </c>
      <c r="AE23" s="14">
        <f t="shared" si="4"/>
        <v>-0.93425364654984033</v>
      </c>
      <c r="AG23" t="s">
        <v>58</v>
      </c>
      <c r="AH23" s="60">
        <f>VLOOKUP(AG23,'Stripped Spread'!$C$18:$E$60,3,FALSE)</f>
        <v>1.5328752249159792</v>
      </c>
    </row>
    <row r="24" spans="1:34" x14ac:dyDescent="0.2">
      <c r="A24" t="s">
        <v>72</v>
      </c>
      <c r="B24" s="321">
        <f>VLOOKUP(A24,Inflation!$AU$4:$AV$28,2,FALSE)</f>
        <v>-7.0172626267379273E-2</v>
      </c>
      <c r="C24" s="321"/>
      <c r="D24" s="321">
        <f>VLOOKUP(A24,'GDP g'!$AY$4:$AZ$28,2,FALSE)</f>
        <v>2.7833051418024925E-2</v>
      </c>
      <c r="E24" s="8"/>
      <c r="F24" s="321">
        <f>VLOOKUP(A24,'Ext Debt Expo'!$U$3:$V$27,2,FALSE)</f>
        <v>0.31980220622322147</v>
      </c>
      <c r="G24" s="321"/>
      <c r="H24" s="321">
        <f>VLOOKUP(A24,'Fiscal Bal'!$AN$3:$AO$27,2,FALSE)</f>
        <v>1.2408533100299688</v>
      </c>
      <c r="I24" s="8"/>
      <c r="J24" s="321">
        <f t="shared" si="1"/>
        <v>-0.33360511317114749</v>
      </c>
      <c r="K24" s="8"/>
      <c r="L24" s="321">
        <f>VLOOKUP(A24,Savings!$I$3:$N$27,6,FALSE)</f>
        <v>-0.4195735588754988</v>
      </c>
      <c r="M24" s="8"/>
      <c r="N24" s="321">
        <f>VLOOKUP(A24,FDI!$Z$3:$AE$27,6,FALSE)</f>
        <v>1.4005448968507714</v>
      </c>
      <c r="O24" s="8"/>
      <c r="P24" s="321">
        <f>VLOOKUP(A24,'CA GDP'!$AW$4:$AX$28,2,FALSE)</f>
        <v>-8.3915095085167368E-2</v>
      </c>
      <c r="Q24" s="8"/>
      <c r="R24" s="321">
        <f>VLOOKUP(A24,'FX Res'!$I$3:$M$27,5,FALSE)</f>
        <v>-0.18728074384422957</v>
      </c>
      <c r="S24" s="321"/>
      <c r="T24" s="321">
        <f t="shared" si="5"/>
        <v>2.8991488792538822E-2</v>
      </c>
      <c r="U24" s="8"/>
      <c r="V24" s="321">
        <f>VLOOKUP(A24,'Political Risk'!$AN$2:$AR$40,5,FALSE)</f>
        <v>-0.44534397779812457</v>
      </c>
      <c r="W24" s="8"/>
      <c r="X24" s="321">
        <f>VLOOKUP(A24,Competitiveness!$A$5:$H$43,8,FALSE)</f>
        <v>0.23468824072872999</v>
      </c>
      <c r="Y24" s="8"/>
      <c r="Z24" s="321">
        <f t="shared" si="2"/>
        <v>-0.52566489244397885</v>
      </c>
      <c r="AA24" s="8"/>
      <c r="AB24" s="321">
        <f t="shared" si="0"/>
        <v>-0.83027851682258746</v>
      </c>
      <c r="AD24" s="7">
        <f t="shared" si="3"/>
        <v>0.1039751297272527</v>
      </c>
      <c r="AE24" s="14">
        <f t="shared" si="4"/>
        <v>-0.93425364654984011</v>
      </c>
      <c r="AG24" t="s">
        <v>72</v>
      </c>
      <c r="AH24" s="60">
        <f>VLOOKUP(AG24,'Stripped Spread'!$C$18:$E$60,3,FALSE)</f>
        <v>-0.34765727585037098</v>
      </c>
    </row>
    <row r="25" spans="1:34" x14ac:dyDescent="0.2">
      <c r="A25" t="s">
        <v>12</v>
      </c>
      <c r="B25" s="321">
        <f>VLOOKUP(A25,Inflation!$AU$4:$AV$28,2,FALSE)</f>
        <v>3.8677988562603627</v>
      </c>
      <c r="C25" s="321"/>
      <c r="D25" s="321">
        <f>VLOOKUP(A25,'GDP g'!$AY$4:$AZ$28,2,FALSE)</f>
        <v>-1.6720836927357168</v>
      </c>
      <c r="E25" s="8"/>
      <c r="F25" s="321">
        <f>VLOOKUP(A25,'Ext Debt Expo'!$U$3:$V$27,2,FALSE)</f>
        <v>-0.36893551520700318</v>
      </c>
      <c r="G25" s="321"/>
      <c r="H25" s="321">
        <f>VLOOKUP(A25,'Fiscal Bal'!$AN$3:$AO$27,2,FALSE)</f>
        <v>0.16670743915915073</v>
      </c>
      <c r="I25" s="8"/>
      <c r="J25" s="321">
        <f t="shared" si="1"/>
        <v>3.5944553603951035</v>
      </c>
      <c r="K25" s="8"/>
      <c r="L25" s="321">
        <f>VLOOKUP(A25,Savings!$I$3:$N$27,6,FALSE)</f>
        <v>0.35104715552212706</v>
      </c>
      <c r="M25" s="8"/>
      <c r="N25" s="321">
        <f>VLOOKUP(A25,FDI!$Z$3:$AE$27,6,FALSE)</f>
        <v>-1.2610902122607053</v>
      </c>
      <c r="O25" s="8"/>
      <c r="P25" s="321">
        <f>VLOOKUP(A25,'CA GDP'!$AW$4:$AX$28,2,FALSE)</f>
        <v>1.5013836611378051</v>
      </c>
      <c r="Q25" s="8"/>
      <c r="R25" s="321">
        <f>VLOOKUP(A25,'FX Res'!$I$3:$M$27,5,FALSE)</f>
        <v>-0.54839152053838081</v>
      </c>
      <c r="S25" s="321"/>
      <c r="T25" s="321">
        <f t="shared" si="5"/>
        <v>0.7348053012134097</v>
      </c>
      <c r="U25" s="8"/>
      <c r="V25" s="321">
        <f>VLOOKUP(A25,'Political Risk'!$AN$2:$AR$40,5,FALSE)</f>
        <v>1.6415327013261518</v>
      </c>
      <c r="W25" s="8"/>
      <c r="X25" s="321">
        <f>VLOOKUP(A25,Competitiveness!$A$5:$H$43,8,FALSE)</f>
        <v>-1.9225417326460792</v>
      </c>
      <c r="Y25" s="8"/>
      <c r="Z25" s="321">
        <f t="shared" si="2"/>
        <v>2.5898537259884344</v>
      </c>
      <c r="AA25" s="8"/>
      <c r="AB25" s="321">
        <f t="shared" si="0"/>
        <v>6.9191143875969479</v>
      </c>
      <c r="AD25" s="7">
        <f t="shared" si="3"/>
        <v>7.8533680341467864</v>
      </c>
      <c r="AE25" s="14">
        <f t="shared" si="4"/>
        <v>-0.93425364654983856</v>
      </c>
      <c r="AG25" t="s">
        <v>12</v>
      </c>
      <c r="AH25" s="60">
        <f>VLOOKUP(AG25,'Stripped Spread'!$C$18:$E$60,3,FALSE)</f>
        <v>2.7898082980863612</v>
      </c>
    </row>
    <row r="26" spans="1:34" x14ac:dyDescent="0.2">
      <c r="A26" t="s">
        <v>64</v>
      </c>
      <c r="B26" s="321">
        <f>VLOOKUP(A26,Inflation!$AU$4:$AV$28,2,FALSE)</f>
        <v>1.0215681286824347</v>
      </c>
      <c r="C26" s="321"/>
      <c r="D26" s="321">
        <f>VLOOKUP(A26,'GDP g'!$AY$4:$AZ$28,2,FALSE)</f>
        <v>0.68899931057451591</v>
      </c>
      <c r="E26" s="8"/>
      <c r="F26" s="321">
        <f>VLOOKUP(A26,'Ext Debt Expo'!$U$3:$V$27,2,FALSE)</f>
        <v>-1.0794581280693274</v>
      </c>
      <c r="G26" s="321"/>
      <c r="H26" s="321">
        <f>VLOOKUP(A26,'Fiscal Bal'!$AN$3:$AO$27,2,FALSE)</f>
        <v>-1.6808234587386564</v>
      </c>
      <c r="I26" s="8"/>
      <c r="J26" s="321">
        <f t="shared" si="1"/>
        <v>0.60776606753352924</v>
      </c>
      <c r="K26" s="8"/>
      <c r="L26" s="321">
        <f>VLOOKUP(A26,Savings!$I$3:$N$27,6,FALSE)</f>
        <v>0.86548825520886863</v>
      </c>
      <c r="M26" s="8"/>
      <c r="N26" s="321">
        <f>VLOOKUP(A26,FDI!$Z$3:$AE$27,6,FALSE)</f>
        <v>1.8878865365472393</v>
      </c>
      <c r="O26" s="8"/>
      <c r="P26" s="321">
        <f>VLOOKUP(A26,'CA GDP'!$AW$4:$AX$28,2,FALSE)</f>
        <v>-0.66606918830763751</v>
      </c>
      <c r="Q26" s="8"/>
      <c r="R26" s="321">
        <f>VLOOKUP(A26,'FX Res'!$I$3:$M$27,5,FALSE)</f>
        <v>-0.1588887417454265</v>
      </c>
      <c r="S26" s="321"/>
      <c r="T26" s="321">
        <f t="shared" si="5"/>
        <v>-0.20152354116306495</v>
      </c>
      <c r="U26" s="8"/>
      <c r="V26" s="321">
        <f>VLOOKUP(A26,'Political Risk'!$AN$2:$AR$40,5,FALSE)</f>
        <v>-5.7351011592223271E-2</v>
      </c>
      <c r="W26" s="8"/>
      <c r="X26" s="321">
        <f>VLOOKUP(A26,Competitiveness!$A$5:$H$43,8,FALSE)</f>
        <v>0.20068295687681542</v>
      </c>
      <c r="Y26" s="8"/>
      <c r="Z26" s="321">
        <f>V26*V$36+X26*X$36</f>
        <v>-0.17283491457682185</v>
      </c>
      <c r="AA26" s="8"/>
      <c r="AB26" s="321">
        <f t="shared" si="0"/>
        <v>0.23340761179364247</v>
      </c>
      <c r="AD26" s="7">
        <f t="shared" si="3"/>
        <v>1.1676612583434827</v>
      </c>
      <c r="AE26" s="14">
        <f t="shared" si="4"/>
        <v>-0.93425364654984022</v>
      </c>
      <c r="AG26" t="s">
        <v>64</v>
      </c>
      <c r="AH26" s="60">
        <f>VLOOKUP(AG26,'Stripped Spread'!$C$18:$E$60,3,FALSE)</f>
        <v>0.45654469091159733</v>
      </c>
    </row>
    <row r="27" spans="1:34" x14ac:dyDescent="0.2">
      <c r="B27" s="8"/>
      <c r="C27" s="8"/>
      <c r="D27" s="8"/>
      <c r="E27" s="8"/>
      <c r="F27" s="8"/>
      <c r="G27" s="8"/>
      <c r="H27" s="8"/>
      <c r="I27" s="8"/>
      <c r="J27" s="8"/>
      <c r="K27" s="8"/>
      <c r="L27" s="8"/>
      <c r="M27" s="8"/>
      <c r="N27" s="8"/>
      <c r="O27" s="8"/>
      <c r="P27" s="8"/>
      <c r="Q27" s="8"/>
      <c r="R27" s="8"/>
      <c r="S27" s="8"/>
      <c r="T27" s="8"/>
      <c r="U27" s="8"/>
      <c r="V27" s="8"/>
      <c r="W27" s="8"/>
      <c r="X27" s="8"/>
      <c r="Y27" s="8"/>
      <c r="Z27" s="8"/>
      <c r="AA27" s="8"/>
      <c r="AB27" s="8"/>
    </row>
    <row r="28" spans="1:34" x14ac:dyDescent="0.2">
      <c r="A28" t="s">
        <v>144</v>
      </c>
      <c r="B28" s="8"/>
      <c r="C28" s="8"/>
      <c r="D28" s="8"/>
      <c r="E28" s="8"/>
      <c r="F28" s="8"/>
      <c r="G28" s="8"/>
      <c r="H28" s="8"/>
      <c r="I28" s="8"/>
      <c r="J28" s="8"/>
      <c r="K28" s="8"/>
      <c r="L28" s="8"/>
      <c r="M28" s="8"/>
      <c r="N28" s="8"/>
      <c r="O28" s="8"/>
      <c r="P28" s="8"/>
      <c r="Q28" s="8"/>
      <c r="R28" s="8"/>
      <c r="S28" s="8"/>
      <c r="T28" s="8"/>
      <c r="U28" s="8"/>
      <c r="V28" s="8"/>
      <c r="W28" s="8"/>
      <c r="X28" s="8"/>
      <c r="Y28" s="8"/>
      <c r="Z28" s="8"/>
      <c r="AA28" s="8"/>
      <c r="AB28" s="8"/>
    </row>
    <row r="29" spans="1:34" x14ac:dyDescent="0.2">
      <c r="A29" t="s">
        <v>124</v>
      </c>
      <c r="B29" s="8"/>
      <c r="C29" s="8"/>
      <c r="D29" s="8"/>
      <c r="E29" s="8"/>
      <c r="F29" s="8"/>
      <c r="G29" s="8"/>
      <c r="H29" s="8"/>
      <c r="I29" s="8"/>
      <c r="J29" s="322"/>
      <c r="K29" s="8"/>
      <c r="L29" s="8"/>
      <c r="M29" s="8"/>
      <c r="N29" s="8"/>
      <c r="O29" s="8"/>
      <c r="P29" s="8"/>
      <c r="Q29" s="8"/>
      <c r="R29" s="8"/>
      <c r="S29" s="8"/>
      <c r="T29" s="8"/>
      <c r="U29" s="8"/>
      <c r="V29" s="8"/>
      <c r="W29" s="8"/>
      <c r="X29" s="8"/>
      <c r="Y29" s="8"/>
      <c r="Z29" s="8"/>
      <c r="AA29" s="8"/>
      <c r="AB29" s="8"/>
    </row>
    <row r="30" spans="1:34" x14ac:dyDescent="0.2">
      <c r="A30" t="s">
        <v>169</v>
      </c>
      <c r="B30" s="8"/>
      <c r="C30" s="8"/>
      <c r="D30" s="8"/>
      <c r="E30" s="8"/>
      <c r="F30" s="8"/>
      <c r="G30" s="8"/>
      <c r="H30" s="8"/>
      <c r="I30" s="8"/>
      <c r="J30" s="8"/>
      <c r="K30" s="8"/>
      <c r="L30" s="8"/>
      <c r="M30" s="8"/>
      <c r="N30" s="8"/>
      <c r="O30" s="8"/>
      <c r="P30" s="8"/>
      <c r="Q30" s="8"/>
      <c r="R30" s="8"/>
      <c r="S30" s="8"/>
      <c r="T30" s="8"/>
      <c r="U30" s="8"/>
      <c r="V30" s="8"/>
      <c r="W30" s="8"/>
      <c r="X30" s="8"/>
      <c r="Y30" s="8"/>
      <c r="Z30" s="8"/>
      <c r="AA30" s="8"/>
      <c r="AB30" s="8"/>
    </row>
    <row r="31" spans="1:34" x14ac:dyDescent="0.2">
      <c r="B31" s="8"/>
      <c r="C31" s="8"/>
      <c r="D31" s="8"/>
      <c r="E31" s="8"/>
      <c r="F31" s="8"/>
      <c r="G31" s="8"/>
      <c r="H31" s="8"/>
      <c r="I31" s="8"/>
      <c r="J31" s="8"/>
      <c r="K31" s="8"/>
      <c r="L31" s="8"/>
      <c r="M31" s="8"/>
      <c r="N31" s="8"/>
      <c r="O31" s="8"/>
      <c r="P31" s="8"/>
      <c r="Q31" s="8"/>
      <c r="R31" s="8"/>
      <c r="S31" s="8"/>
      <c r="T31" s="8"/>
      <c r="U31" s="8"/>
      <c r="V31" s="8"/>
      <c r="W31" s="8"/>
      <c r="X31" s="8"/>
      <c r="Y31" s="8"/>
      <c r="Z31" s="8"/>
      <c r="AA31" s="8"/>
      <c r="AB31" s="8"/>
    </row>
    <row r="32" spans="1:34" x14ac:dyDescent="0.2">
      <c r="A32" t="s">
        <v>32</v>
      </c>
      <c r="B32" s="8"/>
      <c r="C32" s="8"/>
      <c r="D32" s="8"/>
      <c r="E32" s="8"/>
      <c r="F32" s="8"/>
      <c r="G32" s="8"/>
      <c r="H32" s="8"/>
      <c r="I32" s="8"/>
      <c r="J32" s="8"/>
      <c r="K32" s="8"/>
      <c r="L32" s="8"/>
      <c r="M32" s="8"/>
      <c r="N32" s="8"/>
      <c r="O32" s="8"/>
      <c r="P32" s="8"/>
      <c r="Q32" s="8"/>
      <c r="R32" s="8"/>
      <c r="S32" s="8"/>
      <c r="T32" s="8"/>
      <c r="U32" s="8"/>
      <c r="V32" s="8"/>
      <c r="W32" s="8"/>
      <c r="X32" s="8"/>
      <c r="Y32" s="8"/>
      <c r="Z32" s="8"/>
      <c r="AA32" s="8"/>
      <c r="AB32" s="8"/>
    </row>
    <row r="33" spans="1:36" x14ac:dyDescent="0.2">
      <c r="B33" s="8"/>
      <c r="C33" s="8"/>
      <c r="D33" s="8"/>
      <c r="E33" s="8"/>
      <c r="F33" s="8"/>
      <c r="G33" s="8"/>
      <c r="H33" s="8"/>
      <c r="I33" s="8"/>
      <c r="J33" s="8"/>
      <c r="K33" s="8"/>
      <c r="L33" s="8"/>
      <c r="M33" s="8"/>
      <c r="N33" s="8"/>
      <c r="O33" s="8"/>
      <c r="P33" s="8"/>
      <c r="Q33" s="8"/>
      <c r="R33" s="8"/>
      <c r="S33" s="8"/>
      <c r="T33" s="8"/>
      <c r="U33" s="8"/>
      <c r="V33" s="8"/>
      <c r="W33" s="8"/>
      <c r="X33" s="8"/>
      <c r="Y33" s="8"/>
      <c r="Z33" s="8"/>
      <c r="AA33" s="8"/>
      <c r="AB33" s="8"/>
    </row>
    <row r="34" spans="1:36" x14ac:dyDescent="0.2">
      <c r="A34" t="s">
        <v>181</v>
      </c>
      <c r="B34" s="8"/>
      <c r="C34" s="8"/>
      <c r="D34" s="8"/>
      <c r="E34" s="8"/>
      <c r="F34" s="8"/>
      <c r="G34" s="8"/>
      <c r="H34" s="8"/>
      <c r="I34" s="8"/>
      <c r="J34" s="8"/>
      <c r="K34" s="8"/>
      <c r="L34" s="8"/>
      <c r="M34" s="8"/>
      <c r="N34" s="8"/>
      <c r="O34" s="8"/>
      <c r="P34" s="8"/>
      <c r="Q34" s="8"/>
      <c r="R34" s="8"/>
      <c r="S34" s="8"/>
      <c r="T34" s="8"/>
      <c r="U34" s="8"/>
      <c r="V34" s="8"/>
      <c r="W34" s="8"/>
      <c r="X34" s="8"/>
      <c r="Y34" s="8"/>
      <c r="Z34" s="8"/>
      <c r="AA34" s="8"/>
      <c r="AB34" s="8"/>
    </row>
    <row r="35" spans="1:36" x14ac:dyDescent="0.2">
      <c r="A35" s="178" t="s">
        <v>637</v>
      </c>
      <c r="B35" s="8"/>
      <c r="C35" s="8"/>
      <c r="D35" s="8"/>
      <c r="E35" s="8"/>
      <c r="F35" s="8"/>
      <c r="G35" s="8"/>
      <c r="H35" s="8"/>
      <c r="I35" s="8"/>
      <c r="J35" s="323"/>
      <c r="K35" s="8"/>
      <c r="L35" s="8"/>
      <c r="M35" s="8"/>
      <c r="N35" s="8"/>
      <c r="O35" s="8"/>
      <c r="P35" s="8"/>
      <c r="Q35" s="8"/>
      <c r="R35" s="8"/>
      <c r="S35" s="8"/>
      <c r="T35" s="8"/>
      <c r="U35" s="8"/>
      <c r="V35" s="8"/>
      <c r="W35" s="8"/>
      <c r="X35" s="8"/>
      <c r="Y35" s="8"/>
      <c r="Z35" s="8"/>
      <c r="AA35" s="8"/>
      <c r="AB35" s="8"/>
    </row>
    <row r="36" spans="1:36" x14ac:dyDescent="0.2">
      <c r="A36" s="1" t="s">
        <v>709</v>
      </c>
      <c r="B36" s="323">
        <f>VLOOKUP(A36,Inflation!$AU$41:$AV$42,2,FALSE)</f>
        <v>0.79430763400157911</v>
      </c>
      <c r="C36" s="323"/>
      <c r="D36" s="323">
        <f>VLOOKUP(A36,'GDP g'!$AY$38:$AZ$39,2,FALSE)</f>
        <v>-0.4344438713547758</v>
      </c>
      <c r="E36" s="323"/>
      <c r="F36" s="323">
        <f>VLOOKUP(A36,'Ext Debt Expo'!$X$31:$Y$32,2,FALSE)</f>
        <v>0.40904709292582375</v>
      </c>
      <c r="G36" s="8"/>
      <c r="H36" s="323">
        <f>VLOOKUP(A36,'Fiscal Bal'!$AN$36:$AO$37,2,FALSE)</f>
        <v>-0.31960967616442937</v>
      </c>
      <c r="I36" s="8"/>
      <c r="J36" s="324">
        <f>LINEST($AH$2:$AH$26,J2:J26,TRUE,FALSE)</f>
        <v>0.53852356615756769</v>
      </c>
      <c r="K36" s="8"/>
      <c r="L36" s="323">
        <f>VLOOKUP(A36,Savings!$L$38:$M$39,2,FALSE)</f>
        <v>-0.1505226403959298</v>
      </c>
      <c r="M36" s="323"/>
      <c r="N36" s="323">
        <f>VLOOKUP(A36,FDI!$AD$38:$AE$39,2,FALSE)</f>
        <v>-0.23087278260713512</v>
      </c>
      <c r="O36" s="323"/>
      <c r="P36" s="323">
        <f>VLOOKUP(A36,'CA GDP'!$AW$37:$AX$38,2,FALSE)</f>
        <v>-0.20049638710730583</v>
      </c>
      <c r="Q36" s="323"/>
      <c r="R36" s="323">
        <f>VLOOKUP(A36,'FX Res'!$O$30:$P$31,2,FALSE)</f>
        <v>-1.4542829518588116</v>
      </c>
      <c r="S36" s="8"/>
      <c r="T36" s="324">
        <f>LINEST($AH$2:$AH$26,T2:T26,TRUE,FALSE)</f>
        <v>0.14385331856024766</v>
      </c>
      <c r="U36" s="8"/>
      <c r="V36" s="323">
        <f>VLOOKUP(A36,'Political Risk'!$AQ$48:$AR$49,2,FALSE)</f>
        <v>0.85531297104004989</v>
      </c>
      <c r="W36" s="8"/>
      <c r="X36" s="323">
        <f>VLOOKUP(A36,'Compt. Regress'!$D$22:$E$23,2,FALSE)</f>
        <v>-0.6168030030358066</v>
      </c>
      <c r="Y36" s="8"/>
      <c r="Z36" s="324">
        <f>LINEST($AH$2:$AH$26,Z2:Z26,TRUE,FALSE)</f>
        <v>0.64740216659298577</v>
      </c>
      <c r="AA36" s="8"/>
      <c r="AB36" s="8"/>
      <c r="AD36" s="7">
        <f>AVERAGE(AD2:AD26)</f>
        <v>0.72447799460302564</v>
      </c>
    </row>
    <row r="37" spans="1:36" x14ac:dyDescent="0.2">
      <c r="A37" s="1" t="s">
        <v>315</v>
      </c>
      <c r="B37" s="323">
        <f>VLOOKUP(A37,Inflation!$AU$41:$AV$42,2,FALSE)</f>
        <v>7.0035178147864668E-2</v>
      </c>
      <c r="C37" s="323"/>
      <c r="D37" s="323">
        <f>VLOOKUP(A37,'GDP g'!$AY$38:$AZ$39,2,FALSE)</f>
        <v>0.16365362199693603</v>
      </c>
      <c r="E37" s="323"/>
      <c r="F37" s="323">
        <f>VLOOKUP(A37,'Ext Debt Expo'!$X$31:$Y$32,2,FALSE)</f>
        <v>-4.0509460033485156E-2</v>
      </c>
      <c r="G37" s="8"/>
      <c r="H37" s="323">
        <f>VLOOKUP(A37,'Fiscal Bal'!$AN$36:$AO$37,2,FALSE)</f>
        <v>-7.07699732186923E-2</v>
      </c>
      <c r="I37" s="8"/>
      <c r="J37" s="8"/>
      <c r="K37" s="8"/>
      <c r="L37" s="323">
        <f>VLOOKUP(A37,Savings!$L$38:$M$39,2,FALSE)</f>
        <v>0.21117555451099407</v>
      </c>
      <c r="M37" s="323"/>
      <c r="N37" s="323">
        <f>VLOOKUP(A37,FDI!$AD$38:$AE$39,2,FALSE)</f>
        <v>0.15922802053366852</v>
      </c>
      <c r="O37" s="323"/>
      <c r="P37" s="323">
        <f>VLOOKUP(A37,'CA GDP'!$AW$37:$AX$38,2,FALSE)</f>
        <v>5.8302855713347437E-2</v>
      </c>
      <c r="Q37" s="323"/>
      <c r="R37" s="323">
        <f>VLOOKUP(A37,'FX Res'!$O$30:$P$31,2,FALSE)</f>
        <v>-0.10727143539580408</v>
      </c>
      <c r="S37" s="8"/>
      <c r="T37" s="8"/>
      <c r="U37" s="8"/>
      <c r="V37" s="323">
        <f>VLOOKUP(A37,'Political Risk'!$AQ$48:$AR$49,2,FALSE)</f>
        <v>0.2922465237980616</v>
      </c>
      <c r="W37" s="8"/>
      <c r="X37" s="323">
        <f>VLOOKUP(A37,'Compt. Regress'!$D$22:$E$23,2,FALSE)</f>
        <v>0.19816276049694945</v>
      </c>
      <c r="Y37" s="8"/>
      <c r="Z37" s="8"/>
      <c r="AA37" s="8"/>
      <c r="AB37" s="8"/>
      <c r="AD37" s="7">
        <f>STDEV(AD2:AD26)</f>
        <v>3.5667103168880554</v>
      </c>
    </row>
    <row r="39" spans="1:36" x14ac:dyDescent="0.2">
      <c r="F39" s="14"/>
      <c r="N39" s="14"/>
      <c r="O39" s="14"/>
    </row>
    <row r="40" spans="1:36" ht="18.75" thickBot="1" x14ac:dyDescent="0.3">
      <c r="A40" s="296" t="s">
        <v>706</v>
      </c>
      <c r="B40" s="293"/>
      <c r="C40" s="293"/>
      <c r="D40" s="293"/>
      <c r="E40" s="293"/>
      <c r="F40" s="293"/>
      <c r="G40" s="293"/>
      <c r="H40" s="293"/>
      <c r="I40" s="293"/>
      <c r="J40" s="293"/>
      <c r="K40" s="293"/>
      <c r="L40" s="293"/>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row>
    <row r="41" spans="1:36" ht="15" x14ac:dyDescent="0.25">
      <c r="A41" s="295" t="s">
        <v>703</v>
      </c>
      <c r="B41" s="294"/>
      <c r="C41" s="294"/>
      <c r="D41" s="294"/>
      <c r="E41" s="294"/>
      <c r="F41" s="294"/>
      <c r="G41" s="294"/>
      <c r="H41" s="294"/>
      <c r="I41" s="294"/>
      <c r="J41" s="294"/>
      <c r="K41" s="294"/>
      <c r="L41" s="294"/>
      <c r="M41" s="294"/>
      <c r="N41" s="294"/>
      <c r="O41" s="294"/>
      <c r="P41" s="294"/>
      <c r="Q41" s="294"/>
      <c r="R41" s="294"/>
      <c r="S41" s="294"/>
      <c r="T41" s="294"/>
      <c r="U41" s="294"/>
      <c r="V41" s="294"/>
      <c r="W41" s="294"/>
      <c r="X41" s="294"/>
      <c r="Y41" s="294"/>
      <c r="Z41" s="294"/>
      <c r="AA41" s="294"/>
      <c r="AB41" s="294"/>
      <c r="AC41" s="294"/>
      <c r="AD41" s="294"/>
      <c r="AE41" s="294"/>
      <c r="AF41" s="294"/>
      <c r="AG41" s="294"/>
      <c r="AH41" s="294"/>
      <c r="AI41" s="204"/>
      <c r="AJ41" s="204"/>
    </row>
    <row r="42" spans="1:36" ht="14.25" x14ac:dyDescent="0.2">
      <c r="A42" s="294"/>
      <c r="B42" s="294"/>
      <c r="C42" s="294"/>
      <c r="D42" s="294"/>
      <c r="E42" s="294"/>
      <c r="F42" s="294"/>
      <c r="G42" s="294"/>
      <c r="H42" s="294"/>
      <c r="I42" s="294"/>
      <c r="J42" s="294"/>
      <c r="K42" s="294"/>
      <c r="L42" s="294"/>
      <c r="M42" s="294"/>
      <c r="N42" s="294"/>
      <c r="O42" s="294"/>
      <c r="P42" s="294"/>
      <c r="Q42" s="294"/>
      <c r="R42" s="294"/>
      <c r="S42" s="294"/>
      <c r="T42" s="294"/>
      <c r="U42" s="294"/>
      <c r="V42" s="294"/>
      <c r="W42" s="294"/>
      <c r="X42" s="294"/>
      <c r="Y42" s="294"/>
      <c r="Z42" s="294"/>
      <c r="AA42" s="294"/>
      <c r="AB42" s="294"/>
      <c r="AC42" s="294"/>
      <c r="AD42" s="294"/>
      <c r="AE42" s="294"/>
      <c r="AF42" s="294"/>
      <c r="AG42" s="294"/>
      <c r="AH42" s="294"/>
      <c r="AI42" s="204"/>
      <c r="AJ42" s="204"/>
    </row>
    <row r="43" spans="1:36" ht="15" x14ac:dyDescent="0.25">
      <c r="A43" s="295" t="s">
        <v>704</v>
      </c>
      <c r="B43" s="294"/>
      <c r="C43" s="294"/>
      <c r="D43" s="294"/>
      <c r="E43" s="294"/>
      <c r="F43" s="294"/>
      <c r="G43" s="294"/>
      <c r="H43" s="294"/>
      <c r="I43" s="294"/>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04"/>
      <c r="AJ43" s="204"/>
    </row>
    <row r="44" spans="1:36" ht="14.25" x14ac:dyDescent="0.2">
      <c r="A44" s="294"/>
      <c r="B44" s="294"/>
      <c r="C44" s="294"/>
      <c r="D44" s="294"/>
      <c r="E44" s="294"/>
      <c r="F44" s="294"/>
      <c r="G44" s="294"/>
      <c r="H44" s="294"/>
      <c r="I44" s="294"/>
      <c r="J44" s="294"/>
      <c r="K44" s="294"/>
      <c r="L44" s="294"/>
      <c r="M44" s="294"/>
      <c r="N44" s="294"/>
      <c r="O44" s="294"/>
      <c r="P44" s="294"/>
      <c r="Q44" s="294"/>
      <c r="R44" s="294"/>
      <c r="S44" s="294"/>
      <c r="T44" s="294"/>
      <c r="U44" s="294"/>
      <c r="V44" s="294"/>
      <c r="W44" s="294"/>
      <c r="X44" s="294"/>
      <c r="Y44" s="294"/>
      <c r="Z44" s="294"/>
      <c r="AA44" s="294"/>
      <c r="AB44" s="294"/>
      <c r="AC44" s="294"/>
      <c r="AD44" s="294"/>
      <c r="AE44" s="294"/>
      <c r="AF44" s="294"/>
      <c r="AG44" s="294"/>
      <c r="AH44" s="294"/>
      <c r="AI44" s="204"/>
      <c r="AJ44" s="204"/>
    </row>
    <row r="45" spans="1:36" ht="15" x14ac:dyDescent="0.25">
      <c r="A45" s="295" t="s">
        <v>705</v>
      </c>
      <c r="B45" s="294"/>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04"/>
      <c r="AJ45" s="204"/>
    </row>
    <row r="46" spans="1:36" ht="14.25" x14ac:dyDescent="0.2">
      <c r="A46" s="294"/>
      <c r="B46" s="294"/>
      <c r="C46" s="294"/>
      <c r="D46" s="294"/>
      <c r="E46" s="294"/>
      <c r="F46" s="294"/>
      <c r="G46" s="294"/>
      <c r="H46" s="294"/>
      <c r="I46" s="294"/>
      <c r="J46" s="294"/>
      <c r="K46" s="294"/>
      <c r="L46" s="294"/>
      <c r="M46" s="294"/>
      <c r="N46" s="294"/>
      <c r="O46" s="294"/>
      <c r="P46" s="294"/>
      <c r="Q46" s="294"/>
      <c r="R46" s="294"/>
      <c r="S46" s="294"/>
      <c r="T46" s="294"/>
      <c r="U46" s="294"/>
      <c r="V46" s="294"/>
      <c r="W46" s="294"/>
      <c r="X46" s="294"/>
      <c r="Y46" s="294"/>
      <c r="Z46" s="294"/>
      <c r="AA46" s="294"/>
      <c r="AB46" s="294"/>
      <c r="AC46" s="294"/>
      <c r="AD46" s="294"/>
      <c r="AE46" s="294"/>
      <c r="AF46" s="294"/>
      <c r="AG46" s="294"/>
      <c r="AH46" s="294"/>
      <c r="AI46" s="204"/>
      <c r="AJ46" s="204"/>
    </row>
    <row r="47" spans="1:36" ht="15" x14ac:dyDescent="0.25">
      <c r="A47" s="295" t="s">
        <v>716</v>
      </c>
      <c r="B47" s="294"/>
      <c r="C47" s="294"/>
      <c r="D47" s="294"/>
      <c r="E47" s="294"/>
      <c r="F47" s="294"/>
      <c r="G47" s="294"/>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294"/>
      <c r="AF47" s="294"/>
      <c r="AG47" s="294"/>
      <c r="AH47" s="294"/>
      <c r="AI47" s="204"/>
      <c r="AJ47" s="204"/>
    </row>
    <row r="48" spans="1:36" ht="15" x14ac:dyDescent="0.25">
      <c r="A48" s="295"/>
      <c r="B48" s="294"/>
      <c r="C48" s="294"/>
      <c r="D48" s="294"/>
      <c r="E48" s="294"/>
      <c r="F48" s="294"/>
      <c r="G48" s="294"/>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E48" s="294"/>
      <c r="AF48" s="294"/>
      <c r="AG48" s="294"/>
      <c r="AH48" s="294"/>
      <c r="AI48" s="204"/>
      <c r="AJ48" s="204"/>
    </row>
    <row r="49" spans="1:36" ht="15" x14ac:dyDescent="0.25">
      <c r="A49" s="295"/>
      <c r="B49" s="294"/>
      <c r="C49" s="294"/>
      <c r="D49" s="294"/>
      <c r="E49" s="294"/>
      <c r="F49" s="294"/>
      <c r="G49" s="294"/>
      <c r="H49" s="294"/>
      <c r="I49" s="294"/>
      <c r="J49" s="294"/>
      <c r="K49" s="294"/>
      <c r="L49" s="294"/>
      <c r="M49" s="294"/>
      <c r="N49" s="294"/>
      <c r="O49" s="294"/>
      <c r="P49" s="294"/>
      <c r="Q49" s="294"/>
      <c r="R49" s="294"/>
      <c r="S49" s="294"/>
      <c r="T49" s="294"/>
      <c r="U49" s="294"/>
      <c r="V49" s="294"/>
      <c r="W49" s="294"/>
      <c r="X49" s="294"/>
      <c r="Y49" s="294"/>
      <c r="Z49" s="294"/>
      <c r="AA49" s="294"/>
      <c r="AB49" s="294"/>
      <c r="AC49" s="294"/>
      <c r="AD49" s="294"/>
      <c r="AE49" s="294"/>
      <c r="AF49" s="294"/>
      <c r="AG49" s="294"/>
      <c r="AH49" s="294"/>
      <c r="AI49" s="204"/>
      <c r="AJ49" s="204"/>
    </row>
    <row r="50" spans="1:36" ht="15" x14ac:dyDescent="0.25">
      <c r="A50" s="295" t="s">
        <v>707</v>
      </c>
      <c r="B50" s="294"/>
      <c r="C50" s="294"/>
      <c r="D50" s="294"/>
      <c r="E50" s="294"/>
      <c r="F50" s="294"/>
      <c r="G50" s="294"/>
      <c r="H50" s="294"/>
      <c r="I50" s="294"/>
      <c r="J50" s="294"/>
      <c r="K50" s="294"/>
      <c r="L50" s="294"/>
      <c r="M50" s="294"/>
      <c r="N50" s="294"/>
      <c r="O50" s="294"/>
      <c r="P50" s="294"/>
      <c r="Q50" s="294"/>
      <c r="R50" s="294"/>
      <c r="S50" s="294"/>
      <c r="T50" s="294"/>
      <c r="U50" s="294"/>
      <c r="V50" s="294"/>
      <c r="W50" s="294"/>
      <c r="X50" s="294"/>
      <c r="Y50" s="294"/>
      <c r="Z50" s="294"/>
      <c r="AA50" s="294"/>
      <c r="AB50" s="294"/>
      <c r="AC50" s="294"/>
      <c r="AD50" s="294"/>
      <c r="AE50" s="294"/>
      <c r="AF50" s="294"/>
      <c r="AG50" s="294"/>
      <c r="AH50" s="294"/>
      <c r="AI50" s="204"/>
      <c r="AJ50" s="204"/>
    </row>
    <row r="51" spans="1:36" ht="15" x14ac:dyDescent="0.25">
      <c r="A51" s="295" t="s">
        <v>710</v>
      </c>
      <c r="B51" s="294"/>
      <c r="C51" s="294"/>
      <c r="D51" s="294"/>
      <c r="E51" s="294"/>
      <c r="F51" s="294"/>
      <c r="G51" s="294"/>
      <c r="H51" s="294"/>
      <c r="I51" s="294"/>
      <c r="J51" s="294"/>
      <c r="K51" s="294"/>
      <c r="L51" s="294"/>
      <c r="M51" s="294"/>
      <c r="N51" s="294"/>
      <c r="O51" s="294"/>
      <c r="P51" s="294"/>
      <c r="Q51" s="294"/>
      <c r="R51" s="294"/>
      <c r="S51" s="294"/>
      <c r="T51" s="294"/>
      <c r="U51" s="294"/>
      <c r="V51" s="294"/>
      <c r="W51" s="294"/>
      <c r="X51" s="294"/>
      <c r="Y51" s="294"/>
      <c r="Z51" s="294"/>
      <c r="AA51" s="294"/>
      <c r="AB51" s="294"/>
      <c r="AC51" s="294"/>
      <c r="AD51" s="294"/>
      <c r="AE51" s="294"/>
      <c r="AF51" s="294"/>
      <c r="AG51" s="294"/>
      <c r="AH51" s="294"/>
      <c r="AI51" s="204"/>
      <c r="AJ51" s="204"/>
    </row>
    <row r="52" spans="1:36" ht="15" x14ac:dyDescent="0.25">
      <c r="A52" s="295" t="s">
        <v>708</v>
      </c>
      <c r="B52" s="294"/>
      <c r="C52" s="294"/>
      <c r="D52" s="294"/>
      <c r="E52" s="294"/>
      <c r="F52" s="294"/>
      <c r="G52" s="294"/>
      <c r="H52" s="294"/>
      <c r="I52" s="294"/>
      <c r="J52" s="294"/>
      <c r="K52" s="294"/>
      <c r="L52" s="294"/>
      <c r="M52" s="294"/>
      <c r="N52" s="294"/>
      <c r="O52" s="294"/>
      <c r="P52" s="294"/>
      <c r="Q52" s="294"/>
      <c r="R52" s="294"/>
      <c r="S52" s="294"/>
      <c r="T52" s="294"/>
      <c r="U52" s="294"/>
      <c r="V52" s="294"/>
      <c r="W52" s="294"/>
      <c r="X52" s="294"/>
      <c r="Y52" s="294"/>
      <c r="Z52" s="294"/>
      <c r="AA52" s="294"/>
      <c r="AB52" s="294"/>
      <c r="AC52" s="294"/>
      <c r="AD52" s="294"/>
      <c r="AE52" s="294"/>
      <c r="AF52" s="294"/>
      <c r="AG52" s="294"/>
      <c r="AH52" s="294"/>
      <c r="AI52" s="204"/>
      <c r="AJ52" s="204"/>
    </row>
    <row r="54" spans="1:36" x14ac:dyDescent="0.2">
      <c r="A54" t="s">
        <v>197</v>
      </c>
      <c r="B54">
        <v>-5.9900000000000002E-2</v>
      </c>
      <c r="D54">
        <v>0.2419</v>
      </c>
      <c r="F54">
        <v>1.18E-2</v>
      </c>
      <c r="H54">
        <v>-0.19270000000000001</v>
      </c>
      <c r="L54">
        <v>-9.74E-2</v>
      </c>
      <c r="N54">
        <v>0.4078</v>
      </c>
      <c r="P54">
        <v>-4.4200000000000003E-2</v>
      </c>
      <c r="R54">
        <v>2.7136</v>
      </c>
      <c r="V54">
        <v>0.2054</v>
      </c>
      <c r="X54">
        <v>0.28739999999999999</v>
      </c>
    </row>
    <row r="55" spans="1:36" x14ac:dyDescent="0.2">
      <c r="B55">
        <v>0.96599999999999997</v>
      </c>
      <c r="D55">
        <v>-0.26600000000000001</v>
      </c>
      <c r="F55">
        <v>0.4708</v>
      </c>
      <c r="H55">
        <v>-0.23419999999999999</v>
      </c>
      <c r="L55">
        <v>-7.6300000000000007E-2</v>
      </c>
      <c r="N55">
        <v>-0.77669999999999995</v>
      </c>
      <c r="P55">
        <v>-0.1207</v>
      </c>
      <c r="R55">
        <v>-1.5427</v>
      </c>
      <c r="V55">
        <v>0.89190000000000003</v>
      </c>
      <c r="X55">
        <v>-0.88500000000000001</v>
      </c>
    </row>
    <row r="56" spans="1:36" x14ac:dyDescent="0.2">
      <c r="B56">
        <v>-0.2</v>
      </c>
      <c r="D56">
        <v>-0.52</v>
      </c>
      <c r="F56">
        <v>-0.13</v>
      </c>
      <c r="H56">
        <v>-0.04</v>
      </c>
      <c r="L56">
        <v>0.27</v>
      </c>
      <c r="N56">
        <v>-0.14699999999999999</v>
      </c>
      <c r="P56">
        <v>0.02</v>
      </c>
      <c r="R56">
        <v>0.42299999999999999</v>
      </c>
      <c r="V56">
        <v>0.14000000000000001</v>
      </c>
      <c r="X56">
        <v>-7.3999999999999996E-2</v>
      </c>
    </row>
    <row r="61" spans="1:36" x14ac:dyDescent="0.2">
      <c r="V61" s="209"/>
    </row>
    <row r="62" spans="1:36" x14ac:dyDescent="0.2">
      <c r="V62" s="209"/>
    </row>
    <row r="63" spans="1:36" x14ac:dyDescent="0.2">
      <c r="V63" s="209"/>
    </row>
    <row r="65" spans="6:10" x14ac:dyDescent="0.2">
      <c r="F65" s="178"/>
      <c r="H65" s="210"/>
      <c r="J65" s="210"/>
    </row>
    <row r="66" spans="6:10" x14ac:dyDescent="0.2">
      <c r="H66" s="209"/>
      <c r="J66" s="209"/>
    </row>
    <row r="67" spans="6:10" x14ac:dyDescent="0.2">
      <c r="H67" s="209"/>
      <c r="J67" s="209"/>
    </row>
    <row r="68" spans="6:10" x14ac:dyDescent="0.2">
      <c r="H68" s="209"/>
      <c r="J68" s="209"/>
    </row>
    <row r="69" spans="6:10" x14ac:dyDescent="0.2">
      <c r="H69" s="209"/>
      <c r="J69" s="209"/>
    </row>
    <row r="70" spans="6:10" x14ac:dyDescent="0.2">
      <c r="H70" s="209"/>
      <c r="J70" s="209"/>
    </row>
    <row r="71" spans="6:10" x14ac:dyDescent="0.2">
      <c r="H71" s="209"/>
      <c r="J71" s="209"/>
    </row>
    <row r="72" spans="6:10" x14ac:dyDescent="0.2">
      <c r="H72" s="209"/>
      <c r="J72" s="209"/>
    </row>
    <row r="73" spans="6:10" x14ac:dyDescent="0.2">
      <c r="H73" s="209"/>
      <c r="J73" s="209"/>
    </row>
    <row r="74" spans="6:10" x14ac:dyDescent="0.2">
      <c r="H74" s="209"/>
      <c r="J74" s="209"/>
    </row>
    <row r="76" spans="6:10" x14ac:dyDescent="0.2">
      <c r="F76" s="1"/>
      <c r="J76" s="209"/>
    </row>
    <row r="78" spans="6:10" x14ac:dyDescent="0.2">
      <c r="H78" s="209"/>
      <c r="J78" s="209"/>
    </row>
    <row r="79" spans="6:10" x14ac:dyDescent="0.2">
      <c r="H79" s="209"/>
      <c r="J79" s="209"/>
    </row>
    <row r="80" spans="6:10" x14ac:dyDescent="0.2">
      <c r="H80" s="209"/>
      <c r="J80" s="209"/>
    </row>
    <row r="81" spans="6:10" x14ac:dyDescent="0.2">
      <c r="H81" s="209"/>
      <c r="J81" s="209"/>
    </row>
    <row r="82" spans="6:10" x14ac:dyDescent="0.2">
      <c r="H82" s="209"/>
      <c r="J82" s="209"/>
    </row>
    <row r="83" spans="6:10" x14ac:dyDescent="0.2">
      <c r="H83" s="209"/>
      <c r="J83" s="209"/>
    </row>
    <row r="84" spans="6:10" x14ac:dyDescent="0.2">
      <c r="H84" s="209"/>
      <c r="J84" s="209"/>
    </row>
    <row r="85" spans="6:10" x14ac:dyDescent="0.2">
      <c r="H85" s="209"/>
      <c r="J85" s="209"/>
    </row>
    <row r="86" spans="6:10" x14ac:dyDescent="0.2">
      <c r="H86" s="209"/>
      <c r="J86" s="209"/>
    </row>
    <row r="87" spans="6:10" x14ac:dyDescent="0.2">
      <c r="H87" s="209"/>
      <c r="J87" s="209"/>
    </row>
    <row r="89" spans="6:10" x14ac:dyDescent="0.2">
      <c r="F89" s="1"/>
      <c r="J89" s="209"/>
    </row>
    <row r="91" spans="6:10" x14ac:dyDescent="0.2">
      <c r="F91" s="1"/>
      <c r="J91" s="209"/>
    </row>
  </sheetData>
  <phoneticPr fontId="3" type="noConversion"/>
  <pageMargins left="0.75" right="0.75" top="1" bottom="1" header="0.5" footer="0.5"/>
  <pageSetup paperSize="5" scale="64" orientation="landscape" r:id="rId1"/>
  <headerFooter alignWithMargins="0">
    <oddHeader xml:space="preserve">&amp;C&amp;"Arial,Bold"&amp;12Relative Sovereign Model Drivers - 2011
</oddHead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pageSetUpPr fitToPage="1"/>
  </sheetPr>
  <dimension ref="A1:BK64"/>
  <sheetViews>
    <sheetView workbookViewId="0">
      <pane xSplit="1" topLeftCell="AW1" activePane="topRight" state="frozen"/>
      <selection pane="topRight" activeCell="AY4" sqref="AY4"/>
    </sheetView>
  </sheetViews>
  <sheetFormatPr defaultRowHeight="12.75" x14ac:dyDescent="0.2"/>
  <cols>
    <col min="1" max="1" width="25.140625" customWidth="1"/>
    <col min="2" max="7" width="9.140625" customWidth="1"/>
    <col min="8" max="8" width="20.42578125" customWidth="1"/>
    <col min="9" max="13" width="9.140625" customWidth="1"/>
    <col min="14" max="14" width="19.42578125" customWidth="1"/>
    <col min="15" max="20" width="9.140625" customWidth="1"/>
    <col min="21" max="21" width="23.85546875" customWidth="1"/>
    <col min="22" max="28" width="9.140625" customWidth="1"/>
    <col min="29" max="29" width="24.85546875" customWidth="1"/>
    <col min="30" max="35" width="9.140625" customWidth="1"/>
    <col min="36" max="36" width="22.7109375" customWidth="1"/>
    <col min="37" max="41" width="9.140625" customWidth="1"/>
    <col min="42" max="42" width="11.140625" bestFit="1" customWidth="1"/>
    <col min="47" max="47" width="14.140625" customWidth="1"/>
    <col min="50" max="50" width="4.140625" customWidth="1"/>
    <col min="61" max="61" width="24.28515625" customWidth="1"/>
    <col min="62" max="62" width="29.140625" customWidth="1"/>
    <col min="63" max="63" width="19.85546875" customWidth="1"/>
  </cols>
  <sheetData>
    <row r="1" spans="1:63" x14ac:dyDescent="0.2">
      <c r="U1" s="1"/>
      <c r="AD1" s="1"/>
      <c r="AK1" s="1"/>
    </row>
    <row r="2" spans="1:63" x14ac:dyDescent="0.2">
      <c r="A2" s="5" t="s">
        <v>28</v>
      </c>
      <c r="H2" s="5" t="s">
        <v>79</v>
      </c>
      <c r="N2" s="5" t="s">
        <v>91</v>
      </c>
      <c r="U2" s="5" t="s">
        <v>110</v>
      </c>
      <c r="AD2" s="5" t="s">
        <v>122</v>
      </c>
      <c r="AK2" s="1" t="s">
        <v>135</v>
      </c>
      <c r="AQ2" s="10" t="s">
        <v>164</v>
      </c>
    </row>
    <row r="3" spans="1:63" x14ac:dyDescent="0.2">
      <c r="B3">
        <v>2007</v>
      </c>
      <c r="C3">
        <v>2008</v>
      </c>
      <c r="D3">
        <v>2009</v>
      </c>
      <c r="E3" s="5">
        <v>2010</v>
      </c>
      <c r="I3">
        <v>2008</v>
      </c>
      <c r="J3">
        <v>2009</v>
      </c>
      <c r="K3" s="5">
        <v>2010</v>
      </c>
      <c r="O3">
        <v>2007</v>
      </c>
      <c r="P3">
        <v>2008</v>
      </c>
      <c r="Q3">
        <v>2009</v>
      </c>
      <c r="R3" s="5">
        <v>2010</v>
      </c>
      <c r="V3">
        <v>2006</v>
      </c>
      <c r="W3">
        <v>2007</v>
      </c>
      <c r="X3">
        <v>2008</v>
      </c>
      <c r="Y3">
        <v>2009</v>
      </c>
      <c r="Z3" s="5">
        <v>2010</v>
      </c>
      <c r="AD3">
        <v>2007</v>
      </c>
      <c r="AE3">
        <v>2008</v>
      </c>
      <c r="AF3" t="s">
        <v>112</v>
      </c>
      <c r="AG3" s="5" t="s">
        <v>113</v>
      </c>
      <c r="AK3">
        <v>2007</v>
      </c>
      <c r="AL3">
        <v>2008</v>
      </c>
      <c r="AM3">
        <v>2009</v>
      </c>
      <c r="AN3">
        <v>2010</v>
      </c>
      <c r="AQ3" s="1">
        <v>2008</v>
      </c>
      <c r="AR3" s="1">
        <v>2009</v>
      </c>
      <c r="AS3" s="10">
        <v>2010</v>
      </c>
      <c r="AT3" s="10">
        <v>2011</v>
      </c>
      <c r="AV3" s="6" t="s">
        <v>328</v>
      </c>
      <c r="AY3" s="6" t="s">
        <v>311</v>
      </c>
      <c r="BI3" s="62" t="s">
        <v>317</v>
      </c>
      <c r="BJ3" s="62" t="s">
        <v>316</v>
      </c>
      <c r="BK3" s="62" t="s">
        <v>311</v>
      </c>
    </row>
    <row r="4" spans="1:63" x14ac:dyDescent="0.2">
      <c r="A4" t="s">
        <v>10</v>
      </c>
      <c r="B4">
        <v>8.8000000000000007</v>
      </c>
      <c r="C4">
        <v>8.6</v>
      </c>
      <c r="D4">
        <v>7.5</v>
      </c>
      <c r="E4">
        <v>8.9</v>
      </c>
      <c r="F4" t="s">
        <v>141</v>
      </c>
      <c r="H4" t="s">
        <v>10</v>
      </c>
      <c r="I4">
        <v>21.7</v>
      </c>
      <c r="J4">
        <v>14.2</v>
      </c>
      <c r="K4">
        <v>20.3</v>
      </c>
      <c r="L4" t="s">
        <v>141</v>
      </c>
      <c r="N4" t="s">
        <v>10</v>
      </c>
      <c r="O4">
        <v>8.5</v>
      </c>
      <c r="P4">
        <v>7.2</v>
      </c>
      <c r="Q4">
        <v>5.5</v>
      </c>
      <c r="R4">
        <v>8.8000000000000007</v>
      </c>
      <c r="S4" t="s">
        <v>141</v>
      </c>
      <c r="U4" t="s">
        <v>10</v>
      </c>
      <c r="V4">
        <v>10.9</v>
      </c>
      <c r="W4">
        <v>8.8000000000000007</v>
      </c>
      <c r="X4">
        <v>26.7</v>
      </c>
      <c r="Y4">
        <v>16.3</v>
      </c>
      <c r="Z4">
        <v>21.3</v>
      </c>
      <c r="AA4" t="s">
        <v>141</v>
      </c>
      <c r="AC4" t="s">
        <v>10</v>
      </c>
      <c r="AD4">
        <v>17.600000000000001</v>
      </c>
      <c r="AE4">
        <v>21.1</v>
      </c>
      <c r="AF4">
        <v>16.7</v>
      </c>
      <c r="AG4">
        <v>15.7</v>
      </c>
      <c r="AH4" t="s">
        <v>141</v>
      </c>
      <c r="AJ4" t="s">
        <v>10</v>
      </c>
      <c r="AK4">
        <v>17.600000000000001</v>
      </c>
      <c r="AL4">
        <v>21.1</v>
      </c>
      <c r="AM4">
        <v>16.5</v>
      </c>
      <c r="AN4">
        <v>18</v>
      </c>
      <c r="AO4" t="s">
        <v>141</v>
      </c>
      <c r="AP4" t="s">
        <v>10</v>
      </c>
      <c r="AQ4" s="4">
        <v>8.6</v>
      </c>
      <c r="AR4" s="4">
        <v>6.3</v>
      </c>
      <c r="AS4" s="4">
        <v>10.461</v>
      </c>
      <c r="AT4" s="4">
        <v>10.239000000000001</v>
      </c>
      <c r="AU4" s="290" t="str">
        <f>A4</f>
        <v>Argentina</v>
      </c>
      <c r="AV4" s="4">
        <f>(AT4-AT$34)/AT$35</f>
        <v>0.45939921047819565</v>
      </c>
      <c r="AX4" s="291" t="s">
        <v>10</v>
      </c>
      <c r="AY4" s="4">
        <f>VLOOKUP(AX4,'Stripped Spread'!$C$18:$E$60,3,FALSE)</f>
        <v>1.4255405250063531</v>
      </c>
      <c r="BI4" s="59" t="s">
        <v>10</v>
      </c>
      <c r="BJ4" s="60">
        <f>VLOOKUP(BI4,$AP$4:$AV$28,7,FALSE)</f>
        <v>0.45939921047819565</v>
      </c>
      <c r="BK4" s="60">
        <f>VLOOKUP(BI4,$AP$4:$AY$28,10,FALSE)</f>
        <v>1.4255405250063531</v>
      </c>
    </row>
    <row r="5" spans="1:63" x14ac:dyDescent="0.2">
      <c r="A5" t="s">
        <v>9</v>
      </c>
      <c r="B5">
        <v>3.6</v>
      </c>
      <c r="C5">
        <v>5.7</v>
      </c>
      <c r="D5">
        <v>5</v>
      </c>
      <c r="E5">
        <v>4.5999999999999996</v>
      </c>
      <c r="F5" t="s">
        <v>141</v>
      </c>
      <c r="H5" t="s">
        <v>9</v>
      </c>
      <c r="I5">
        <v>5.7</v>
      </c>
      <c r="J5">
        <v>5</v>
      </c>
      <c r="K5">
        <v>4.7</v>
      </c>
      <c r="L5" t="s">
        <v>141</v>
      </c>
      <c r="N5" t="s">
        <v>9</v>
      </c>
      <c r="O5">
        <v>4.5</v>
      </c>
      <c r="P5">
        <v>5.9</v>
      </c>
      <c r="Q5">
        <v>4.4000000000000004</v>
      </c>
      <c r="R5">
        <v>4.5</v>
      </c>
      <c r="S5" t="s">
        <v>141</v>
      </c>
      <c r="U5" t="s">
        <v>9</v>
      </c>
      <c r="V5">
        <v>4.2</v>
      </c>
      <c r="W5">
        <v>3.6</v>
      </c>
      <c r="X5">
        <v>5.7</v>
      </c>
      <c r="Y5">
        <v>4.8</v>
      </c>
      <c r="Z5">
        <v>5.2</v>
      </c>
      <c r="AA5" t="s">
        <v>141</v>
      </c>
      <c r="AC5" t="s">
        <v>9</v>
      </c>
      <c r="AD5">
        <v>4.5</v>
      </c>
      <c r="AE5">
        <v>5.9</v>
      </c>
      <c r="AF5">
        <v>4.4000000000000004</v>
      </c>
      <c r="AG5">
        <v>4.5999999999999996</v>
      </c>
      <c r="AH5" t="s">
        <v>141</v>
      </c>
      <c r="AJ5" t="s">
        <v>9</v>
      </c>
      <c r="AK5">
        <v>4.5</v>
      </c>
      <c r="AL5">
        <v>5.9</v>
      </c>
      <c r="AM5">
        <v>4.4000000000000004</v>
      </c>
      <c r="AN5">
        <v>4.8</v>
      </c>
      <c r="AO5" t="s">
        <v>141</v>
      </c>
      <c r="AP5" t="s">
        <v>9</v>
      </c>
      <c r="AQ5" s="35">
        <v>5.7</v>
      </c>
      <c r="AR5" s="35">
        <v>4.9000000000000004</v>
      </c>
      <c r="AS5" s="35">
        <v>5.0369999999999999</v>
      </c>
      <c r="AT5" s="4">
        <v>6.2679999999999998</v>
      </c>
      <c r="AU5" s="290" t="str">
        <f t="shared" ref="AU5:AU17" si="0">A5</f>
        <v>Brazil</v>
      </c>
      <c r="AV5" s="4">
        <f t="shared" ref="AV5:AV8" si="1">(AT5-AT$34)/AT$35</f>
        <v>-0.23280940167344286</v>
      </c>
      <c r="AX5" s="291" t="s">
        <v>9</v>
      </c>
      <c r="AY5" s="4">
        <f>VLOOKUP(AX5,'Stripped Spread'!$C$18:$E$60,3,FALSE)</f>
        <v>-0.49043451301485325</v>
      </c>
      <c r="BI5" s="59" t="s">
        <v>9</v>
      </c>
      <c r="BJ5" s="60">
        <f t="shared" ref="BJ5:BJ27" si="2">VLOOKUP(BI5,$AP$4:$AV$28,7,FALSE)</f>
        <v>-0.23280940167344286</v>
      </c>
      <c r="BK5" s="60">
        <f t="shared" ref="BK5:BK27" si="3">VLOOKUP(BI5,$AP$4:$AY$28,10,FALSE)</f>
        <v>-0.49043451301485325</v>
      </c>
    </row>
    <row r="6" spans="1:63" x14ac:dyDescent="0.2">
      <c r="A6" t="s">
        <v>36</v>
      </c>
      <c r="B6">
        <v>4.4000000000000004</v>
      </c>
      <c r="C6">
        <v>8.6999999999999993</v>
      </c>
      <c r="D6">
        <v>2.1</v>
      </c>
      <c r="E6">
        <v>2.8</v>
      </c>
      <c r="F6" t="s">
        <v>141</v>
      </c>
      <c r="H6" t="s">
        <v>36</v>
      </c>
      <c r="I6">
        <v>8.6999999999999993</v>
      </c>
      <c r="J6">
        <v>2</v>
      </c>
      <c r="K6">
        <v>1</v>
      </c>
      <c r="L6" t="s">
        <v>141</v>
      </c>
      <c r="N6" t="s">
        <v>36</v>
      </c>
      <c r="O6">
        <v>7.8</v>
      </c>
      <c r="P6">
        <v>7.1</v>
      </c>
      <c r="Q6">
        <v>-0.5</v>
      </c>
      <c r="R6">
        <v>3</v>
      </c>
      <c r="S6" t="s">
        <v>141</v>
      </c>
      <c r="U6" t="s">
        <v>36</v>
      </c>
      <c r="V6">
        <v>3.4</v>
      </c>
      <c r="W6">
        <v>4.4000000000000004</v>
      </c>
      <c r="X6">
        <v>8.6999999999999993</v>
      </c>
      <c r="Y6">
        <v>2.1</v>
      </c>
      <c r="Z6">
        <v>2</v>
      </c>
      <c r="AA6" t="s">
        <v>141</v>
      </c>
      <c r="AC6" t="s">
        <v>36</v>
      </c>
      <c r="AD6">
        <v>7.8</v>
      </c>
      <c r="AE6">
        <v>7.1</v>
      </c>
      <c r="AF6">
        <v>0.1</v>
      </c>
      <c r="AG6">
        <v>2.5</v>
      </c>
      <c r="AH6" t="s">
        <v>141</v>
      </c>
      <c r="AJ6" t="s">
        <v>36</v>
      </c>
      <c r="AK6">
        <v>7.8</v>
      </c>
      <c r="AL6">
        <v>7.1</v>
      </c>
      <c r="AM6">
        <v>0.1</v>
      </c>
      <c r="AN6">
        <v>3</v>
      </c>
      <c r="AO6" t="s">
        <v>141</v>
      </c>
      <c r="AP6" t="s">
        <v>36</v>
      </c>
      <c r="AQ6" s="35">
        <v>8.6999999999999993</v>
      </c>
      <c r="AR6" s="35">
        <v>1.7</v>
      </c>
      <c r="AS6" s="35">
        <v>1.516</v>
      </c>
      <c r="AT6" s="4">
        <v>3.605</v>
      </c>
      <c r="AU6" s="290" t="str">
        <f t="shared" si="0"/>
        <v>Chile</v>
      </c>
      <c r="AV6" s="4">
        <f t="shared" si="1"/>
        <v>-0.69701275955805952</v>
      </c>
      <c r="AX6" s="291" t="s">
        <v>36</v>
      </c>
      <c r="AY6" s="4">
        <f>VLOOKUP(AX6,'Stripped Spread'!$C$18:$E$60,3,FALSE)</f>
        <v>-0.6767951584626779</v>
      </c>
      <c r="BI6" s="59" t="s">
        <v>36</v>
      </c>
      <c r="BJ6" s="60">
        <f t="shared" si="2"/>
        <v>-0.69701275955805952</v>
      </c>
      <c r="BK6" s="60">
        <f t="shared" si="3"/>
        <v>-0.6767951584626779</v>
      </c>
    </row>
    <row r="7" spans="1:63" x14ac:dyDescent="0.2">
      <c r="A7" t="s">
        <v>0</v>
      </c>
      <c r="B7">
        <v>4.8</v>
      </c>
      <c r="C7">
        <v>5.9</v>
      </c>
      <c r="D7">
        <v>-0.3</v>
      </c>
      <c r="E7">
        <v>2.4</v>
      </c>
      <c r="F7" t="s">
        <v>141</v>
      </c>
      <c r="H7" t="s">
        <v>0</v>
      </c>
      <c r="I7">
        <v>5.9</v>
      </c>
      <c r="J7">
        <v>-0.4</v>
      </c>
      <c r="K7">
        <v>3.7</v>
      </c>
      <c r="L7" t="s">
        <v>141</v>
      </c>
      <c r="N7" t="s">
        <v>0</v>
      </c>
      <c r="O7">
        <v>6.5</v>
      </c>
      <c r="P7">
        <v>1.2</v>
      </c>
      <c r="Q7">
        <v>1.6</v>
      </c>
      <c r="R7">
        <v>5.5</v>
      </c>
      <c r="S7" t="s">
        <v>141</v>
      </c>
      <c r="U7" t="s">
        <v>0</v>
      </c>
      <c r="V7">
        <v>1.5</v>
      </c>
      <c r="W7">
        <v>4.8</v>
      </c>
      <c r="X7">
        <v>5.9</v>
      </c>
      <c r="Y7">
        <v>-1</v>
      </c>
      <c r="Z7">
        <v>3.5</v>
      </c>
      <c r="AA7" t="s">
        <v>141</v>
      </c>
      <c r="AC7" t="s">
        <v>0</v>
      </c>
      <c r="AD7">
        <v>4.8</v>
      </c>
      <c r="AE7">
        <v>5.9</v>
      </c>
      <c r="AF7">
        <v>-0.6</v>
      </c>
      <c r="AG7">
        <v>2.6</v>
      </c>
      <c r="AH7" t="s">
        <v>141</v>
      </c>
      <c r="AJ7" t="s">
        <v>0</v>
      </c>
      <c r="AK7">
        <v>4.8</v>
      </c>
      <c r="AL7">
        <v>5.9</v>
      </c>
      <c r="AM7">
        <v>-0.6</v>
      </c>
      <c r="AN7">
        <v>0.8</v>
      </c>
      <c r="AO7" t="s">
        <v>141</v>
      </c>
      <c r="AP7" t="s">
        <v>0</v>
      </c>
      <c r="AQ7" s="35">
        <v>5.9</v>
      </c>
      <c r="AR7" s="35">
        <v>-0.7</v>
      </c>
      <c r="AS7" s="35">
        <v>3.3260000000000001</v>
      </c>
      <c r="AT7" s="4">
        <v>4.9850000000000003</v>
      </c>
      <c r="AU7" s="290" t="str">
        <f t="shared" si="0"/>
        <v>China</v>
      </c>
      <c r="AV7" s="4">
        <f t="shared" si="1"/>
        <v>-0.45645675734973384</v>
      </c>
      <c r="AX7" s="291" t="s">
        <v>0</v>
      </c>
      <c r="AY7" s="4">
        <f>VLOOKUP(AX7,'Stripped Spread'!$C$18:$E$60,3,FALSE)</f>
        <v>-0.36041566053529961</v>
      </c>
      <c r="BI7" s="59" t="s">
        <v>0</v>
      </c>
      <c r="BJ7" s="60">
        <f t="shared" si="2"/>
        <v>-0.45645675734973384</v>
      </c>
      <c r="BK7" s="60">
        <f t="shared" si="3"/>
        <v>-0.36041566053529961</v>
      </c>
    </row>
    <row r="8" spans="1:63" x14ac:dyDescent="0.2">
      <c r="A8" t="s">
        <v>37</v>
      </c>
      <c r="B8">
        <v>5.4</v>
      </c>
      <c r="C8">
        <v>7.8</v>
      </c>
      <c r="D8">
        <v>2.2999999999999998</v>
      </c>
      <c r="E8">
        <v>3.8</v>
      </c>
      <c r="F8" t="s">
        <v>141</v>
      </c>
      <c r="H8" t="s">
        <v>37</v>
      </c>
      <c r="I8">
        <v>7</v>
      </c>
      <c r="J8">
        <v>4.9000000000000004</v>
      </c>
      <c r="K8">
        <v>3.5</v>
      </c>
      <c r="L8" t="s">
        <v>141</v>
      </c>
      <c r="N8" t="s">
        <v>37</v>
      </c>
      <c r="O8">
        <v>5.7</v>
      </c>
      <c r="P8">
        <v>7.7</v>
      </c>
      <c r="Q8">
        <v>3.8</v>
      </c>
      <c r="R8">
        <v>3.5</v>
      </c>
      <c r="S8" t="s">
        <v>141</v>
      </c>
      <c r="U8" t="s">
        <v>37</v>
      </c>
      <c r="V8">
        <v>4.3</v>
      </c>
      <c r="W8">
        <v>5.5</v>
      </c>
      <c r="X8">
        <v>7</v>
      </c>
      <c r="Y8">
        <v>4.8</v>
      </c>
      <c r="Z8">
        <v>2.6</v>
      </c>
      <c r="AA8" t="s">
        <v>141</v>
      </c>
      <c r="AC8" t="s">
        <v>37</v>
      </c>
      <c r="AD8">
        <v>5.7</v>
      </c>
      <c r="AE8">
        <v>7.7</v>
      </c>
      <c r="AF8">
        <v>4.2</v>
      </c>
      <c r="AG8">
        <v>3.4</v>
      </c>
      <c r="AH8" t="s">
        <v>141</v>
      </c>
      <c r="AJ8" t="s">
        <v>125</v>
      </c>
      <c r="AK8">
        <v>11.1</v>
      </c>
      <c r="AL8">
        <v>11.7</v>
      </c>
      <c r="AM8">
        <v>16.5</v>
      </c>
      <c r="AN8">
        <v>9.6999999999999993</v>
      </c>
      <c r="AO8" t="s">
        <v>141</v>
      </c>
      <c r="AP8" t="s">
        <v>37</v>
      </c>
      <c r="AQ8" s="35">
        <v>7</v>
      </c>
      <c r="AR8" s="35">
        <v>4.2</v>
      </c>
      <c r="AS8" s="35">
        <v>2.27</v>
      </c>
      <c r="AT8" s="4">
        <v>3.5569999999999999</v>
      </c>
      <c r="AU8" s="290" t="str">
        <f t="shared" si="0"/>
        <v>Colombia</v>
      </c>
      <c r="AV8" s="4">
        <f t="shared" si="1"/>
        <v>-0.7053799248522622</v>
      </c>
      <c r="AX8" s="291" t="s">
        <v>37</v>
      </c>
      <c r="AY8" s="4">
        <f>VLOOKUP(AX8,'Stripped Spread'!$C$18:$E$60,3,FALSE)</f>
        <v>-0.58302567466255073</v>
      </c>
      <c r="BI8" s="59" t="s">
        <v>37</v>
      </c>
      <c r="BJ8" s="60">
        <f t="shared" si="2"/>
        <v>-0.7053799248522622</v>
      </c>
      <c r="BK8" s="60">
        <f t="shared" si="3"/>
        <v>-0.58302567466255073</v>
      </c>
    </row>
    <row r="9" spans="1:63" x14ac:dyDescent="0.2">
      <c r="A9" t="s">
        <v>39</v>
      </c>
      <c r="B9">
        <v>2.8</v>
      </c>
      <c r="C9">
        <v>9.3000000000000007</v>
      </c>
      <c r="D9">
        <v>4</v>
      </c>
      <c r="E9">
        <v>5.0999999999999996</v>
      </c>
      <c r="F9" t="s">
        <v>141</v>
      </c>
      <c r="H9" t="s">
        <v>39</v>
      </c>
      <c r="I9">
        <v>8.4</v>
      </c>
      <c r="J9">
        <v>5.6</v>
      </c>
      <c r="K9">
        <v>3.2</v>
      </c>
      <c r="L9" t="s">
        <v>141</v>
      </c>
      <c r="N9" t="s">
        <v>39</v>
      </c>
      <c r="O9">
        <v>3.3</v>
      </c>
      <c r="P9">
        <v>8.8000000000000007</v>
      </c>
      <c r="Q9">
        <v>5.5</v>
      </c>
      <c r="R9">
        <v>4.5999999999999996</v>
      </c>
      <c r="S9" t="s">
        <v>141</v>
      </c>
      <c r="U9" t="s">
        <v>39</v>
      </c>
      <c r="AA9" t="s">
        <v>141</v>
      </c>
      <c r="AC9" t="s">
        <v>39</v>
      </c>
      <c r="AD9">
        <v>3.3</v>
      </c>
      <c r="AE9">
        <v>8.8000000000000007</v>
      </c>
      <c r="AF9">
        <v>4.3</v>
      </c>
      <c r="AG9">
        <v>3</v>
      </c>
      <c r="AH9" t="s">
        <v>141</v>
      </c>
      <c r="AJ9" t="s">
        <v>43</v>
      </c>
      <c r="AK9">
        <v>8</v>
      </c>
      <c r="AL9">
        <v>6.1</v>
      </c>
      <c r="AM9">
        <v>4.7</v>
      </c>
      <c r="AN9">
        <v>4</v>
      </c>
      <c r="AO9" t="s">
        <v>141</v>
      </c>
      <c r="AP9" t="s">
        <v>39</v>
      </c>
      <c r="AQ9" s="35">
        <v>8.4</v>
      </c>
      <c r="AR9" s="35">
        <v>5.2</v>
      </c>
      <c r="AS9" s="35">
        <v>3.55</v>
      </c>
      <c r="AT9" s="4">
        <v>3.5</v>
      </c>
      <c r="AU9" s="290" t="str">
        <f t="shared" si="0"/>
        <v>Ecuador</v>
      </c>
      <c r="AV9" s="4">
        <f t="shared" ref="AV9:AV28" si="4">(AT9-AT$34)/AT$35</f>
        <v>-0.71531593363912771</v>
      </c>
      <c r="AX9" s="291" t="s">
        <v>39</v>
      </c>
      <c r="AY9" s="4">
        <f>VLOOKUP(AX9,'Stripped Spread'!$C$18:$E$60,3,FALSE)</f>
        <v>1.4223422220211868</v>
      </c>
      <c r="BI9" s="59" t="s">
        <v>65</v>
      </c>
      <c r="BJ9" s="60">
        <f t="shared" si="2"/>
        <v>0.6797345632255315</v>
      </c>
      <c r="BK9" s="60">
        <f t="shared" si="3"/>
        <v>5.2153815465916083E-2</v>
      </c>
    </row>
    <row r="10" spans="1:63" x14ac:dyDescent="0.2">
      <c r="A10" s="6" t="s">
        <v>65</v>
      </c>
      <c r="B10">
        <v>8.6</v>
      </c>
      <c r="C10">
        <v>20.2</v>
      </c>
      <c r="D10">
        <v>11.7</v>
      </c>
      <c r="E10">
        <v>15</v>
      </c>
      <c r="F10" t="s">
        <v>141</v>
      </c>
      <c r="H10" t="s">
        <v>65</v>
      </c>
      <c r="I10">
        <v>18.3</v>
      </c>
      <c r="J10">
        <v>11.1</v>
      </c>
      <c r="K10">
        <v>10</v>
      </c>
      <c r="L10" t="s">
        <v>141</v>
      </c>
      <c r="N10" t="s">
        <v>65</v>
      </c>
      <c r="O10">
        <v>8.6</v>
      </c>
      <c r="P10">
        <v>20.2</v>
      </c>
      <c r="Q10">
        <v>10</v>
      </c>
      <c r="R10">
        <v>11</v>
      </c>
      <c r="S10" t="s">
        <v>141</v>
      </c>
      <c r="U10" t="s">
        <v>65</v>
      </c>
      <c r="V10">
        <v>7.2</v>
      </c>
      <c r="W10">
        <v>8.6999999999999993</v>
      </c>
      <c r="X10">
        <v>20.2</v>
      </c>
      <c r="Y10">
        <v>9.9</v>
      </c>
      <c r="Z10">
        <v>11.5</v>
      </c>
      <c r="AA10" t="s">
        <v>141</v>
      </c>
      <c r="AC10" t="s">
        <v>125</v>
      </c>
      <c r="AD10">
        <v>11.1</v>
      </c>
      <c r="AE10">
        <v>11.7</v>
      </c>
      <c r="AF10">
        <v>16.5</v>
      </c>
      <c r="AG10">
        <v>12.9</v>
      </c>
      <c r="AH10" t="s">
        <v>141</v>
      </c>
      <c r="AJ10" t="s">
        <v>2</v>
      </c>
      <c r="AK10">
        <v>5.8</v>
      </c>
      <c r="AL10">
        <v>10.199999999999999</v>
      </c>
      <c r="AM10">
        <v>5.7</v>
      </c>
      <c r="AN10">
        <v>8.3000000000000007</v>
      </c>
      <c r="AO10" t="s">
        <v>141</v>
      </c>
      <c r="AP10" s="178" t="s">
        <v>65</v>
      </c>
      <c r="AQ10" s="35">
        <v>11.7</v>
      </c>
      <c r="AR10" s="35">
        <v>16.2</v>
      </c>
      <c r="AS10" s="35">
        <v>11.702999999999999</v>
      </c>
      <c r="AT10" s="34">
        <v>11.503</v>
      </c>
      <c r="AU10" s="290" t="str">
        <f t="shared" si="0"/>
        <v>Egypt</v>
      </c>
      <c r="AV10" s="4">
        <f t="shared" si="4"/>
        <v>0.6797345632255315</v>
      </c>
      <c r="AX10" s="291" t="s">
        <v>65</v>
      </c>
      <c r="AY10" s="4">
        <f>VLOOKUP(AX10,'Stripped Spread'!$C$18:$E$60,3,FALSE)</f>
        <v>5.2153815465916083E-2</v>
      </c>
      <c r="BI10" s="59" t="s">
        <v>43</v>
      </c>
      <c r="BJ10" s="60">
        <f t="shared" si="2"/>
        <v>-0.61299247472877483</v>
      </c>
      <c r="BK10" s="60">
        <f t="shared" si="3"/>
        <v>0.23579793496626733</v>
      </c>
    </row>
    <row r="11" spans="1:63" x14ac:dyDescent="0.2">
      <c r="A11" t="s">
        <v>43</v>
      </c>
      <c r="B11">
        <v>8</v>
      </c>
      <c r="C11">
        <v>6.1</v>
      </c>
      <c r="D11">
        <v>5.0999999999999996</v>
      </c>
      <c r="E11">
        <v>3.1</v>
      </c>
      <c r="F11" t="s">
        <v>141</v>
      </c>
      <c r="H11" t="s">
        <v>43</v>
      </c>
      <c r="I11">
        <v>6</v>
      </c>
      <c r="J11">
        <v>4.5</v>
      </c>
      <c r="K11">
        <v>4.7</v>
      </c>
      <c r="L11" t="s">
        <v>141</v>
      </c>
      <c r="N11" t="s">
        <v>43</v>
      </c>
      <c r="O11">
        <v>7.4</v>
      </c>
      <c r="P11">
        <v>3.5</v>
      </c>
      <c r="Q11">
        <v>6.4</v>
      </c>
      <c r="R11">
        <v>2.5</v>
      </c>
      <c r="S11" t="s">
        <v>141</v>
      </c>
      <c r="U11" t="s">
        <v>43</v>
      </c>
      <c r="V11">
        <v>3.9</v>
      </c>
      <c r="W11">
        <v>8</v>
      </c>
      <c r="X11">
        <v>6.1</v>
      </c>
      <c r="Y11">
        <v>3.3</v>
      </c>
      <c r="Z11">
        <v>2.7</v>
      </c>
      <c r="AA11" t="s">
        <v>141</v>
      </c>
      <c r="AC11" t="s">
        <v>43</v>
      </c>
      <c r="AD11">
        <v>8</v>
      </c>
      <c r="AE11">
        <v>6.1</v>
      </c>
      <c r="AF11">
        <v>4.2</v>
      </c>
      <c r="AG11">
        <v>3.3</v>
      </c>
      <c r="AH11" t="s">
        <v>141</v>
      </c>
      <c r="AJ11" t="s">
        <v>3</v>
      </c>
      <c r="AK11">
        <v>2</v>
      </c>
      <c r="AL11">
        <v>5.4</v>
      </c>
      <c r="AM11">
        <v>0.4</v>
      </c>
      <c r="AN11">
        <v>3.2</v>
      </c>
      <c r="AO11" t="s">
        <v>141</v>
      </c>
      <c r="AP11" t="s">
        <v>43</v>
      </c>
      <c r="AQ11" s="35">
        <v>6.1</v>
      </c>
      <c r="AR11" s="35">
        <v>4.2</v>
      </c>
      <c r="AS11" s="35">
        <v>4.8520000000000003</v>
      </c>
      <c r="AT11" s="34">
        <v>4.0869999999999997</v>
      </c>
      <c r="AU11" s="290" t="str">
        <f t="shared" si="0"/>
        <v>Hungary</v>
      </c>
      <c r="AV11" s="4">
        <f t="shared" si="4"/>
        <v>-0.61299247472877483</v>
      </c>
      <c r="AX11" s="291" t="s">
        <v>43</v>
      </c>
      <c r="AY11" s="4">
        <f>VLOOKUP(AX11,'Stripped Spread'!$C$18:$E$60,3,FALSE)</f>
        <v>0.23579793496626733</v>
      </c>
      <c r="BI11" s="59" t="s">
        <v>2</v>
      </c>
      <c r="BJ11" s="60">
        <f t="shared" si="2"/>
        <v>-7.9585687223357127E-2</v>
      </c>
      <c r="BK11" s="60">
        <f t="shared" si="3"/>
        <v>-0.35838987515994025</v>
      </c>
    </row>
    <row r="12" spans="1:63" x14ac:dyDescent="0.2">
      <c r="A12" t="s">
        <v>2</v>
      </c>
      <c r="B12">
        <v>6.4</v>
      </c>
      <c r="C12">
        <v>10.3</v>
      </c>
      <c r="D12">
        <v>4.5999999999999996</v>
      </c>
      <c r="E12">
        <v>5.2</v>
      </c>
      <c r="F12" t="s">
        <v>141</v>
      </c>
      <c r="H12" t="s">
        <v>2</v>
      </c>
      <c r="I12">
        <v>9.8000000000000007</v>
      </c>
      <c r="J12">
        <v>4.9000000000000004</v>
      </c>
      <c r="K12">
        <v>5.3</v>
      </c>
      <c r="L12" t="s">
        <v>141</v>
      </c>
      <c r="N12" t="s">
        <v>2</v>
      </c>
      <c r="O12">
        <v>6.6</v>
      </c>
      <c r="P12">
        <v>11.1</v>
      </c>
      <c r="Q12">
        <v>4.7</v>
      </c>
      <c r="R12">
        <v>6.1</v>
      </c>
      <c r="S12" t="s">
        <v>141</v>
      </c>
      <c r="U12" t="s">
        <v>2</v>
      </c>
      <c r="V12">
        <v>13.3</v>
      </c>
      <c r="W12">
        <v>6.4</v>
      </c>
      <c r="X12">
        <v>8.8000000000000007</v>
      </c>
      <c r="Y12">
        <v>4.8</v>
      </c>
      <c r="Z12">
        <v>4.7</v>
      </c>
      <c r="AA12" t="s">
        <v>141</v>
      </c>
      <c r="AC12" t="s">
        <v>2</v>
      </c>
      <c r="AD12">
        <v>6.4</v>
      </c>
      <c r="AE12">
        <v>10.199999999999999</v>
      </c>
      <c r="AF12">
        <v>5.7</v>
      </c>
      <c r="AG12">
        <v>6.8</v>
      </c>
      <c r="AH12" t="s">
        <v>141</v>
      </c>
      <c r="AJ12" t="s">
        <v>11</v>
      </c>
      <c r="AK12">
        <v>3.8</v>
      </c>
      <c r="AL12">
        <v>6.5</v>
      </c>
      <c r="AM12">
        <v>4.0999999999999996</v>
      </c>
      <c r="AN12">
        <v>3.6</v>
      </c>
      <c r="AO12" t="s">
        <v>141</v>
      </c>
      <c r="AP12" t="s">
        <v>2</v>
      </c>
      <c r="AQ12" s="35">
        <v>9.8000000000000007</v>
      </c>
      <c r="AR12" s="35">
        <v>4.8</v>
      </c>
      <c r="AS12" s="35">
        <v>5.133</v>
      </c>
      <c r="AT12" s="34">
        <v>7.1470000000000002</v>
      </c>
      <c r="AU12" s="290" t="str">
        <f t="shared" si="0"/>
        <v>Indonesia</v>
      </c>
      <c r="AV12" s="4">
        <f t="shared" si="4"/>
        <v>-7.9585687223357127E-2</v>
      </c>
      <c r="AX12" s="291" t="s">
        <v>2</v>
      </c>
      <c r="AY12" s="4">
        <f>VLOOKUP(AX12,'Stripped Spread'!$C$18:$E$60,3,FALSE)</f>
        <v>-0.35838987515994025</v>
      </c>
      <c r="BI12" s="59" t="s">
        <v>45</v>
      </c>
      <c r="BJ12" s="60">
        <f t="shared" si="2"/>
        <v>0.26433966955709659</v>
      </c>
      <c r="BK12" s="60">
        <f t="shared" si="3"/>
        <v>0.12883472578450098</v>
      </c>
    </row>
    <row r="13" spans="1:63" x14ac:dyDescent="0.2">
      <c r="A13" t="s">
        <v>45</v>
      </c>
      <c r="B13">
        <v>10.8</v>
      </c>
      <c r="C13">
        <v>17.3</v>
      </c>
      <c r="D13">
        <v>6.2</v>
      </c>
      <c r="E13">
        <v>4</v>
      </c>
      <c r="F13" t="s">
        <v>141</v>
      </c>
      <c r="H13" t="s">
        <v>45</v>
      </c>
      <c r="I13">
        <v>17.100000000000001</v>
      </c>
      <c r="J13">
        <v>8.1</v>
      </c>
      <c r="K13">
        <v>7</v>
      </c>
      <c r="L13" t="s">
        <v>141</v>
      </c>
      <c r="N13" t="s">
        <v>45</v>
      </c>
      <c r="O13">
        <v>18.8</v>
      </c>
      <c r="P13">
        <v>9.5</v>
      </c>
      <c r="Q13">
        <v>6.2</v>
      </c>
      <c r="R13">
        <v>7.1</v>
      </c>
      <c r="S13" t="s">
        <v>141</v>
      </c>
      <c r="U13" t="s">
        <v>45</v>
      </c>
      <c r="V13">
        <v>8.6</v>
      </c>
      <c r="W13">
        <v>11.5</v>
      </c>
      <c r="X13">
        <v>16.600000000000001</v>
      </c>
      <c r="Y13">
        <v>8.4</v>
      </c>
      <c r="Z13">
        <v>7.6</v>
      </c>
      <c r="AA13" t="s">
        <v>141</v>
      </c>
      <c r="AC13" t="s">
        <v>45</v>
      </c>
      <c r="AD13">
        <v>10.8</v>
      </c>
      <c r="AE13">
        <v>17.100000000000001</v>
      </c>
      <c r="AF13">
        <v>7.4</v>
      </c>
      <c r="AG13">
        <v>7</v>
      </c>
      <c r="AH13" t="s">
        <v>141</v>
      </c>
      <c r="AJ13" t="s">
        <v>4</v>
      </c>
      <c r="AK13">
        <v>2.8</v>
      </c>
      <c r="AL13">
        <v>9.3000000000000007</v>
      </c>
      <c r="AM13">
        <v>3.5</v>
      </c>
      <c r="AN13">
        <v>4.8</v>
      </c>
      <c r="AO13" t="s">
        <v>141</v>
      </c>
      <c r="AP13" t="s">
        <v>45</v>
      </c>
      <c r="AQ13" s="35">
        <v>17.100000000000001</v>
      </c>
      <c r="AR13" s="35">
        <v>7.4</v>
      </c>
      <c r="AS13" s="35">
        <v>7.4</v>
      </c>
      <c r="AT13" s="34">
        <v>9.1199999999999992</v>
      </c>
      <c r="AU13" s="290" t="str">
        <f t="shared" si="0"/>
        <v>Kazakhstan</v>
      </c>
      <c r="AV13" s="4">
        <f t="shared" si="4"/>
        <v>0.26433966955709659</v>
      </c>
      <c r="AX13" s="291" t="s">
        <v>45</v>
      </c>
      <c r="AY13" s="4">
        <f>VLOOKUP(AX13,'Stripped Spread'!$C$18:$E$60,3,FALSE)</f>
        <v>0.12883472578450098</v>
      </c>
      <c r="BI13" s="59" t="s">
        <v>3</v>
      </c>
      <c r="BJ13" s="60">
        <f t="shared" si="2"/>
        <v>-0.8373370941795828</v>
      </c>
      <c r="BK13" s="60">
        <f t="shared" si="3"/>
        <v>-0.61809672118954739</v>
      </c>
    </row>
    <row r="14" spans="1:63" x14ac:dyDescent="0.2">
      <c r="A14" t="s">
        <v>3</v>
      </c>
      <c r="B14">
        <v>2</v>
      </c>
      <c r="C14">
        <v>5.4</v>
      </c>
      <c r="D14">
        <v>1.6</v>
      </c>
      <c r="E14">
        <v>2.8</v>
      </c>
      <c r="F14" t="s">
        <v>141</v>
      </c>
      <c r="H14" t="s">
        <v>3</v>
      </c>
      <c r="I14">
        <v>5.4</v>
      </c>
      <c r="J14">
        <v>0.5</v>
      </c>
      <c r="K14">
        <v>2</v>
      </c>
      <c r="L14" t="s">
        <v>141</v>
      </c>
      <c r="N14" t="s">
        <v>3</v>
      </c>
      <c r="O14">
        <v>2.4</v>
      </c>
      <c r="P14">
        <v>4.4000000000000004</v>
      </c>
      <c r="Q14">
        <v>1.4</v>
      </c>
      <c r="R14">
        <v>3.3</v>
      </c>
      <c r="S14" t="s">
        <v>141</v>
      </c>
      <c r="U14" t="s">
        <v>3</v>
      </c>
      <c r="V14">
        <v>3.6</v>
      </c>
      <c r="W14">
        <v>2</v>
      </c>
      <c r="X14">
        <v>5.4</v>
      </c>
      <c r="Y14">
        <v>-0.2</v>
      </c>
      <c r="Z14">
        <v>2.1</v>
      </c>
      <c r="AA14" t="s">
        <v>141</v>
      </c>
      <c r="AC14" t="s">
        <v>3</v>
      </c>
      <c r="AD14">
        <v>2</v>
      </c>
      <c r="AE14">
        <v>5.4</v>
      </c>
      <c r="AF14">
        <v>0.4</v>
      </c>
      <c r="AG14">
        <v>3.3</v>
      </c>
      <c r="AH14" t="s">
        <v>141</v>
      </c>
      <c r="AJ14" t="s">
        <v>48</v>
      </c>
      <c r="AK14">
        <v>2.5</v>
      </c>
      <c r="AL14">
        <v>4.2</v>
      </c>
      <c r="AM14">
        <v>3.7</v>
      </c>
      <c r="AN14">
        <v>2.6</v>
      </c>
      <c r="AO14" t="s">
        <v>141</v>
      </c>
      <c r="AP14" t="s">
        <v>3</v>
      </c>
      <c r="AQ14" s="35">
        <v>5.4</v>
      </c>
      <c r="AR14" s="35">
        <v>0.6</v>
      </c>
      <c r="AS14" s="35">
        <v>1.7</v>
      </c>
      <c r="AT14" s="34">
        <v>2.8</v>
      </c>
      <c r="AU14" s="290" t="str">
        <f t="shared" si="0"/>
        <v>Malaysia</v>
      </c>
      <c r="AV14" s="4">
        <f t="shared" si="4"/>
        <v>-0.8373370941795828</v>
      </c>
      <c r="AX14" s="291" t="s">
        <v>3</v>
      </c>
      <c r="AY14" s="4">
        <f>VLOOKUP(AX14,'Stripped Spread'!$C$18:$E$60,3,FALSE)</f>
        <v>-0.61809672118954739</v>
      </c>
      <c r="BI14" s="59" t="s">
        <v>11</v>
      </c>
      <c r="BJ14" s="60">
        <f t="shared" si="2"/>
        <v>-0.69248054502369982</v>
      </c>
      <c r="BK14" s="60">
        <f t="shared" si="3"/>
        <v>-0.48422075013713889</v>
      </c>
    </row>
    <row r="15" spans="1:63" x14ac:dyDescent="0.2">
      <c r="A15" t="s">
        <v>11</v>
      </c>
      <c r="B15">
        <v>4</v>
      </c>
      <c r="C15">
        <v>5.0999999999999996</v>
      </c>
      <c r="D15">
        <v>5.3</v>
      </c>
      <c r="E15">
        <v>5</v>
      </c>
      <c r="F15" t="s">
        <v>141</v>
      </c>
      <c r="H15" t="s">
        <v>11</v>
      </c>
      <c r="I15">
        <v>5.0999999999999996</v>
      </c>
      <c r="J15">
        <v>5.4</v>
      </c>
      <c r="K15">
        <v>5</v>
      </c>
      <c r="L15" t="s">
        <v>141</v>
      </c>
      <c r="N15" t="s">
        <v>11</v>
      </c>
      <c r="O15">
        <v>3.8</v>
      </c>
      <c r="P15">
        <v>6.5</v>
      </c>
      <c r="Q15">
        <v>4.4000000000000004</v>
      </c>
      <c r="R15">
        <v>5.5</v>
      </c>
      <c r="S15" t="s">
        <v>141</v>
      </c>
      <c r="U15" t="s">
        <v>11</v>
      </c>
      <c r="V15">
        <v>3.6</v>
      </c>
      <c r="W15">
        <v>4</v>
      </c>
      <c r="X15">
        <v>5.0999999999999996</v>
      </c>
      <c r="Y15">
        <v>5.3</v>
      </c>
      <c r="Z15">
        <v>4.8</v>
      </c>
      <c r="AA15" t="s">
        <v>141</v>
      </c>
      <c r="AC15" t="s">
        <v>11</v>
      </c>
      <c r="AD15">
        <v>3.8</v>
      </c>
      <c r="AE15">
        <v>6.5</v>
      </c>
      <c r="AF15">
        <v>4.0999999999999996</v>
      </c>
      <c r="AG15">
        <v>4.9000000000000004</v>
      </c>
      <c r="AH15" t="s">
        <v>141</v>
      </c>
      <c r="AJ15" t="s">
        <v>13</v>
      </c>
      <c r="AK15">
        <v>9</v>
      </c>
      <c r="AL15">
        <v>14.1</v>
      </c>
      <c r="AM15">
        <v>11.6</v>
      </c>
      <c r="AN15">
        <v>11.5</v>
      </c>
      <c r="AO15" t="s">
        <v>141</v>
      </c>
      <c r="AP15" t="s">
        <v>11</v>
      </c>
      <c r="AQ15" s="35">
        <v>5.0999999999999996</v>
      </c>
      <c r="AR15" s="35">
        <v>5.3</v>
      </c>
      <c r="AS15" s="35">
        <v>4.1520000000000001</v>
      </c>
      <c r="AT15" s="34">
        <v>3.6309999999999998</v>
      </c>
      <c r="AU15" s="290" t="str">
        <f t="shared" si="0"/>
        <v>Mexico</v>
      </c>
      <c r="AV15" s="4">
        <f t="shared" si="4"/>
        <v>-0.69248054502369982</v>
      </c>
      <c r="AX15" s="291" t="s">
        <v>11</v>
      </c>
      <c r="AY15" s="4">
        <f>VLOOKUP(AX15,'Stripped Spread'!$C$18:$E$60,3,FALSE)</f>
        <v>-0.48422075013713889</v>
      </c>
      <c r="BI15" s="59" t="s">
        <v>70</v>
      </c>
      <c r="BJ15" s="60">
        <f t="shared" si="2"/>
        <v>1.3764753899115296</v>
      </c>
      <c r="BK15" s="60">
        <f t="shared" si="3"/>
        <v>2.1692475485534328</v>
      </c>
    </row>
    <row r="16" spans="1:63" x14ac:dyDescent="0.2">
      <c r="A16" t="s">
        <v>70</v>
      </c>
      <c r="F16" t="s">
        <v>141</v>
      </c>
      <c r="H16" t="s">
        <v>70</v>
      </c>
      <c r="I16">
        <v>20.8</v>
      </c>
      <c r="J16">
        <v>14</v>
      </c>
      <c r="K16">
        <v>12</v>
      </c>
      <c r="L16" t="s">
        <v>141</v>
      </c>
      <c r="N16" t="s">
        <v>70</v>
      </c>
      <c r="S16" t="s">
        <v>141</v>
      </c>
      <c r="U16" t="s">
        <v>70</v>
      </c>
      <c r="AA16" t="s">
        <v>141</v>
      </c>
      <c r="AC16" t="s">
        <v>70</v>
      </c>
      <c r="AD16">
        <v>7.6</v>
      </c>
      <c r="AE16">
        <v>20.3</v>
      </c>
      <c r="AF16">
        <v>13.1</v>
      </c>
      <c r="AG16">
        <v>7.9</v>
      </c>
      <c r="AH16" t="s">
        <v>141</v>
      </c>
      <c r="AJ16" t="s">
        <v>23</v>
      </c>
      <c r="AK16">
        <v>7.1</v>
      </c>
      <c r="AL16">
        <v>11.5</v>
      </c>
      <c r="AM16">
        <v>7.3</v>
      </c>
      <c r="AN16">
        <v>5.9</v>
      </c>
      <c r="AO16" t="s">
        <v>141</v>
      </c>
      <c r="AP16" t="s">
        <v>70</v>
      </c>
      <c r="AQ16" s="35">
        <v>12</v>
      </c>
      <c r="AR16" s="35">
        <v>20.8</v>
      </c>
      <c r="AS16" s="35">
        <v>11.73</v>
      </c>
      <c r="AT16" s="34">
        <v>15.5</v>
      </c>
      <c r="AU16" s="290" t="str">
        <f t="shared" si="0"/>
        <v>Pakistan</v>
      </c>
      <c r="AV16" s="4">
        <f t="shared" si="4"/>
        <v>1.3764753899115296</v>
      </c>
      <c r="AX16" s="291" t="s">
        <v>70</v>
      </c>
      <c r="AY16" s="4">
        <f>VLOOKUP(AX16,'Stripped Spread'!$C$18:$E$60,3,FALSE)</f>
        <v>2.1692475485534328</v>
      </c>
      <c r="BI16" s="59" t="s">
        <v>71</v>
      </c>
      <c r="BJ16" s="60">
        <f t="shared" si="2"/>
        <v>-0.45053001526634034</v>
      </c>
      <c r="BK16" s="60">
        <f t="shared" si="3"/>
        <v>-0.55505648603455771</v>
      </c>
    </row>
    <row r="17" spans="1:63" x14ac:dyDescent="0.2">
      <c r="A17" t="s">
        <v>71</v>
      </c>
      <c r="F17" t="s">
        <v>141</v>
      </c>
      <c r="H17" t="s">
        <v>71</v>
      </c>
      <c r="I17">
        <v>8.8000000000000007</v>
      </c>
      <c r="J17">
        <v>3</v>
      </c>
      <c r="K17">
        <v>2.9</v>
      </c>
      <c r="L17" t="s">
        <v>141</v>
      </c>
      <c r="N17" t="s">
        <v>71</v>
      </c>
      <c r="O17">
        <v>6.4</v>
      </c>
      <c r="P17">
        <v>6.8</v>
      </c>
      <c r="Q17">
        <v>2.4</v>
      </c>
      <c r="R17">
        <v>4</v>
      </c>
      <c r="S17" t="s">
        <v>141</v>
      </c>
      <c r="U17" t="s">
        <v>71</v>
      </c>
      <c r="AA17" t="s">
        <v>141</v>
      </c>
      <c r="AC17" t="s">
        <v>71</v>
      </c>
      <c r="AD17">
        <v>6.4</v>
      </c>
      <c r="AE17">
        <v>6.8</v>
      </c>
      <c r="AF17">
        <v>1.9</v>
      </c>
      <c r="AG17">
        <v>2.7</v>
      </c>
      <c r="AH17" t="s">
        <v>141</v>
      </c>
      <c r="AJ17" t="s">
        <v>14</v>
      </c>
      <c r="AK17">
        <v>8.8000000000000007</v>
      </c>
      <c r="AL17">
        <v>10.4</v>
      </c>
      <c r="AM17">
        <v>6.6</v>
      </c>
      <c r="AN17">
        <v>9.1</v>
      </c>
      <c r="AO17" t="s">
        <v>141</v>
      </c>
      <c r="AP17" t="s">
        <v>71</v>
      </c>
      <c r="AQ17" s="35">
        <v>8.8000000000000007</v>
      </c>
      <c r="AR17" s="35">
        <v>2.4</v>
      </c>
      <c r="AS17" s="35">
        <v>3.49</v>
      </c>
      <c r="AT17" s="34">
        <v>5.0190000000000001</v>
      </c>
      <c r="AU17" s="290" t="str">
        <f t="shared" si="0"/>
        <v>Panama</v>
      </c>
      <c r="AV17" s="4">
        <f t="shared" si="4"/>
        <v>-0.45053001526634034</v>
      </c>
      <c r="AX17" s="291" t="s">
        <v>71</v>
      </c>
      <c r="AY17" s="4">
        <f>VLOOKUP(AX17,'Stripped Spread'!$C$18:$E$60,3,FALSE)</f>
        <v>-0.55505648603455771</v>
      </c>
      <c r="BI17" s="59" t="s">
        <v>47</v>
      </c>
      <c r="BJ17" s="60">
        <f t="shared" si="2"/>
        <v>-0.85546595231702172</v>
      </c>
      <c r="BK17" s="60">
        <f t="shared" si="3"/>
        <v>-0.50718932529558414</v>
      </c>
    </row>
    <row r="18" spans="1:63" x14ac:dyDescent="0.2">
      <c r="A18" t="s">
        <v>47</v>
      </c>
      <c r="B18">
        <v>3.9</v>
      </c>
      <c r="C18">
        <v>6.7</v>
      </c>
      <c r="D18">
        <v>1.6</v>
      </c>
      <c r="E18">
        <v>2.2000000000000002</v>
      </c>
      <c r="F18" t="s">
        <v>141</v>
      </c>
      <c r="H18" t="s">
        <v>47</v>
      </c>
      <c r="I18">
        <v>5.8</v>
      </c>
      <c r="J18">
        <v>3.5</v>
      </c>
      <c r="K18">
        <v>1.3</v>
      </c>
      <c r="L18" t="s">
        <v>141</v>
      </c>
      <c r="N18" t="s">
        <v>47</v>
      </c>
      <c r="O18">
        <v>3.9</v>
      </c>
      <c r="P18">
        <v>6.7</v>
      </c>
      <c r="Q18">
        <v>1.9</v>
      </c>
      <c r="R18">
        <v>2.5</v>
      </c>
      <c r="S18" t="s">
        <v>141</v>
      </c>
      <c r="U18" t="s">
        <v>47</v>
      </c>
      <c r="V18">
        <v>2</v>
      </c>
      <c r="W18">
        <v>1.8</v>
      </c>
      <c r="X18">
        <v>5.8</v>
      </c>
      <c r="Y18">
        <v>0.2</v>
      </c>
      <c r="Z18">
        <v>2.7</v>
      </c>
      <c r="AA18" t="s">
        <v>141</v>
      </c>
      <c r="AC18" t="s">
        <v>47</v>
      </c>
      <c r="AD18">
        <v>3.9</v>
      </c>
      <c r="AE18">
        <v>6.7</v>
      </c>
      <c r="AF18">
        <v>0.2</v>
      </c>
      <c r="AG18">
        <v>1.9</v>
      </c>
      <c r="AH18" t="s">
        <v>141</v>
      </c>
      <c r="AJ18" t="s">
        <v>58</v>
      </c>
      <c r="AK18">
        <v>12.8</v>
      </c>
      <c r="AL18">
        <v>25.2</v>
      </c>
      <c r="AM18">
        <v>17</v>
      </c>
      <c r="AN18">
        <v>9</v>
      </c>
      <c r="AO18" t="s">
        <v>141</v>
      </c>
      <c r="AP18" t="s">
        <v>47</v>
      </c>
      <c r="AQ18" s="35">
        <v>5.8</v>
      </c>
      <c r="AR18" s="35">
        <v>2.9</v>
      </c>
      <c r="AS18" s="35">
        <v>1.5309999999999999</v>
      </c>
      <c r="AT18" s="34">
        <v>2.6960000000000002</v>
      </c>
      <c r="AU18" s="290" t="str">
        <f t="shared" ref="AU18:AU34" si="5">A18</f>
        <v>Peru</v>
      </c>
      <c r="AV18" s="4">
        <f t="shared" si="4"/>
        <v>-0.85546595231702172</v>
      </c>
      <c r="AX18" s="291" t="s">
        <v>47</v>
      </c>
      <c r="AY18" s="4">
        <f>VLOOKUP(AX18,'Stripped Spread'!$C$18:$E$60,3,FALSE)</f>
        <v>-0.50718932529558414</v>
      </c>
      <c r="BI18" s="59" t="s">
        <v>4</v>
      </c>
      <c r="BJ18" s="60">
        <f t="shared" si="2"/>
        <v>-0.46953045312192548</v>
      </c>
      <c r="BK18" s="60">
        <f t="shared" si="3"/>
        <v>-0.46284842419996541</v>
      </c>
    </row>
    <row r="19" spans="1:63" x14ac:dyDescent="0.2">
      <c r="A19" t="s">
        <v>4</v>
      </c>
      <c r="B19">
        <v>2.8</v>
      </c>
      <c r="C19">
        <v>9.3000000000000007</v>
      </c>
      <c r="D19">
        <v>3.5</v>
      </c>
      <c r="E19">
        <v>3.8</v>
      </c>
      <c r="F19" t="s">
        <v>141</v>
      </c>
      <c r="H19" t="s">
        <v>4</v>
      </c>
      <c r="I19">
        <v>9.3000000000000007</v>
      </c>
      <c r="J19">
        <v>3.5</v>
      </c>
      <c r="K19">
        <v>5.6</v>
      </c>
      <c r="L19" t="s">
        <v>141</v>
      </c>
      <c r="N19" t="s">
        <v>4</v>
      </c>
      <c r="O19">
        <v>3.9</v>
      </c>
      <c r="P19">
        <v>8</v>
      </c>
      <c r="Q19">
        <v>4.0999999999999996</v>
      </c>
      <c r="R19">
        <v>3.9</v>
      </c>
      <c r="S19" t="s">
        <v>141</v>
      </c>
      <c r="U19" t="s">
        <v>4</v>
      </c>
      <c r="V19">
        <v>5.5</v>
      </c>
      <c r="W19">
        <v>2.8</v>
      </c>
      <c r="X19">
        <v>9.3000000000000007</v>
      </c>
      <c r="Y19">
        <v>4.0999999999999996</v>
      </c>
      <c r="Z19">
        <v>5.8</v>
      </c>
      <c r="AA19" t="s">
        <v>141</v>
      </c>
      <c r="AC19" t="s">
        <v>4</v>
      </c>
      <c r="AD19">
        <v>2.8</v>
      </c>
      <c r="AE19">
        <v>9.3000000000000007</v>
      </c>
      <c r="AF19">
        <v>3.2</v>
      </c>
      <c r="AG19">
        <v>5.0999999999999996</v>
      </c>
      <c r="AH19" t="s">
        <v>141</v>
      </c>
      <c r="AJ19" t="s">
        <v>64</v>
      </c>
      <c r="AK19">
        <v>8.3000000000000007</v>
      </c>
      <c r="AL19">
        <v>23</v>
      </c>
      <c r="AM19">
        <v>7.5</v>
      </c>
      <c r="AN19">
        <v>10.1</v>
      </c>
      <c r="AO19" t="s">
        <v>141</v>
      </c>
      <c r="AP19" t="s">
        <v>4</v>
      </c>
      <c r="AQ19" s="35">
        <v>9.3000000000000007</v>
      </c>
      <c r="AR19" s="35">
        <v>3.2</v>
      </c>
      <c r="AS19" s="35">
        <v>3.7970000000000002</v>
      </c>
      <c r="AT19" s="34">
        <v>4.91</v>
      </c>
      <c r="AU19" s="290" t="str">
        <f t="shared" si="5"/>
        <v>Philippines</v>
      </c>
      <c r="AV19" s="4">
        <f t="shared" si="4"/>
        <v>-0.46953045312192548</v>
      </c>
      <c r="AX19" s="291" t="s">
        <v>4</v>
      </c>
      <c r="AY19" s="4">
        <f>VLOOKUP(AX19,'Stripped Spread'!$C$18:$E$60,3,FALSE)</f>
        <v>-0.46284842419996541</v>
      </c>
      <c r="BI19" s="59" t="s">
        <v>48</v>
      </c>
      <c r="BJ19" s="60">
        <f t="shared" si="2"/>
        <v>-0.61891921681216833</v>
      </c>
      <c r="BK19" s="60">
        <f t="shared" si="3"/>
        <v>-0.36315540465326435</v>
      </c>
    </row>
    <row r="20" spans="1:63" x14ac:dyDescent="0.2">
      <c r="A20" t="s">
        <v>48</v>
      </c>
      <c r="B20">
        <v>2.5</v>
      </c>
      <c r="C20">
        <v>4.2</v>
      </c>
      <c r="D20">
        <v>3.5</v>
      </c>
      <c r="E20">
        <v>1.6</v>
      </c>
      <c r="F20" t="s">
        <v>141</v>
      </c>
      <c r="H20" t="s">
        <v>48</v>
      </c>
      <c r="I20">
        <v>4.3</v>
      </c>
      <c r="J20">
        <v>3.5</v>
      </c>
      <c r="K20">
        <v>2</v>
      </c>
      <c r="L20" t="s">
        <v>141</v>
      </c>
      <c r="N20" t="s">
        <v>48</v>
      </c>
      <c r="O20">
        <v>4</v>
      </c>
      <c r="P20">
        <v>3.3</v>
      </c>
      <c r="Q20">
        <v>3</v>
      </c>
      <c r="R20">
        <v>2.5</v>
      </c>
      <c r="S20" t="s">
        <v>141</v>
      </c>
      <c r="U20" t="s">
        <v>48</v>
      </c>
      <c r="V20">
        <v>1.1000000000000001</v>
      </c>
      <c r="W20">
        <v>2.5</v>
      </c>
      <c r="X20">
        <v>4.2</v>
      </c>
      <c r="Y20">
        <v>2.5</v>
      </c>
      <c r="Z20">
        <v>2.9</v>
      </c>
      <c r="AA20" t="s">
        <v>141</v>
      </c>
      <c r="AC20" t="s">
        <v>48</v>
      </c>
      <c r="AD20">
        <v>2.5</v>
      </c>
      <c r="AE20">
        <v>4.2</v>
      </c>
      <c r="AF20">
        <v>3.6</v>
      </c>
      <c r="AG20">
        <v>2.4</v>
      </c>
      <c r="AH20" t="s">
        <v>141</v>
      </c>
      <c r="AJ20" t="s">
        <v>24</v>
      </c>
      <c r="AK20">
        <v>4.4000000000000004</v>
      </c>
      <c r="AL20">
        <v>6.7</v>
      </c>
      <c r="AM20">
        <v>2</v>
      </c>
      <c r="AN20">
        <v>3.1</v>
      </c>
      <c r="AO20" t="s">
        <v>142</v>
      </c>
      <c r="AP20" t="s">
        <v>48</v>
      </c>
      <c r="AQ20" s="35">
        <v>4.2</v>
      </c>
      <c r="AR20" s="35">
        <v>3.5</v>
      </c>
      <c r="AS20" s="35">
        <v>2.581</v>
      </c>
      <c r="AT20" s="34">
        <v>4.0529999999999999</v>
      </c>
      <c r="AU20" s="290" t="str">
        <f t="shared" si="5"/>
        <v>Poland</v>
      </c>
      <c r="AV20" s="4">
        <f t="shared" si="4"/>
        <v>-0.61891921681216833</v>
      </c>
      <c r="AX20" s="291" t="s">
        <v>48</v>
      </c>
      <c r="AY20" s="4">
        <f>VLOOKUP(AX20,'Stripped Spread'!$C$18:$E$60,3,FALSE)</f>
        <v>-0.36315540465326435</v>
      </c>
      <c r="BI20" s="59" t="s">
        <v>13</v>
      </c>
      <c r="BJ20" s="60">
        <f t="shared" si="2"/>
        <v>0.29850559450842429</v>
      </c>
      <c r="BK20" s="60">
        <f t="shared" si="3"/>
        <v>-0.16466036285246269</v>
      </c>
    </row>
    <row r="21" spans="1:63" x14ac:dyDescent="0.2">
      <c r="A21" t="s">
        <v>13</v>
      </c>
      <c r="B21">
        <v>9</v>
      </c>
      <c r="C21">
        <v>14.1</v>
      </c>
      <c r="D21">
        <v>12.1</v>
      </c>
      <c r="E21">
        <v>6</v>
      </c>
      <c r="F21" t="s">
        <v>141</v>
      </c>
      <c r="H21" t="s">
        <v>13</v>
      </c>
      <c r="I21">
        <v>14.1</v>
      </c>
      <c r="J21">
        <v>12.4</v>
      </c>
      <c r="K21">
        <v>6.7</v>
      </c>
      <c r="L21" t="s">
        <v>141</v>
      </c>
      <c r="N21" t="s">
        <v>13</v>
      </c>
      <c r="O21">
        <v>11.9</v>
      </c>
      <c r="P21">
        <v>13.2</v>
      </c>
      <c r="Q21">
        <v>8.8000000000000007</v>
      </c>
      <c r="R21">
        <v>7.5</v>
      </c>
      <c r="S21" t="s">
        <v>141</v>
      </c>
      <c r="U21" t="s">
        <v>13</v>
      </c>
      <c r="V21">
        <v>9.6999999999999993</v>
      </c>
      <c r="W21">
        <v>9.3000000000000007</v>
      </c>
      <c r="X21">
        <v>14.2</v>
      </c>
      <c r="Y21">
        <v>8.8000000000000007</v>
      </c>
      <c r="Z21">
        <v>8</v>
      </c>
      <c r="AA21" t="s">
        <v>141</v>
      </c>
      <c r="AC21" t="s">
        <v>13</v>
      </c>
      <c r="AD21">
        <v>9</v>
      </c>
      <c r="AE21">
        <v>14.1</v>
      </c>
      <c r="AF21">
        <v>11.6</v>
      </c>
      <c r="AG21">
        <v>7.2</v>
      </c>
      <c r="AH21" t="s">
        <v>141</v>
      </c>
      <c r="AJ21" t="s">
        <v>124</v>
      </c>
      <c r="AK21">
        <v>7.3</v>
      </c>
      <c r="AL21">
        <v>10.9</v>
      </c>
      <c r="AM21">
        <v>8</v>
      </c>
      <c r="AN21">
        <v>7.3</v>
      </c>
      <c r="AO21" t="s">
        <v>142</v>
      </c>
      <c r="AP21" t="s">
        <v>13</v>
      </c>
      <c r="AQ21" s="35">
        <v>14.1</v>
      </c>
      <c r="AR21" s="35">
        <v>11.7</v>
      </c>
      <c r="AS21" s="35">
        <v>6.8540000000000001</v>
      </c>
      <c r="AT21" s="34">
        <v>9.3160000000000007</v>
      </c>
      <c r="AU21" s="290" t="str">
        <f t="shared" si="5"/>
        <v>Russia</v>
      </c>
      <c r="AV21" s="4">
        <f t="shared" si="4"/>
        <v>0.29850559450842429</v>
      </c>
      <c r="AX21" s="291" t="s">
        <v>13</v>
      </c>
      <c r="AY21" s="4">
        <f>VLOOKUP(AX21,'Stripped Spread'!$C$18:$E$60,3,FALSE)</f>
        <v>-0.16466036285246269</v>
      </c>
      <c r="BI21" s="59" t="s">
        <v>23</v>
      </c>
      <c r="BJ21" s="60">
        <f t="shared" si="2"/>
        <v>-0.46586981830571189</v>
      </c>
      <c r="BK21" s="60">
        <f t="shared" si="3"/>
        <v>-0.49266345738201095</v>
      </c>
    </row>
    <row r="22" spans="1:63" x14ac:dyDescent="0.2">
      <c r="A22" t="s">
        <v>23</v>
      </c>
      <c r="B22">
        <v>6.1</v>
      </c>
      <c r="C22">
        <v>9.9</v>
      </c>
      <c r="D22">
        <v>7.9</v>
      </c>
      <c r="E22">
        <v>4.8</v>
      </c>
      <c r="F22" t="s">
        <v>141</v>
      </c>
      <c r="H22" t="s">
        <v>23</v>
      </c>
      <c r="I22">
        <v>10.1</v>
      </c>
      <c r="J22">
        <v>7.4</v>
      </c>
      <c r="K22">
        <v>5.8</v>
      </c>
      <c r="L22" t="s">
        <v>141</v>
      </c>
      <c r="N22" t="s">
        <v>23</v>
      </c>
      <c r="O22">
        <v>6.5</v>
      </c>
      <c r="P22">
        <v>10.4</v>
      </c>
      <c r="Q22">
        <v>6.2</v>
      </c>
      <c r="R22">
        <v>5.7</v>
      </c>
      <c r="S22" t="s">
        <v>141</v>
      </c>
      <c r="U22" t="s">
        <v>23</v>
      </c>
      <c r="V22">
        <v>4.5999999999999996</v>
      </c>
      <c r="W22">
        <v>7.1</v>
      </c>
      <c r="X22">
        <v>11.5</v>
      </c>
      <c r="Y22">
        <v>7.2</v>
      </c>
      <c r="Z22">
        <v>5.4</v>
      </c>
      <c r="AA22" t="s">
        <v>141</v>
      </c>
      <c r="AC22" t="s">
        <v>23</v>
      </c>
      <c r="AD22">
        <v>7.1</v>
      </c>
      <c r="AE22">
        <v>11.5</v>
      </c>
      <c r="AF22">
        <v>7.3</v>
      </c>
      <c r="AG22">
        <v>5.7</v>
      </c>
      <c r="AH22" t="s">
        <v>141</v>
      </c>
      <c r="AJ22" t="s">
        <v>20</v>
      </c>
      <c r="AK22">
        <v>5.5</v>
      </c>
      <c r="AL22">
        <v>8.1</v>
      </c>
      <c r="AM22">
        <v>4.5</v>
      </c>
      <c r="AN22">
        <v>5</v>
      </c>
      <c r="AO22" t="s">
        <v>142</v>
      </c>
      <c r="AP22" t="s">
        <v>23</v>
      </c>
      <c r="AQ22" s="35">
        <v>11.5</v>
      </c>
      <c r="AR22" s="35">
        <v>7.1</v>
      </c>
      <c r="AS22" s="35">
        <v>4.274</v>
      </c>
      <c r="AT22" s="34">
        <v>4.931</v>
      </c>
      <c r="AU22" s="290" t="str">
        <f t="shared" si="5"/>
        <v>South Africa</v>
      </c>
      <c r="AV22" s="4">
        <f t="shared" si="4"/>
        <v>-0.46586981830571189</v>
      </c>
      <c r="AX22" s="291" t="s">
        <v>23</v>
      </c>
      <c r="AY22" s="4">
        <f>VLOOKUP(AX22,'Stripped Spread'!$C$18:$E$60,3,FALSE)</f>
        <v>-0.49266345738201095</v>
      </c>
      <c r="BI22" s="59" t="s">
        <v>77</v>
      </c>
      <c r="BJ22" s="60">
        <f t="shared" si="2"/>
        <v>5.1325586442188084E-2</v>
      </c>
      <c r="BK22" s="60">
        <f t="shared" si="3"/>
        <v>0.16739140015649304</v>
      </c>
    </row>
    <row r="23" spans="1:63" x14ac:dyDescent="0.2">
      <c r="A23" t="s">
        <v>77</v>
      </c>
      <c r="F23" t="s">
        <v>141</v>
      </c>
      <c r="H23" t="s">
        <v>77</v>
      </c>
      <c r="I23">
        <v>22.6</v>
      </c>
      <c r="J23">
        <v>5.5</v>
      </c>
      <c r="K23">
        <v>6.5</v>
      </c>
      <c r="L23" t="s">
        <v>141</v>
      </c>
      <c r="N23" t="s">
        <v>77</v>
      </c>
      <c r="S23" t="s">
        <v>141</v>
      </c>
      <c r="U23" t="s">
        <v>77</v>
      </c>
      <c r="X23">
        <v>22.8</v>
      </c>
      <c r="Y23">
        <v>3.6</v>
      </c>
      <c r="Z23">
        <v>8.1</v>
      </c>
      <c r="AA23" t="s">
        <v>141</v>
      </c>
      <c r="AC23" t="s">
        <v>77</v>
      </c>
      <c r="AH23" t="s">
        <v>141</v>
      </c>
      <c r="AJ23" t="s">
        <v>25</v>
      </c>
      <c r="AK23">
        <v>5.7</v>
      </c>
      <c r="AL23">
        <v>8.1</v>
      </c>
      <c r="AM23">
        <v>5.7</v>
      </c>
      <c r="AN23">
        <v>6.1</v>
      </c>
      <c r="AO23" t="s">
        <v>142</v>
      </c>
      <c r="AP23" t="s">
        <v>77</v>
      </c>
      <c r="AQ23" s="35">
        <v>22.6</v>
      </c>
      <c r="AR23" s="35">
        <v>3.4</v>
      </c>
      <c r="AS23" s="35">
        <v>5.9409999999999998</v>
      </c>
      <c r="AT23" s="34">
        <v>7.8979999999999997</v>
      </c>
      <c r="AU23" s="290" t="str">
        <f t="shared" si="5"/>
        <v>Sri Lanka</v>
      </c>
      <c r="AV23" s="4">
        <f t="shared" si="4"/>
        <v>5.1325586442188084E-2</v>
      </c>
      <c r="AX23" s="291" t="s">
        <v>77</v>
      </c>
      <c r="AY23" s="4">
        <f>VLOOKUP(AX23,'Stripped Spread'!$C$18:$E$60,3,FALSE)</f>
        <v>0.16739140015649304</v>
      </c>
      <c r="BI23" s="59" t="s">
        <v>14</v>
      </c>
      <c r="BJ23" s="60">
        <f t="shared" si="2"/>
        <v>-0.33356401709113276</v>
      </c>
      <c r="BK23" s="60">
        <f t="shared" si="3"/>
        <v>-0.24455989205539388</v>
      </c>
    </row>
    <row r="24" spans="1:63" x14ac:dyDescent="0.2">
      <c r="A24" t="s">
        <v>14</v>
      </c>
      <c r="B24">
        <v>8.8000000000000007</v>
      </c>
      <c r="C24">
        <v>10.4</v>
      </c>
      <c r="D24">
        <v>6.9</v>
      </c>
      <c r="E24">
        <v>6.7</v>
      </c>
      <c r="F24" t="s">
        <v>141</v>
      </c>
      <c r="H24" t="s">
        <v>14</v>
      </c>
      <c r="I24">
        <v>10.4</v>
      </c>
      <c r="J24">
        <v>6.5</v>
      </c>
      <c r="K24">
        <v>8.6</v>
      </c>
      <c r="L24" t="s">
        <v>141</v>
      </c>
      <c r="N24" t="s">
        <v>14</v>
      </c>
      <c r="O24">
        <v>8.3000000000000007</v>
      </c>
      <c r="P24">
        <v>10.1</v>
      </c>
      <c r="Q24">
        <v>6</v>
      </c>
      <c r="R24">
        <v>7.4</v>
      </c>
      <c r="S24" t="s">
        <v>141</v>
      </c>
      <c r="U24" t="s">
        <v>14</v>
      </c>
      <c r="V24">
        <v>9.6</v>
      </c>
      <c r="W24">
        <v>8.6999999999999993</v>
      </c>
      <c r="X24">
        <v>10.199999999999999</v>
      </c>
      <c r="Y24">
        <v>6.9</v>
      </c>
      <c r="Z24">
        <v>7.9</v>
      </c>
      <c r="AA24" t="s">
        <v>141</v>
      </c>
      <c r="AC24" t="s">
        <v>14</v>
      </c>
      <c r="AD24">
        <v>8.4</v>
      </c>
      <c r="AE24">
        <v>10.1</v>
      </c>
      <c r="AF24">
        <v>7.4</v>
      </c>
      <c r="AG24">
        <v>8</v>
      </c>
      <c r="AH24" t="s">
        <v>141</v>
      </c>
      <c r="AJ24" t="s">
        <v>133</v>
      </c>
      <c r="AK24">
        <v>4.0999999999999996</v>
      </c>
      <c r="AL24">
        <v>7.3</v>
      </c>
      <c r="AM24">
        <v>4</v>
      </c>
      <c r="AN24">
        <v>4.8</v>
      </c>
      <c r="AP24" t="s">
        <v>14</v>
      </c>
      <c r="AQ24" s="35">
        <v>10.4</v>
      </c>
      <c r="AR24" s="35">
        <v>6.3</v>
      </c>
      <c r="AS24" s="35">
        <v>8.5660000000000007</v>
      </c>
      <c r="AT24" s="34">
        <v>5.69</v>
      </c>
      <c r="AU24" s="290" t="str">
        <f t="shared" si="5"/>
        <v>Turkey</v>
      </c>
      <c r="AV24" s="4">
        <f t="shared" si="4"/>
        <v>-0.33356401709113276</v>
      </c>
      <c r="AX24" s="291" t="s">
        <v>14</v>
      </c>
      <c r="AY24" s="4">
        <f>VLOOKUP(AX24,'Stripped Spread'!$C$18:$E$60,3,FALSE)</f>
        <v>-0.24455989205539388</v>
      </c>
      <c r="BI24" s="59" t="s">
        <v>58</v>
      </c>
      <c r="BJ24" s="60">
        <f t="shared" si="2"/>
        <v>0.27427567834396227</v>
      </c>
      <c r="BK24" s="60">
        <f t="shared" si="3"/>
        <v>1.5328752249159792</v>
      </c>
    </row>
    <row r="25" spans="1:63" x14ac:dyDescent="0.2">
      <c r="A25" t="s">
        <v>58</v>
      </c>
      <c r="B25">
        <v>12.8</v>
      </c>
      <c r="C25">
        <v>24</v>
      </c>
      <c r="D25">
        <v>12.3</v>
      </c>
      <c r="E25">
        <v>10</v>
      </c>
      <c r="F25" t="s">
        <v>141</v>
      </c>
      <c r="H25" t="s">
        <v>58</v>
      </c>
      <c r="I25">
        <v>25.2</v>
      </c>
      <c r="J25">
        <v>15.9</v>
      </c>
      <c r="K25">
        <v>10.3</v>
      </c>
      <c r="L25" t="s">
        <v>141</v>
      </c>
      <c r="N25" t="s">
        <v>58</v>
      </c>
      <c r="O25">
        <v>16.600000000000001</v>
      </c>
      <c r="P25">
        <v>22.3</v>
      </c>
      <c r="Q25">
        <v>14.7</v>
      </c>
      <c r="R25">
        <v>13</v>
      </c>
      <c r="S25" t="s">
        <v>141</v>
      </c>
      <c r="U25" t="s">
        <v>58</v>
      </c>
      <c r="V25">
        <v>9.1</v>
      </c>
      <c r="W25">
        <v>12.8</v>
      </c>
      <c r="X25">
        <v>25.3</v>
      </c>
      <c r="Y25">
        <v>17.8</v>
      </c>
      <c r="Z25">
        <v>10.5</v>
      </c>
      <c r="AA25" t="s">
        <v>141</v>
      </c>
      <c r="AC25" t="s">
        <v>58</v>
      </c>
      <c r="AD25">
        <v>12.8</v>
      </c>
      <c r="AE25">
        <v>25.2</v>
      </c>
      <c r="AF25">
        <v>17</v>
      </c>
      <c r="AG25">
        <v>8.1999999999999993</v>
      </c>
      <c r="AH25" t="s">
        <v>141</v>
      </c>
      <c r="AJ25" t="s">
        <v>127</v>
      </c>
      <c r="AK25">
        <v>2.2000000000000002</v>
      </c>
      <c r="AL25">
        <v>4.0999999999999996</v>
      </c>
      <c r="AM25">
        <v>0.5</v>
      </c>
      <c r="AN25">
        <v>1.2</v>
      </c>
      <c r="AP25" t="s">
        <v>58</v>
      </c>
      <c r="AQ25" s="35">
        <v>25.2</v>
      </c>
      <c r="AR25" s="35">
        <v>15.9</v>
      </c>
      <c r="AS25" s="35">
        <v>9.3689999999999998</v>
      </c>
      <c r="AT25" s="34">
        <v>9.1769999999999996</v>
      </c>
      <c r="AU25" s="290" t="str">
        <f t="shared" si="5"/>
        <v>Ukraine</v>
      </c>
      <c r="AV25" s="4">
        <f t="shared" si="4"/>
        <v>0.27427567834396227</v>
      </c>
      <c r="AX25" s="291" t="s">
        <v>58</v>
      </c>
      <c r="AY25" s="4">
        <f>VLOOKUP(AX25,'Stripped Spread'!$C$18:$E$60,3,FALSE)</f>
        <v>1.5328752249159792</v>
      </c>
      <c r="BI25" s="59" t="s">
        <v>72</v>
      </c>
      <c r="BJ25" s="60">
        <f t="shared" si="2"/>
        <v>-7.0172626267379273E-2</v>
      </c>
      <c r="BK25" s="60">
        <f t="shared" si="3"/>
        <v>-0.34765727585037098</v>
      </c>
    </row>
    <row r="26" spans="1:63" x14ac:dyDescent="0.2">
      <c r="A26" t="s">
        <v>72</v>
      </c>
      <c r="F26" t="s">
        <v>141</v>
      </c>
      <c r="H26" t="s">
        <v>72</v>
      </c>
      <c r="I26">
        <v>7.9</v>
      </c>
      <c r="J26">
        <v>7.4</v>
      </c>
      <c r="K26">
        <v>6.8</v>
      </c>
      <c r="L26" t="s">
        <v>141</v>
      </c>
      <c r="N26" t="s">
        <v>72</v>
      </c>
      <c r="S26" t="s">
        <v>141</v>
      </c>
      <c r="U26" t="s">
        <v>72</v>
      </c>
      <c r="V26">
        <v>6.4</v>
      </c>
      <c r="W26">
        <v>8.1</v>
      </c>
      <c r="X26">
        <v>7.9</v>
      </c>
      <c r="Y26">
        <v>7.1</v>
      </c>
      <c r="Z26">
        <v>6.9</v>
      </c>
      <c r="AA26" t="s">
        <v>141</v>
      </c>
      <c r="AC26" t="s">
        <v>72</v>
      </c>
      <c r="AD26">
        <v>8.5</v>
      </c>
      <c r="AE26">
        <v>9.1999999999999993</v>
      </c>
      <c r="AF26">
        <v>5.9</v>
      </c>
      <c r="AG26">
        <v>5.8</v>
      </c>
      <c r="AH26" t="s">
        <v>141</v>
      </c>
      <c r="AJ26" t="s">
        <v>34</v>
      </c>
      <c r="AK26">
        <v>2.2999999999999998</v>
      </c>
      <c r="AL26">
        <v>4.3</v>
      </c>
      <c r="AM26">
        <v>2</v>
      </c>
      <c r="AN26">
        <v>2.8</v>
      </c>
      <c r="AP26" t="s">
        <v>72</v>
      </c>
      <c r="AQ26" s="35">
        <v>7.9</v>
      </c>
      <c r="AR26" s="35">
        <v>7.1</v>
      </c>
      <c r="AS26" s="35">
        <v>6.7</v>
      </c>
      <c r="AT26" s="34">
        <v>7.2009999999999996</v>
      </c>
      <c r="AU26" s="290" t="str">
        <f t="shared" si="5"/>
        <v>Uruguay</v>
      </c>
      <c r="AV26" s="4">
        <f t="shared" si="4"/>
        <v>-7.0172626267379273E-2</v>
      </c>
      <c r="AX26" s="291" t="s">
        <v>72</v>
      </c>
      <c r="AY26" s="4">
        <f>VLOOKUP(AX26,'Stripped Spread'!$C$18:$E$60,3,FALSE)</f>
        <v>-0.34765727585037098</v>
      </c>
      <c r="BI26" s="59" t="s">
        <v>12</v>
      </c>
      <c r="BJ26" s="60">
        <f t="shared" si="2"/>
        <v>3.8677988562603627</v>
      </c>
      <c r="BK26" s="60">
        <f t="shared" si="3"/>
        <v>2.7898082980863612</v>
      </c>
    </row>
    <row r="27" spans="1:63" x14ac:dyDescent="0.2">
      <c r="A27" t="s">
        <v>12</v>
      </c>
      <c r="B27">
        <v>20.2</v>
      </c>
      <c r="C27">
        <v>33.4</v>
      </c>
      <c r="D27">
        <v>24.4</v>
      </c>
      <c r="E27">
        <v>22.5</v>
      </c>
      <c r="F27" t="s">
        <v>141</v>
      </c>
      <c r="H27" t="s">
        <v>12</v>
      </c>
      <c r="I27">
        <v>30.4</v>
      </c>
      <c r="J27">
        <v>29.4</v>
      </c>
      <c r="K27">
        <v>31.4</v>
      </c>
      <c r="L27" t="s">
        <v>141</v>
      </c>
      <c r="N27" t="s">
        <v>12</v>
      </c>
      <c r="O27">
        <v>22.5</v>
      </c>
      <c r="P27">
        <v>31.9</v>
      </c>
      <c r="Q27">
        <v>25</v>
      </c>
      <c r="R27">
        <v>36</v>
      </c>
      <c r="S27" t="s">
        <v>141</v>
      </c>
      <c r="U27" t="s">
        <v>12</v>
      </c>
      <c r="V27">
        <v>13.7</v>
      </c>
      <c r="W27">
        <v>18.7</v>
      </c>
      <c r="X27">
        <v>31.4</v>
      </c>
      <c r="Y27">
        <v>30.2</v>
      </c>
      <c r="Z27">
        <v>28.6</v>
      </c>
      <c r="AA27" t="s">
        <v>141</v>
      </c>
      <c r="AC27" t="s">
        <v>12</v>
      </c>
      <c r="AD27">
        <v>22.5</v>
      </c>
      <c r="AE27">
        <v>31.9</v>
      </c>
      <c r="AF27">
        <v>26.9</v>
      </c>
      <c r="AG27">
        <v>42</v>
      </c>
      <c r="AH27" t="s">
        <v>141</v>
      </c>
      <c r="AJ27" t="s">
        <v>35</v>
      </c>
      <c r="AK27">
        <v>2.1</v>
      </c>
      <c r="AL27">
        <v>2.4</v>
      </c>
      <c r="AM27">
        <v>0.4</v>
      </c>
      <c r="AN27">
        <v>1.7</v>
      </c>
      <c r="AP27" t="s">
        <v>12</v>
      </c>
      <c r="AQ27" s="35">
        <v>30.4</v>
      </c>
      <c r="AR27" s="35">
        <v>27.1</v>
      </c>
      <c r="AS27" s="35">
        <v>28.126999999999999</v>
      </c>
      <c r="AT27" s="34">
        <v>29.792000000000002</v>
      </c>
      <c r="AU27" s="290" t="str">
        <f t="shared" si="5"/>
        <v>Venezuela</v>
      </c>
      <c r="AV27" s="4">
        <f t="shared" si="4"/>
        <v>3.8677988562603627</v>
      </c>
      <c r="AX27" s="291" t="s">
        <v>12</v>
      </c>
      <c r="AY27" s="4">
        <f>VLOOKUP(AX27,'Stripped Spread'!$C$18:$E$60,3,FALSE)</f>
        <v>2.7898082980863612</v>
      </c>
      <c r="BI27" s="59" t="s">
        <v>64</v>
      </c>
      <c r="BJ27" s="60">
        <f t="shared" si="2"/>
        <v>1.0215681286824347</v>
      </c>
      <c r="BK27" s="60">
        <f t="shared" si="3"/>
        <v>0.45654469091159733</v>
      </c>
    </row>
    <row r="28" spans="1:63" x14ac:dyDescent="0.2">
      <c r="A28" t="s">
        <v>64</v>
      </c>
      <c r="B28">
        <v>8.3000000000000007</v>
      </c>
      <c r="C28">
        <v>23.1</v>
      </c>
      <c r="D28">
        <v>7.2</v>
      </c>
      <c r="E28">
        <v>10.8</v>
      </c>
      <c r="F28" t="s">
        <v>141</v>
      </c>
      <c r="H28" t="s">
        <v>64</v>
      </c>
      <c r="I28">
        <v>23.2</v>
      </c>
      <c r="J28">
        <v>6.9</v>
      </c>
      <c r="K28">
        <v>9.9</v>
      </c>
      <c r="L28" t="s">
        <v>141</v>
      </c>
      <c r="N28" t="s">
        <v>64</v>
      </c>
      <c r="O28">
        <v>12.6</v>
      </c>
      <c r="P28">
        <v>19.899999999999999</v>
      </c>
      <c r="Q28">
        <v>10.1</v>
      </c>
      <c r="R28">
        <v>12.5</v>
      </c>
      <c r="S28" t="s">
        <v>141</v>
      </c>
      <c r="U28" t="s">
        <v>64</v>
      </c>
      <c r="X28">
        <v>23</v>
      </c>
      <c r="Y28">
        <v>7</v>
      </c>
      <c r="Z28">
        <v>9.6999999999999993</v>
      </c>
      <c r="AA28" t="s">
        <v>141</v>
      </c>
      <c r="AC28" t="s">
        <v>64</v>
      </c>
      <c r="AD28">
        <v>8.3000000000000007</v>
      </c>
      <c r="AE28">
        <v>23</v>
      </c>
      <c r="AF28">
        <v>7.5</v>
      </c>
      <c r="AG28">
        <v>10.1</v>
      </c>
      <c r="AH28" t="s">
        <v>141</v>
      </c>
      <c r="AJ28" t="s">
        <v>55</v>
      </c>
      <c r="AK28">
        <v>2.8</v>
      </c>
      <c r="AL28">
        <v>6.4</v>
      </c>
      <c r="AM28">
        <v>1.6</v>
      </c>
      <c r="AN28">
        <v>1.8</v>
      </c>
      <c r="AP28" t="s">
        <v>64</v>
      </c>
      <c r="AQ28" s="35">
        <v>23.1</v>
      </c>
      <c r="AR28" s="35">
        <v>6.7</v>
      </c>
      <c r="AS28" s="35">
        <v>9.2070000000000007</v>
      </c>
      <c r="AT28" s="34">
        <v>13.464</v>
      </c>
      <c r="AU28" s="290" t="str">
        <f t="shared" si="5"/>
        <v>Vietnam</v>
      </c>
      <c r="AV28" s="4">
        <f t="shared" si="4"/>
        <v>1.0215681286824347</v>
      </c>
      <c r="AX28" s="291" t="s">
        <v>64</v>
      </c>
      <c r="AY28" s="4">
        <f>VLOOKUP(AX28,'Stripped Spread'!$C$18:$E$60,3,FALSE)</f>
        <v>0.45654469091159733</v>
      </c>
      <c r="BJ28" s="4"/>
      <c r="BK28" s="4"/>
    </row>
    <row r="29" spans="1:63" x14ac:dyDescent="0.2">
      <c r="AQ29" s="4"/>
      <c r="AR29" s="4"/>
      <c r="AS29" s="4"/>
      <c r="AT29" s="4"/>
      <c r="AY29" s="4"/>
    </row>
    <row r="30" spans="1:63" x14ac:dyDescent="0.2">
      <c r="A30" t="s">
        <v>24</v>
      </c>
      <c r="B30">
        <v>4.7</v>
      </c>
      <c r="C30">
        <v>6.9</v>
      </c>
      <c r="D30">
        <v>0.8</v>
      </c>
      <c r="E30">
        <v>3.3</v>
      </c>
      <c r="F30" t="s">
        <v>142</v>
      </c>
      <c r="H30" t="s">
        <v>16</v>
      </c>
      <c r="I30">
        <v>6.7</v>
      </c>
      <c r="J30">
        <v>1.1000000000000001</v>
      </c>
      <c r="K30">
        <v>4.3</v>
      </c>
      <c r="L30" t="s">
        <v>142</v>
      </c>
      <c r="N30" t="s">
        <v>143</v>
      </c>
      <c r="O30">
        <v>5.9</v>
      </c>
      <c r="P30">
        <v>2.5</v>
      </c>
      <c r="Q30">
        <v>2.5</v>
      </c>
      <c r="R30">
        <v>5.2</v>
      </c>
      <c r="S30" t="s">
        <v>142</v>
      </c>
      <c r="U30" t="s">
        <v>143</v>
      </c>
      <c r="V30">
        <v>3.3</v>
      </c>
      <c r="W30">
        <v>4</v>
      </c>
      <c r="X30">
        <v>6.2</v>
      </c>
      <c r="Y30">
        <v>0.9</v>
      </c>
      <c r="Z30">
        <v>3.8</v>
      </c>
      <c r="AA30" t="s">
        <v>142</v>
      </c>
      <c r="AC30" t="s">
        <v>24</v>
      </c>
      <c r="AD30">
        <v>4.4000000000000004</v>
      </c>
      <c r="AE30">
        <v>6.7</v>
      </c>
      <c r="AF30">
        <v>2.6</v>
      </c>
      <c r="AG30">
        <v>4.5999999999999996</v>
      </c>
      <c r="AH30" t="s">
        <v>142</v>
      </c>
      <c r="AJ30" t="s">
        <v>100</v>
      </c>
      <c r="AK30">
        <v>2.1</v>
      </c>
      <c r="AL30">
        <v>3.2</v>
      </c>
      <c r="AM30">
        <v>-0.1</v>
      </c>
      <c r="AN30">
        <v>0.9</v>
      </c>
      <c r="AQ30" s="4">
        <f t="shared" ref="AQ30:AS32" si="6">AVERAGE(C30,I30,P30,X30,AE30)</f>
        <v>5.8</v>
      </c>
      <c r="AR30" s="4">
        <f t="shared" si="6"/>
        <v>1.58</v>
      </c>
      <c r="AS30" s="4">
        <f t="shared" si="6"/>
        <v>4.24</v>
      </c>
      <c r="AT30" s="4"/>
      <c r="AU30" t="str">
        <f t="shared" si="5"/>
        <v>Asia ex Japan</v>
      </c>
      <c r="AY30" s="4"/>
    </row>
    <row r="31" spans="1:63" x14ac:dyDescent="0.2">
      <c r="A31" t="s">
        <v>29</v>
      </c>
      <c r="B31">
        <v>3.6</v>
      </c>
      <c r="C31">
        <v>5</v>
      </c>
      <c r="D31">
        <v>3.3</v>
      </c>
      <c r="E31">
        <v>2.9</v>
      </c>
      <c r="F31" t="s">
        <v>142</v>
      </c>
      <c r="H31" t="s">
        <v>15</v>
      </c>
      <c r="I31">
        <v>11.3</v>
      </c>
      <c r="J31">
        <v>8.6</v>
      </c>
      <c r="K31">
        <v>5.9</v>
      </c>
      <c r="L31" t="s">
        <v>142</v>
      </c>
      <c r="N31" t="s">
        <v>82</v>
      </c>
      <c r="O31">
        <v>9.3000000000000007</v>
      </c>
      <c r="P31">
        <v>10.6</v>
      </c>
      <c r="Q31">
        <v>7.7</v>
      </c>
      <c r="R31">
        <v>6</v>
      </c>
      <c r="S31" t="s">
        <v>142</v>
      </c>
      <c r="U31" t="s">
        <v>108</v>
      </c>
      <c r="V31">
        <v>7.4</v>
      </c>
      <c r="W31">
        <v>8</v>
      </c>
      <c r="X31">
        <v>11.8</v>
      </c>
      <c r="Y31">
        <v>6.8</v>
      </c>
      <c r="Z31">
        <v>6.5</v>
      </c>
      <c r="AA31" t="s">
        <v>142</v>
      </c>
      <c r="AC31" t="s">
        <v>124</v>
      </c>
      <c r="AD31">
        <v>7.3</v>
      </c>
      <c r="AE31">
        <v>10.9</v>
      </c>
      <c r="AF31">
        <v>8</v>
      </c>
      <c r="AG31">
        <v>5.9</v>
      </c>
      <c r="AH31" t="s">
        <v>142</v>
      </c>
      <c r="AJ31" t="s">
        <v>123</v>
      </c>
      <c r="AK31">
        <v>2.1</v>
      </c>
      <c r="AL31">
        <v>3.3</v>
      </c>
      <c r="AM31">
        <v>0.5</v>
      </c>
      <c r="AN31">
        <v>1.3</v>
      </c>
      <c r="AQ31" s="4">
        <f t="shared" si="6"/>
        <v>9.92</v>
      </c>
      <c r="AR31" s="4">
        <f t="shared" si="6"/>
        <v>6.88</v>
      </c>
      <c r="AS31" s="4">
        <f t="shared" si="6"/>
        <v>5.44</v>
      </c>
      <c r="AT31" s="4"/>
      <c r="AU31" t="str">
        <f t="shared" si="5"/>
        <v>Central and Eastern Europe</v>
      </c>
      <c r="AY31" s="4"/>
    </row>
    <row r="32" spans="1:63" x14ac:dyDescent="0.2">
      <c r="A32" t="s">
        <v>30</v>
      </c>
      <c r="B32">
        <v>5.7</v>
      </c>
      <c r="C32">
        <v>8</v>
      </c>
      <c r="D32">
        <v>6</v>
      </c>
      <c r="E32">
        <v>6.4</v>
      </c>
      <c r="F32" t="s">
        <v>142</v>
      </c>
      <c r="H32" t="s">
        <v>25</v>
      </c>
      <c r="I32">
        <v>8.6999999999999993</v>
      </c>
      <c r="J32">
        <v>7.7</v>
      </c>
      <c r="K32">
        <v>8.3000000000000007</v>
      </c>
      <c r="L32" t="s">
        <v>142</v>
      </c>
      <c r="N32" t="s">
        <v>83</v>
      </c>
      <c r="O32">
        <v>6.3</v>
      </c>
      <c r="P32">
        <v>8.5</v>
      </c>
      <c r="Q32">
        <v>5.8</v>
      </c>
      <c r="R32">
        <v>8.1999999999999993</v>
      </c>
      <c r="S32" t="s">
        <v>142</v>
      </c>
      <c r="U32" t="s">
        <v>25</v>
      </c>
      <c r="V32">
        <v>5.0999999999999996</v>
      </c>
      <c r="W32">
        <v>5.3</v>
      </c>
      <c r="X32">
        <v>7.7</v>
      </c>
      <c r="Y32">
        <v>6.6</v>
      </c>
      <c r="Z32">
        <v>8</v>
      </c>
      <c r="AA32" t="s">
        <v>142</v>
      </c>
      <c r="AC32" t="s">
        <v>25</v>
      </c>
      <c r="AD32">
        <v>5.7</v>
      </c>
      <c r="AE32">
        <v>8.1</v>
      </c>
      <c r="AF32">
        <v>5.7</v>
      </c>
      <c r="AG32">
        <v>6.1</v>
      </c>
      <c r="AH32" t="s">
        <v>142</v>
      </c>
      <c r="AJ32" t="s">
        <v>41</v>
      </c>
      <c r="AK32">
        <v>1.6</v>
      </c>
      <c r="AL32">
        <v>3.2</v>
      </c>
      <c r="AM32">
        <v>0.2</v>
      </c>
      <c r="AN32">
        <v>1.5</v>
      </c>
      <c r="AQ32" s="4">
        <f t="shared" si="6"/>
        <v>8.1999999999999993</v>
      </c>
      <c r="AR32" s="4">
        <f t="shared" si="6"/>
        <v>6.36</v>
      </c>
      <c r="AS32" s="4">
        <f t="shared" si="6"/>
        <v>7.4</v>
      </c>
      <c r="AT32" s="4"/>
      <c r="AU32" t="str">
        <f t="shared" si="5"/>
        <v>Latin Am</v>
      </c>
      <c r="AY32" s="4"/>
    </row>
    <row r="33" spans="1:51" x14ac:dyDescent="0.2">
      <c r="I33" s="2"/>
      <c r="J33" s="2"/>
      <c r="K33" s="2"/>
      <c r="AQ33" s="4"/>
      <c r="AR33" s="4"/>
      <c r="AS33" s="4"/>
      <c r="AT33" s="4"/>
      <c r="AY33" s="4"/>
    </row>
    <row r="34" spans="1:51" x14ac:dyDescent="0.2">
      <c r="A34" t="s">
        <v>32</v>
      </c>
      <c r="B34">
        <v>6</v>
      </c>
      <c r="C34">
        <v>8.9</v>
      </c>
      <c r="D34">
        <v>3.6</v>
      </c>
      <c r="E34">
        <v>4.5999999999999996</v>
      </c>
      <c r="H34" t="s">
        <v>68</v>
      </c>
      <c r="I34">
        <v>8.3000000000000007</v>
      </c>
      <c r="J34">
        <v>4.5999999999999996</v>
      </c>
      <c r="K34">
        <v>5.6</v>
      </c>
      <c r="N34" t="s">
        <v>90</v>
      </c>
      <c r="O34">
        <v>6.9</v>
      </c>
      <c r="P34">
        <v>6.1</v>
      </c>
      <c r="Q34">
        <v>4.7</v>
      </c>
      <c r="R34">
        <v>6</v>
      </c>
      <c r="U34" t="s">
        <v>20</v>
      </c>
      <c r="V34">
        <v>4.5</v>
      </c>
      <c r="W34">
        <v>5</v>
      </c>
      <c r="X34">
        <v>7.4</v>
      </c>
      <c r="Y34">
        <v>3.6</v>
      </c>
      <c r="Z34">
        <v>5.4</v>
      </c>
      <c r="AC34" t="s">
        <v>20</v>
      </c>
      <c r="AD34">
        <v>5.5</v>
      </c>
      <c r="AE34">
        <v>8.1</v>
      </c>
      <c r="AF34">
        <v>4.5</v>
      </c>
      <c r="AG34">
        <v>5.3</v>
      </c>
      <c r="AQ34" s="4">
        <v>7.2</v>
      </c>
      <c r="AR34" s="4">
        <v>4.0999999999999996</v>
      </c>
      <c r="AS34" s="4">
        <f>AVERAGE(AS4:AS28)</f>
        <v>6.5306800000000012</v>
      </c>
      <c r="AT34" s="4">
        <f>AVERAGE(AT4:AT28)</f>
        <v>7.603559999999999</v>
      </c>
      <c r="AU34" t="str">
        <f t="shared" si="5"/>
        <v>Emerging MKts</v>
      </c>
      <c r="AY34" s="4"/>
    </row>
    <row r="35" spans="1:51" x14ac:dyDescent="0.2">
      <c r="I35" s="2"/>
      <c r="J35" s="2"/>
      <c r="K35" s="2"/>
      <c r="AQ35" s="4"/>
      <c r="AR35" s="4"/>
      <c r="AS35" s="4">
        <f>STDEV(AS4:AS28)</f>
        <v>5.4661507458783687</v>
      </c>
      <c r="AT35" s="4">
        <f>STDEV(AT4:AT28)</f>
        <v>5.7367099026067807</v>
      </c>
      <c r="AU35" t="s">
        <v>163</v>
      </c>
      <c r="AY35" s="4"/>
    </row>
    <row r="36" spans="1:51" x14ac:dyDescent="0.2">
      <c r="A36" t="s">
        <v>56</v>
      </c>
      <c r="B36">
        <v>2.2000000000000002</v>
      </c>
      <c r="C36">
        <v>3.4</v>
      </c>
      <c r="D36">
        <v>0</v>
      </c>
      <c r="E36">
        <v>1.5</v>
      </c>
      <c r="H36" t="s">
        <v>75</v>
      </c>
      <c r="I36" s="2">
        <v>0.107</v>
      </c>
      <c r="J36" s="2">
        <v>0.08</v>
      </c>
      <c r="K36" s="2">
        <v>6.9000000000000006E-2</v>
      </c>
      <c r="U36" t="s">
        <v>18</v>
      </c>
      <c r="V36">
        <v>3.4</v>
      </c>
      <c r="W36">
        <v>3.2</v>
      </c>
      <c r="X36">
        <v>4.4000000000000004</v>
      </c>
      <c r="Y36">
        <v>1</v>
      </c>
      <c r="Z36">
        <v>3.1</v>
      </c>
      <c r="AC36" t="s">
        <v>55</v>
      </c>
      <c r="AD36">
        <v>2.8</v>
      </c>
      <c r="AE36">
        <v>6.4</v>
      </c>
      <c r="AF36">
        <v>1.4</v>
      </c>
      <c r="AG36">
        <v>1.4</v>
      </c>
      <c r="AJ36" t="s">
        <v>42</v>
      </c>
      <c r="AK36">
        <v>2.2999999999999998</v>
      </c>
      <c r="AL36">
        <v>2.7</v>
      </c>
      <c r="AM36">
        <v>0.3</v>
      </c>
      <c r="AN36">
        <v>0.8</v>
      </c>
      <c r="AY36" s="4"/>
    </row>
    <row r="37" spans="1:51" x14ac:dyDescent="0.2">
      <c r="A37" t="s">
        <v>34</v>
      </c>
      <c r="B37">
        <v>2.2999999999999998</v>
      </c>
      <c r="C37">
        <v>4.4000000000000004</v>
      </c>
      <c r="D37">
        <v>1.8</v>
      </c>
      <c r="E37">
        <v>3</v>
      </c>
      <c r="H37" t="s">
        <v>76</v>
      </c>
      <c r="I37" s="2">
        <v>8.3000000000000004E-2</v>
      </c>
      <c r="J37" s="2">
        <v>4.5999999999999999E-2</v>
      </c>
      <c r="K37" s="2">
        <v>5.6000000000000001E-2</v>
      </c>
      <c r="N37" t="s">
        <v>55</v>
      </c>
      <c r="O37">
        <v>5.5</v>
      </c>
      <c r="P37">
        <v>3.6</v>
      </c>
      <c r="Q37">
        <v>1.5</v>
      </c>
      <c r="R37">
        <v>1.8</v>
      </c>
      <c r="U37" t="s">
        <v>102</v>
      </c>
      <c r="V37">
        <v>2.2000000000000002</v>
      </c>
      <c r="W37">
        <v>2.6</v>
      </c>
      <c r="X37">
        <v>4.4000000000000004</v>
      </c>
      <c r="Y37">
        <v>0.2</v>
      </c>
      <c r="Z37">
        <v>2</v>
      </c>
      <c r="AC37" t="s">
        <v>20</v>
      </c>
      <c r="AD37">
        <v>5.5</v>
      </c>
      <c r="AE37">
        <v>8.1</v>
      </c>
      <c r="AF37">
        <v>4.5</v>
      </c>
      <c r="AG37">
        <v>5.3</v>
      </c>
      <c r="AJ37" t="s">
        <v>21</v>
      </c>
      <c r="AK37">
        <v>2.1</v>
      </c>
      <c r="AL37">
        <v>4.3</v>
      </c>
      <c r="AM37">
        <v>0.9</v>
      </c>
      <c r="AN37">
        <v>1.4</v>
      </c>
      <c r="AQ37" s="4"/>
      <c r="AR37" s="4"/>
      <c r="AS37" s="4"/>
      <c r="AT37" s="4"/>
      <c r="AY37" s="4"/>
    </row>
    <row r="38" spans="1:51" x14ac:dyDescent="0.2">
      <c r="A38" t="s">
        <v>19</v>
      </c>
      <c r="B38">
        <v>5.6</v>
      </c>
      <c r="C38">
        <v>7.8</v>
      </c>
      <c r="D38">
        <v>2.2000000000000002</v>
      </c>
      <c r="E38">
        <v>4</v>
      </c>
      <c r="H38" t="s">
        <v>69</v>
      </c>
      <c r="I38">
        <v>7</v>
      </c>
      <c r="J38">
        <v>7.6</v>
      </c>
      <c r="K38">
        <v>6.2</v>
      </c>
      <c r="N38" t="s">
        <v>62</v>
      </c>
      <c r="O38">
        <v>6.6</v>
      </c>
      <c r="P38">
        <v>15.1</v>
      </c>
      <c r="Q38">
        <v>9.5</v>
      </c>
      <c r="R38">
        <v>10.8</v>
      </c>
      <c r="U38" t="s">
        <v>34</v>
      </c>
      <c r="V38">
        <v>3.3</v>
      </c>
      <c r="W38">
        <v>4.4000000000000004</v>
      </c>
      <c r="X38">
        <v>4.3</v>
      </c>
      <c r="Y38">
        <v>1.7</v>
      </c>
      <c r="Z38">
        <v>2.8</v>
      </c>
      <c r="AC38" t="s">
        <v>115</v>
      </c>
      <c r="AD38">
        <v>2.1</v>
      </c>
      <c r="AE38">
        <v>3.3</v>
      </c>
      <c r="AF38">
        <v>0.5</v>
      </c>
      <c r="AG38">
        <v>1.3</v>
      </c>
      <c r="AJ38" t="s">
        <v>1</v>
      </c>
      <c r="AK38">
        <v>6.4</v>
      </c>
      <c r="AL38">
        <v>8.3000000000000007</v>
      </c>
      <c r="AM38">
        <v>7</v>
      </c>
      <c r="AN38">
        <v>5.8</v>
      </c>
      <c r="AS38" s="41" t="s">
        <v>213</v>
      </c>
      <c r="AT38" s="4"/>
      <c r="AY38" s="4"/>
    </row>
    <row r="39" spans="1:51" x14ac:dyDescent="0.2">
      <c r="A39" t="s">
        <v>35</v>
      </c>
      <c r="B39">
        <v>2.1</v>
      </c>
      <c r="C39">
        <v>2.4</v>
      </c>
      <c r="D39">
        <v>0.2</v>
      </c>
      <c r="E39">
        <v>1.6</v>
      </c>
      <c r="H39" t="s">
        <v>21</v>
      </c>
      <c r="I39">
        <v>4.3</v>
      </c>
      <c r="J39">
        <v>1</v>
      </c>
      <c r="K39">
        <v>1.8</v>
      </c>
      <c r="N39" t="s">
        <v>84</v>
      </c>
      <c r="O39">
        <v>6.5</v>
      </c>
      <c r="P39">
        <v>9</v>
      </c>
      <c r="Q39">
        <v>2.2999999999999998</v>
      </c>
      <c r="R39">
        <v>3.1</v>
      </c>
      <c r="U39" t="s">
        <v>101</v>
      </c>
      <c r="V39">
        <v>4.4000000000000004</v>
      </c>
      <c r="W39">
        <v>5.4</v>
      </c>
      <c r="X39">
        <v>7.8</v>
      </c>
      <c r="Y39">
        <v>3</v>
      </c>
      <c r="Z39">
        <v>5.2</v>
      </c>
      <c r="AC39" t="s">
        <v>116</v>
      </c>
      <c r="AD39">
        <v>2</v>
      </c>
      <c r="AE39">
        <v>4.3</v>
      </c>
      <c r="AF39">
        <v>0.9</v>
      </c>
      <c r="AG39">
        <v>2.7</v>
      </c>
      <c r="AJ39" t="s">
        <v>61</v>
      </c>
      <c r="AK39">
        <v>3.4</v>
      </c>
      <c r="AL39">
        <v>3.8</v>
      </c>
      <c r="AM39">
        <v>2.5</v>
      </c>
      <c r="AN39">
        <v>1.5</v>
      </c>
      <c r="AS39" s="40" t="s">
        <v>212</v>
      </c>
      <c r="AY39" s="4"/>
    </row>
    <row r="40" spans="1:51" ht="13.5" thickBot="1" x14ac:dyDescent="0.25">
      <c r="A40" t="s">
        <v>55</v>
      </c>
      <c r="B40">
        <v>2.8</v>
      </c>
      <c r="C40">
        <v>6.4</v>
      </c>
      <c r="D40">
        <v>1.5</v>
      </c>
      <c r="E40">
        <v>1.1000000000000001</v>
      </c>
      <c r="H40" t="s">
        <v>1</v>
      </c>
      <c r="I40">
        <v>8.1999999999999993</v>
      </c>
      <c r="J40">
        <v>2</v>
      </c>
      <c r="K40">
        <v>7.5</v>
      </c>
      <c r="N40" t="s">
        <v>85</v>
      </c>
      <c r="O40">
        <v>11.1</v>
      </c>
      <c r="P40">
        <v>12.3</v>
      </c>
      <c r="Q40">
        <v>-0.6</v>
      </c>
      <c r="R40">
        <v>1.8</v>
      </c>
      <c r="U40" t="s">
        <v>35</v>
      </c>
      <c r="V40">
        <v>2</v>
      </c>
      <c r="W40">
        <v>2.1</v>
      </c>
      <c r="X40">
        <v>2.4</v>
      </c>
      <c r="Y40">
        <v>0.5</v>
      </c>
      <c r="Z40">
        <v>1.5</v>
      </c>
      <c r="AC40" t="s">
        <v>1</v>
      </c>
      <c r="AD40">
        <v>6.4</v>
      </c>
      <c r="AE40">
        <v>8.3000000000000007</v>
      </c>
      <c r="AF40">
        <v>7</v>
      </c>
      <c r="AG40">
        <v>9.6</v>
      </c>
      <c r="AJ40" t="s">
        <v>44</v>
      </c>
      <c r="AK40">
        <v>2</v>
      </c>
      <c r="AL40">
        <v>3.5</v>
      </c>
      <c r="AM40">
        <v>1.1000000000000001</v>
      </c>
      <c r="AN40">
        <v>1.9</v>
      </c>
      <c r="AY40" s="4"/>
    </row>
    <row r="41" spans="1:51" x14ac:dyDescent="0.2">
      <c r="A41" t="s">
        <v>38</v>
      </c>
      <c r="B41">
        <v>1.7</v>
      </c>
      <c r="C41">
        <v>3.6</v>
      </c>
      <c r="D41">
        <v>1.2</v>
      </c>
      <c r="E41">
        <v>1.7</v>
      </c>
      <c r="H41" t="s">
        <v>6</v>
      </c>
      <c r="I41">
        <v>4.7</v>
      </c>
      <c r="J41">
        <v>3</v>
      </c>
      <c r="K41">
        <v>3.2</v>
      </c>
      <c r="N41" t="s">
        <v>21</v>
      </c>
      <c r="O41">
        <v>3.8</v>
      </c>
      <c r="P41">
        <v>2.1</v>
      </c>
      <c r="Q41">
        <v>0.4</v>
      </c>
      <c r="R41">
        <v>3.5</v>
      </c>
      <c r="U41" t="s">
        <v>55</v>
      </c>
      <c r="V41">
        <v>2.5</v>
      </c>
      <c r="W41">
        <v>2.9</v>
      </c>
      <c r="X41">
        <v>6.4</v>
      </c>
      <c r="Y41">
        <v>1.5</v>
      </c>
      <c r="Z41">
        <v>2.2999999999999998</v>
      </c>
      <c r="AC41" t="s">
        <v>17</v>
      </c>
      <c r="AD41">
        <v>0</v>
      </c>
      <c r="AE41">
        <v>1.5</v>
      </c>
      <c r="AF41">
        <v>-1.4</v>
      </c>
      <c r="AG41">
        <v>-1.1000000000000001</v>
      </c>
      <c r="AJ41" t="s">
        <v>17</v>
      </c>
      <c r="AK41">
        <v>0</v>
      </c>
      <c r="AL41">
        <v>1.5</v>
      </c>
      <c r="AM41">
        <v>-1.4</v>
      </c>
      <c r="AN41">
        <v>-1.1000000000000001</v>
      </c>
      <c r="AU41" s="53" t="s">
        <v>709</v>
      </c>
      <c r="AV41" s="54">
        <f>LINEST(BK4:BK27,BJ4:BJ27,TRUE,FALSE)</f>
        <v>0.79430763400157911</v>
      </c>
      <c r="AY41" s="4"/>
    </row>
    <row r="42" spans="1:51" ht="13.5" thickBot="1" x14ac:dyDescent="0.25">
      <c r="H42" t="s">
        <v>5</v>
      </c>
      <c r="I42">
        <v>6.5</v>
      </c>
      <c r="J42">
        <v>0.2</v>
      </c>
      <c r="K42">
        <v>1.9</v>
      </c>
      <c r="N42" t="s">
        <v>1</v>
      </c>
      <c r="O42">
        <v>7.8</v>
      </c>
      <c r="P42">
        <v>0.8</v>
      </c>
      <c r="Q42">
        <v>6.4</v>
      </c>
      <c r="R42">
        <v>6.4</v>
      </c>
      <c r="U42" t="s">
        <v>100</v>
      </c>
      <c r="V42">
        <v>2.4</v>
      </c>
      <c r="W42">
        <v>2.2000000000000002</v>
      </c>
      <c r="X42">
        <v>3.3</v>
      </c>
      <c r="Y42">
        <v>0.2</v>
      </c>
      <c r="Z42">
        <v>1.4</v>
      </c>
      <c r="AC42" t="s">
        <v>6</v>
      </c>
      <c r="AD42">
        <v>2.5</v>
      </c>
      <c r="AE42">
        <v>4.7</v>
      </c>
      <c r="AF42">
        <v>2.7</v>
      </c>
      <c r="AG42">
        <v>3.2</v>
      </c>
      <c r="AJ42" t="s">
        <v>59</v>
      </c>
      <c r="AK42">
        <v>2.4</v>
      </c>
      <c r="AL42">
        <v>3.9</v>
      </c>
      <c r="AM42">
        <v>1.8</v>
      </c>
      <c r="AN42">
        <v>2.4</v>
      </c>
      <c r="AU42" s="55" t="s">
        <v>315</v>
      </c>
      <c r="AV42" s="56">
        <f>INTERCEPT(BK4:BK27,BJ4:BJ27)</f>
        <v>7.0035178147864668E-2</v>
      </c>
      <c r="AY42" s="4"/>
    </row>
    <row r="43" spans="1:51" x14ac:dyDescent="0.2">
      <c r="A43" t="s">
        <v>40</v>
      </c>
      <c r="B43">
        <v>2.1</v>
      </c>
      <c r="C43">
        <v>3.3</v>
      </c>
      <c r="D43">
        <v>0.3</v>
      </c>
      <c r="E43">
        <v>1.2</v>
      </c>
      <c r="H43" t="s">
        <v>7</v>
      </c>
      <c r="I43">
        <v>3.5</v>
      </c>
      <c r="J43">
        <v>-0.7</v>
      </c>
      <c r="K43">
        <v>1</v>
      </c>
      <c r="N43" t="s">
        <v>6</v>
      </c>
      <c r="O43">
        <v>3.6</v>
      </c>
      <c r="P43">
        <v>4.0999999999999996</v>
      </c>
      <c r="Q43">
        <v>2.4</v>
      </c>
      <c r="R43">
        <v>3.4</v>
      </c>
      <c r="U43" t="s">
        <v>20</v>
      </c>
      <c r="V43">
        <v>4.5</v>
      </c>
      <c r="W43">
        <v>5</v>
      </c>
      <c r="X43">
        <v>7.4</v>
      </c>
      <c r="Y43">
        <v>3.6</v>
      </c>
      <c r="Z43">
        <v>5.4</v>
      </c>
      <c r="AC43" t="s">
        <v>73</v>
      </c>
      <c r="AD43">
        <v>4.8</v>
      </c>
      <c r="AE43">
        <v>7.9</v>
      </c>
      <c r="AF43">
        <v>5.9</v>
      </c>
      <c r="AG43">
        <v>4.0999999999999996</v>
      </c>
      <c r="AJ43" t="s">
        <v>130</v>
      </c>
      <c r="AK43">
        <v>2.8</v>
      </c>
      <c r="AL43">
        <v>3.7</v>
      </c>
      <c r="AM43">
        <v>-0.5</v>
      </c>
      <c r="AN43">
        <v>0.9</v>
      </c>
      <c r="AY43" s="4"/>
    </row>
    <row r="44" spans="1:51" x14ac:dyDescent="0.2">
      <c r="A44" t="s">
        <v>41</v>
      </c>
      <c r="B44">
        <v>1.6</v>
      </c>
      <c r="C44">
        <v>3.2</v>
      </c>
      <c r="D44">
        <v>-0.1</v>
      </c>
      <c r="E44">
        <v>0.8</v>
      </c>
      <c r="H44" t="s">
        <v>8</v>
      </c>
      <c r="I44">
        <v>5.5</v>
      </c>
      <c r="J44">
        <v>-1.9</v>
      </c>
      <c r="K44">
        <v>3.7</v>
      </c>
      <c r="N44" t="s">
        <v>5</v>
      </c>
      <c r="O44">
        <v>4.4000000000000004</v>
      </c>
      <c r="P44">
        <v>4.3</v>
      </c>
      <c r="Q44">
        <v>-0.8</v>
      </c>
      <c r="R44">
        <v>2.8</v>
      </c>
      <c r="U44" t="s">
        <v>106</v>
      </c>
      <c r="V44">
        <v>2.2000000000000002</v>
      </c>
      <c r="W44">
        <v>2.1</v>
      </c>
      <c r="X44">
        <v>3.3</v>
      </c>
      <c r="Y44">
        <v>0.4</v>
      </c>
      <c r="Z44">
        <v>1.4</v>
      </c>
      <c r="AC44" t="s">
        <v>5</v>
      </c>
      <c r="AD44">
        <v>2.1</v>
      </c>
      <c r="AE44">
        <v>6.5</v>
      </c>
      <c r="AF44">
        <v>-0.3</v>
      </c>
      <c r="AG44">
        <v>2.9</v>
      </c>
      <c r="AJ44" t="s">
        <v>63</v>
      </c>
      <c r="AK44">
        <v>0.7</v>
      </c>
      <c r="AL44">
        <v>3.8</v>
      </c>
      <c r="AM44">
        <v>2</v>
      </c>
      <c r="AN44">
        <v>1.6</v>
      </c>
      <c r="AY44" s="4"/>
    </row>
    <row r="45" spans="1:51" x14ac:dyDescent="0.2">
      <c r="A45" t="s">
        <v>42</v>
      </c>
      <c r="B45">
        <v>2.2999999999999998</v>
      </c>
      <c r="C45">
        <v>2.8</v>
      </c>
      <c r="D45">
        <v>0.3</v>
      </c>
      <c r="E45">
        <v>1</v>
      </c>
      <c r="H45" t="s">
        <v>55</v>
      </c>
      <c r="I45">
        <v>6.3</v>
      </c>
      <c r="J45">
        <v>1.4</v>
      </c>
      <c r="K45">
        <v>1.9</v>
      </c>
      <c r="N45" t="s">
        <v>7</v>
      </c>
      <c r="O45">
        <v>3.3</v>
      </c>
      <c r="P45">
        <v>1.3</v>
      </c>
      <c r="Q45">
        <v>-0.9</v>
      </c>
      <c r="R45">
        <v>1.9</v>
      </c>
      <c r="U45" t="s">
        <v>105</v>
      </c>
      <c r="V45">
        <v>3.2</v>
      </c>
      <c r="W45">
        <v>3.2</v>
      </c>
      <c r="X45">
        <v>4.9000000000000004</v>
      </c>
      <c r="Y45">
        <v>2.2000000000000002</v>
      </c>
      <c r="Z45">
        <v>2.5</v>
      </c>
      <c r="AC45" t="s">
        <v>7</v>
      </c>
      <c r="AD45">
        <v>1.8</v>
      </c>
      <c r="AE45">
        <v>3.5</v>
      </c>
      <c r="AF45">
        <v>-0.7</v>
      </c>
      <c r="AG45">
        <v>1.4</v>
      </c>
      <c r="AJ45" t="s">
        <v>132</v>
      </c>
      <c r="AK45">
        <v>2</v>
      </c>
      <c r="AL45">
        <v>3.4</v>
      </c>
      <c r="AM45">
        <v>1.4</v>
      </c>
      <c r="AN45">
        <v>1.8</v>
      </c>
      <c r="AY45" s="4"/>
    </row>
    <row r="46" spans="1:51" x14ac:dyDescent="0.2">
      <c r="A46" t="s">
        <v>21</v>
      </c>
      <c r="B46">
        <v>2</v>
      </c>
      <c r="C46">
        <v>4.3</v>
      </c>
      <c r="D46">
        <v>0.6</v>
      </c>
      <c r="E46">
        <v>3.4</v>
      </c>
      <c r="H46" t="s">
        <v>73</v>
      </c>
      <c r="I46">
        <v>7.8</v>
      </c>
      <c r="J46">
        <v>6</v>
      </c>
      <c r="K46">
        <v>4.9000000000000004</v>
      </c>
      <c r="N46" t="s">
        <v>8</v>
      </c>
      <c r="O46">
        <v>3.2</v>
      </c>
      <c r="P46">
        <v>0.4</v>
      </c>
      <c r="Q46">
        <v>3.7</v>
      </c>
      <c r="R46">
        <v>3.2</v>
      </c>
      <c r="U46" t="s">
        <v>99</v>
      </c>
      <c r="V46">
        <v>3</v>
      </c>
      <c r="W46">
        <v>3</v>
      </c>
      <c r="X46">
        <v>4.4000000000000004</v>
      </c>
      <c r="Y46">
        <v>1.1000000000000001</v>
      </c>
      <c r="Z46">
        <v>2.6</v>
      </c>
      <c r="AC46" t="s">
        <v>8</v>
      </c>
      <c r="AD46">
        <v>2.2000000000000002</v>
      </c>
      <c r="AE46">
        <v>5.5</v>
      </c>
      <c r="AF46">
        <v>-1.4</v>
      </c>
      <c r="AG46">
        <v>2.9</v>
      </c>
      <c r="AJ46" t="s">
        <v>84</v>
      </c>
      <c r="AK46">
        <v>4.0999999999999996</v>
      </c>
      <c r="AL46">
        <v>9.9</v>
      </c>
      <c r="AM46">
        <v>5.4</v>
      </c>
      <c r="AN46">
        <v>4</v>
      </c>
    </row>
    <row r="47" spans="1:51" x14ac:dyDescent="0.2">
      <c r="A47" t="s">
        <v>1</v>
      </c>
      <c r="B47">
        <v>4.5999999999999996</v>
      </c>
      <c r="C47">
        <v>8.3000000000000007</v>
      </c>
      <c r="D47">
        <v>1.5</v>
      </c>
      <c r="E47">
        <v>5</v>
      </c>
      <c r="H47" t="s">
        <v>74</v>
      </c>
      <c r="I47">
        <v>4.5999999999999996</v>
      </c>
      <c r="J47">
        <v>2.4</v>
      </c>
      <c r="K47">
        <v>1.6</v>
      </c>
      <c r="U47" t="s">
        <v>21</v>
      </c>
      <c r="V47">
        <v>2</v>
      </c>
      <c r="W47">
        <v>2</v>
      </c>
      <c r="X47">
        <v>4.3</v>
      </c>
      <c r="Y47">
        <v>0.8</v>
      </c>
      <c r="Z47">
        <v>2</v>
      </c>
      <c r="AC47" t="s">
        <v>114</v>
      </c>
      <c r="AD47">
        <v>2.9</v>
      </c>
      <c r="AE47">
        <v>3.8</v>
      </c>
      <c r="AF47">
        <v>-0.6</v>
      </c>
      <c r="AG47">
        <v>1.7</v>
      </c>
      <c r="AJ47" t="s">
        <v>5</v>
      </c>
      <c r="AK47">
        <v>2.1</v>
      </c>
      <c r="AL47">
        <v>6.5</v>
      </c>
      <c r="AM47">
        <v>-0.3</v>
      </c>
      <c r="AN47">
        <v>2.2999999999999998</v>
      </c>
    </row>
    <row r="48" spans="1:51" x14ac:dyDescent="0.2">
      <c r="A48" t="s">
        <v>61</v>
      </c>
      <c r="B48">
        <v>0.5</v>
      </c>
      <c r="C48">
        <v>4.5</v>
      </c>
      <c r="D48">
        <v>3.2</v>
      </c>
      <c r="E48">
        <v>2.2999999999999998</v>
      </c>
      <c r="H48" t="s">
        <v>61</v>
      </c>
      <c r="I48">
        <v>4.5999999999999996</v>
      </c>
      <c r="J48">
        <v>2.6</v>
      </c>
      <c r="K48">
        <v>3.6</v>
      </c>
      <c r="U48" t="s">
        <v>103</v>
      </c>
      <c r="V48">
        <v>6.8</v>
      </c>
      <c r="W48">
        <v>4.7</v>
      </c>
      <c r="X48">
        <v>8.4</v>
      </c>
      <c r="Y48">
        <v>1.5</v>
      </c>
      <c r="Z48">
        <v>7.2</v>
      </c>
      <c r="AJ48" t="s">
        <v>22</v>
      </c>
      <c r="AK48">
        <v>2.5</v>
      </c>
      <c r="AL48">
        <v>4.7</v>
      </c>
      <c r="AM48">
        <v>2.7</v>
      </c>
      <c r="AN48">
        <v>3.2</v>
      </c>
    </row>
    <row r="49" spans="1:40" x14ac:dyDescent="0.2">
      <c r="A49" t="s">
        <v>44</v>
      </c>
      <c r="B49">
        <v>2</v>
      </c>
      <c r="C49">
        <v>3.5</v>
      </c>
      <c r="D49">
        <v>0.7</v>
      </c>
      <c r="E49">
        <v>1.2</v>
      </c>
      <c r="H49" t="s">
        <v>62</v>
      </c>
      <c r="I49">
        <v>11.6</v>
      </c>
      <c r="J49">
        <v>11.7</v>
      </c>
      <c r="K49">
        <v>8.8000000000000007</v>
      </c>
      <c r="U49" t="s">
        <v>17</v>
      </c>
      <c r="V49">
        <v>0.1</v>
      </c>
      <c r="W49">
        <v>0</v>
      </c>
      <c r="X49">
        <v>1.5</v>
      </c>
      <c r="Y49">
        <v>-1.3</v>
      </c>
      <c r="Z49">
        <v>-1.3</v>
      </c>
      <c r="AJ49" t="s">
        <v>49</v>
      </c>
      <c r="AK49">
        <v>2.8</v>
      </c>
      <c r="AL49">
        <v>4.0999999999999996</v>
      </c>
      <c r="AM49">
        <v>-0.6</v>
      </c>
      <c r="AN49">
        <v>1.3</v>
      </c>
    </row>
    <row r="50" spans="1:40" x14ac:dyDescent="0.2">
      <c r="A50" t="s">
        <v>17</v>
      </c>
      <c r="B50">
        <v>0.1</v>
      </c>
      <c r="C50">
        <v>1.4</v>
      </c>
      <c r="D50">
        <v>-1.5</v>
      </c>
      <c r="E50">
        <v>-1.2</v>
      </c>
      <c r="U50" t="s">
        <v>6</v>
      </c>
      <c r="V50">
        <v>2.2000000000000002</v>
      </c>
      <c r="W50">
        <v>2.5</v>
      </c>
      <c r="X50">
        <v>4.7</v>
      </c>
      <c r="Y50">
        <v>2.7</v>
      </c>
      <c r="Z50">
        <v>1.7</v>
      </c>
      <c r="AJ50" t="s">
        <v>50</v>
      </c>
      <c r="AK50">
        <v>2.2000000000000002</v>
      </c>
      <c r="AL50">
        <v>3.5</v>
      </c>
      <c r="AM50">
        <v>-0.1</v>
      </c>
      <c r="AN50">
        <v>1.1000000000000001</v>
      </c>
    </row>
    <row r="51" spans="1:40" x14ac:dyDescent="0.2">
      <c r="A51" t="s">
        <v>46</v>
      </c>
      <c r="B51">
        <v>1.6</v>
      </c>
      <c r="C51">
        <v>2.2000000000000002</v>
      </c>
      <c r="D51">
        <v>0.4</v>
      </c>
      <c r="E51">
        <v>0.9</v>
      </c>
      <c r="U51" t="s">
        <v>5</v>
      </c>
      <c r="V51">
        <v>1</v>
      </c>
      <c r="W51">
        <v>2.1</v>
      </c>
      <c r="X51">
        <v>6.5</v>
      </c>
      <c r="Y51">
        <v>-0.3</v>
      </c>
      <c r="Z51">
        <v>2.9</v>
      </c>
      <c r="AJ51" t="s">
        <v>51</v>
      </c>
      <c r="AK51">
        <v>0.7</v>
      </c>
      <c r="AL51">
        <v>2.4</v>
      </c>
      <c r="AM51">
        <v>-0.6</v>
      </c>
      <c r="AN51">
        <v>0.6</v>
      </c>
    </row>
    <row r="52" spans="1:40" x14ac:dyDescent="0.2">
      <c r="A52" t="s">
        <v>59</v>
      </c>
      <c r="B52">
        <v>3.2</v>
      </c>
      <c r="C52">
        <v>3.4</v>
      </c>
      <c r="D52">
        <v>2.1</v>
      </c>
      <c r="E52">
        <v>0.9</v>
      </c>
      <c r="U52" t="s">
        <v>7</v>
      </c>
      <c r="V52">
        <v>0.6</v>
      </c>
      <c r="W52">
        <v>1.8</v>
      </c>
      <c r="X52">
        <v>3.5</v>
      </c>
      <c r="Y52">
        <v>-1.3</v>
      </c>
      <c r="Z52">
        <v>1.3</v>
      </c>
      <c r="AJ52" t="s">
        <v>7</v>
      </c>
      <c r="AK52">
        <v>1.8</v>
      </c>
      <c r="AL52">
        <v>3.5</v>
      </c>
      <c r="AM52">
        <v>-0.7</v>
      </c>
      <c r="AN52">
        <v>1.2</v>
      </c>
    </row>
    <row r="53" spans="1:40" x14ac:dyDescent="0.2">
      <c r="A53" t="s">
        <v>62</v>
      </c>
      <c r="B53">
        <v>6.6</v>
      </c>
      <c r="C53">
        <v>15</v>
      </c>
      <c r="D53">
        <v>8</v>
      </c>
      <c r="E53">
        <v>8.5</v>
      </c>
      <c r="U53" t="s">
        <v>8</v>
      </c>
      <c r="V53">
        <v>4.5999999999999996</v>
      </c>
      <c r="W53">
        <v>2.2000000000000002</v>
      </c>
      <c r="X53">
        <v>5.5</v>
      </c>
      <c r="Y53">
        <v>-1</v>
      </c>
      <c r="Z53">
        <v>4</v>
      </c>
      <c r="AJ53" t="s">
        <v>8</v>
      </c>
      <c r="AK53">
        <v>2.2000000000000002</v>
      </c>
      <c r="AL53">
        <v>5.5</v>
      </c>
      <c r="AM53">
        <v>-1.4</v>
      </c>
      <c r="AN53">
        <v>2.7</v>
      </c>
    </row>
    <row r="54" spans="1:40" x14ac:dyDescent="0.2">
      <c r="A54" t="s">
        <v>63</v>
      </c>
      <c r="B54">
        <v>0.7</v>
      </c>
      <c r="C54">
        <v>3.7</v>
      </c>
      <c r="D54">
        <v>1.8</v>
      </c>
      <c r="E54">
        <v>1.6</v>
      </c>
      <c r="U54" t="s">
        <v>107</v>
      </c>
      <c r="V54">
        <v>2.2999999999999998</v>
      </c>
      <c r="W54">
        <v>2.2999999999999998</v>
      </c>
      <c r="X54">
        <v>3.6</v>
      </c>
      <c r="Y54">
        <v>2.1</v>
      </c>
      <c r="Z54">
        <v>2.9</v>
      </c>
      <c r="AJ54" t="s">
        <v>126</v>
      </c>
      <c r="AK54">
        <v>11.1</v>
      </c>
      <c r="AL54">
        <v>13.5</v>
      </c>
      <c r="AM54">
        <v>4.5</v>
      </c>
      <c r="AN54">
        <v>4</v>
      </c>
    </row>
    <row r="55" spans="1:40" x14ac:dyDescent="0.2">
      <c r="A55" t="s">
        <v>5</v>
      </c>
      <c r="B55">
        <v>2.1</v>
      </c>
      <c r="C55">
        <v>6.5</v>
      </c>
      <c r="D55">
        <v>0.5</v>
      </c>
      <c r="E55">
        <v>2</v>
      </c>
      <c r="U55" t="s">
        <v>104</v>
      </c>
      <c r="V55">
        <v>3.2</v>
      </c>
      <c r="W55">
        <v>2.9</v>
      </c>
      <c r="X55">
        <v>3.8</v>
      </c>
      <c r="Y55">
        <v>-0.3</v>
      </c>
      <c r="Z55">
        <v>2</v>
      </c>
      <c r="AJ55" t="s">
        <v>52</v>
      </c>
      <c r="AK55">
        <v>2.2999999999999998</v>
      </c>
      <c r="AL55">
        <v>3.6</v>
      </c>
      <c r="AM55">
        <v>1.8</v>
      </c>
      <c r="AN55">
        <v>2.1</v>
      </c>
    </row>
    <row r="56" spans="1:40" x14ac:dyDescent="0.2">
      <c r="A56" t="s">
        <v>22</v>
      </c>
      <c r="B56">
        <v>2.5</v>
      </c>
      <c r="C56">
        <v>4.7</v>
      </c>
      <c r="D56">
        <v>2.6</v>
      </c>
      <c r="E56">
        <v>3.2</v>
      </c>
      <c r="AJ56" t="s">
        <v>114</v>
      </c>
      <c r="AK56">
        <v>2.9</v>
      </c>
      <c r="AL56">
        <v>3.8</v>
      </c>
      <c r="AM56">
        <v>-0.6</v>
      </c>
      <c r="AN56">
        <v>0.8</v>
      </c>
    </row>
    <row r="57" spans="1:40" x14ac:dyDescent="0.2">
      <c r="A57" t="s">
        <v>49</v>
      </c>
      <c r="B57">
        <v>2.8</v>
      </c>
      <c r="C57">
        <v>4.0999999999999996</v>
      </c>
      <c r="D57">
        <v>-0.4</v>
      </c>
      <c r="E57">
        <v>1.7</v>
      </c>
      <c r="AJ57" t="s">
        <v>131</v>
      </c>
      <c r="AK57">
        <v>2.1</v>
      </c>
      <c r="AL57">
        <v>3.3</v>
      </c>
      <c r="AM57">
        <v>0.7</v>
      </c>
      <c r="AN57">
        <v>1.4</v>
      </c>
    </row>
    <row r="58" spans="1:40" x14ac:dyDescent="0.2">
      <c r="A58" t="s">
        <v>50</v>
      </c>
      <c r="B58">
        <v>2.2000000000000002</v>
      </c>
      <c r="C58">
        <v>3.4</v>
      </c>
      <c r="D58">
        <v>-0.3</v>
      </c>
      <c r="E58">
        <v>1.4</v>
      </c>
      <c r="AJ58" t="s">
        <v>128</v>
      </c>
      <c r="AK58">
        <v>2.8</v>
      </c>
      <c r="AL58">
        <v>4.3</v>
      </c>
      <c r="AM58">
        <v>0.9</v>
      </c>
      <c r="AN58">
        <v>1.8</v>
      </c>
    </row>
    <row r="59" spans="1:40" x14ac:dyDescent="0.2">
      <c r="A59" t="s">
        <v>51</v>
      </c>
      <c r="B59">
        <v>0.7</v>
      </c>
      <c r="C59">
        <v>2.4</v>
      </c>
      <c r="D59">
        <v>0</v>
      </c>
      <c r="E59">
        <v>0.8</v>
      </c>
      <c r="AJ59" t="s">
        <v>129</v>
      </c>
      <c r="AK59">
        <v>3.7</v>
      </c>
      <c r="AL59">
        <v>5.4</v>
      </c>
      <c r="AM59">
        <v>1.6</v>
      </c>
      <c r="AN59">
        <v>2.4</v>
      </c>
    </row>
    <row r="60" spans="1:40" x14ac:dyDescent="0.2">
      <c r="A60" t="s">
        <v>7</v>
      </c>
      <c r="B60">
        <v>1.8</v>
      </c>
      <c r="C60">
        <v>3.5</v>
      </c>
      <c r="D60">
        <v>-1</v>
      </c>
      <c r="E60">
        <v>0.5</v>
      </c>
    </row>
    <row r="61" spans="1:40" x14ac:dyDescent="0.2">
      <c r="A61" t="s">
        <v>8</v>
      </c>
      <c r="B61">
        <v>2.2000000000000002</v>
      </c>
      <c r="C61">
        <v>5.5</v>
      </c>
      <c r="D61">
        <v>0.1</v>
      </c>
      <c r="E61">
        <v>2.2999999999999998</v>
      </c>
    </row>
    <row r="62" spans="1:40" x14ac:dyDescent="0.2">
      <c r="A62" t="s">
        <v>52</v>
      </c>
      <c r="B62">
        <v>2.2999999999999998</v>
      </c>
      <c r="C62">
        <v>3.6</v>
      </c>
      <c r="D62">
        <v>2</v>
      </c>
      <c r="E62">
        <v>2.6</v>
      </c>
    </row>
    <row r="63" spans="1:40" x14ac:dyDescent="0.2">
      <c r="A63" t="s">
        <v>53</v>
      </c>
      <c r="B63">
        <v>2.9</v>
      </c>
      <c r="C63">
        <v>3.8</v>
      </c>
      <c r="D63">
        <v>-0.7</v>
      </c>
      <c r="E63">
        <v>2</v>
      </c>
    </row>
    <row r="64" spans="1:40" x14ac:dyDescent="0.2">
      <c r="A64" t="s">
        <v>54</v>
      </c>
      <c r="B64">
        <v>3.6</v>
      </c>
      <c r="C64">
        <v>5.5</v>
      </c>
      <c r="D64">
        <v>1.4</v>
      </c>
      <c r="E64">
        <v>2.7</v>
      </c>
    </row>
  </sheetData>
  <phoneticPr fontId="3" type="noConversion"/>
  <hyperlinks>
    <hyperlink ref="AS39" r:id="rId1"/>
    <hyperlink ref="AS38" r:id="rId2"/>
  </hyperlinks>
  <pageMargins left="0.75" right="0.75" top="1" bottom="1" header="0.5" footer="0.5"/>
  <pageSetup scale="18" orientation="landscape" r:id="rId3"/>
  <headerFooter alignWithMargins="0"/>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pageSetUpPr fitToPage="1"/>
  </sheetPr>
  <dimension ref="A1:BO63"/>
  <sheetViews>
    <sheetView topLeftCell="AW1" workbookViewId="0">
      <selection activeCell="BM37" sqref="BM37"/>
    </sheetView>
  </sheetViews>
  <sheetFormatPr defaultRowHeight="12.75" x14ac:dyDescent="0.2"/>
  <cols>
    <col min="1" max="1" width="15.7109375" customWidth="1"/>
    <col min="2" max="5" width="6.7109375" customWidth="1"/>
    <col min="7" max="7" width="14.140625" customWidth="1"/>
    <col min="8" max="10" width="7.5703125" customWidth="1"/>
    <col min="11" max="11" width="8.140625" customWidth="1"/>
    <col min="12" max="12" width="14.140625" customWidth="1"/>
    <col min="13" max="13" width="10.85546875" customWidth="1"/>
    <col min="14" max="15" width="10.28515625" bestFit="1" customWidth="1"/>
    <col min="16" max="16" width="10.28515625" customWidth="1"/>
    <col min="17" max="17" width="13.7109375" customWidth="1"/>
    <col min="18" max="19" width="7.28515625" customWidth="1"/>
    <col min="20" max="20" width="8.28515625" customWidth="1"/>
    <col min="21" max="22" width="7.28515625" customWidth="1"/>
    <col min="23" max="23" width="5.7109375" customWidth="1"/>
    <col min="24" max="24" width="16.42578125" customWidth="1"/>
    <col min="25" max="27" width="8.140625" customWidth="1"/>
    <col min="29" max="29" width="12.85546875" customWidth="1"/>
    <col min="30" max="33" width="8" customWidth="1"/>
    <col min="35" max="35" width="19.140625" customWidth="1"/>
    <col min="40" max="41" width="5.85546875" customWidth="1"/>
    <col min="42" max="42" width="14.140625" customWidth="1"/>
    <col min="43" max="45" width="7" customWidth="1"/>
    <col min="51" max="51" width="11.85546875" customWidth="1"/>
    <col min="65" max="65" width="23.7109375" customWidth="1"/>
    <col min="66" max="66" width="29.140625" customWidth="1"/>
    <col min="67" max="67" width="19.85546875" customWidth="1"/>
  </cols>
  <sheetData>
    <row r="1" spans="1:67" x14ac:dyDescent="0.2">
      <c r="G1" s="1"/>
      <c r="K1" s="1"/>
      <c r="M1" s="1"/>
      <c r="R1" s="1"/>
      <c r="S1" s="1"/>
    </row>
    <row r="2" spans="1:67" x14ac:dyDescent="0.2">
      <c r="A2" s="5" t="s">
        <v>27</v>
      </c>
      <c r="G2" s="5" t="s">
        <v>78</v>
      </c>
      <c r="M2" s="1" t="s">
        <v>88</v>
      </c>
      <c r="R2" s="5" t="s">
        <v>89</v>
      </c>
      <c r="S2" s="5"/>
      <c r="T2" s="3"/>
      <c r="Y2" s="5" t="s">
        <v>109</v>
      </c>
      <c r="Z2" s="3"/>
      <c r="AD2" s="5" t="s">
        <v>117</v>
      </c>
      <c r="AE2" s="3"/>
      <c r="AJ2" s="1" t="s">
        <v>134</v>
      </c>
      <c r="AQ2" s="5" t="s">
        <v>151</v>
      </c>
      <c r="AR2" s="3"/>
      <c r="AU2" s="10" t="s">
        <v>155</v>
      </c>
      <c r="AV2" s="11"/>
    </row>
    <row r="3" spans="1:67" x14ac:dyDescent="0.2">
      <c r="B3">
        <v>2007</v>
      </c>
      <c r="C3">
        <v>2008</v>
      </c>
      <c r="D3">
        <v>2009</v>
      </c>
      <c r="E3" s="5">
        <v>2010</v>
      </c>
      <c r="H3">
        <v>2008</v>
      </c>
      <c r="I3">
        <v>2009</v>
      </c>
      <c r="J3" s="5">
        <v>2010</v>
      </c>
      <c r="M3">
        <v>2008</v>
      </c>
      <c r="N3">
        <v>2009</v>
      </c>
      <c r="O3">
        <v>2010</v>
      </c>
      <c r="R3">
        <v>2006</v>
      </c>
      <c r="S3">
        <v>2007</v>
      </c>
      <c r="T3">
        <v>2008</v>
      </c>
      <c r="U3">
        <v>2009</v>
      </c>
      <c r="V3" s="5">
        <v>2010</v>
      </c>
      <c r="Y3">
        <v>2008</v>
      </c>
      <c r="Z3">
        <v>2009</v>
      </c>
      <c r="AA3" s="5">
        <v>2010</v>
      </c>
      <c r="AD3" s="8">
        <v>2007</v>
      </c>
      <c r="AE3" s="8">
        <v>2008</v>
      </c>
      <c r="AF3" s="8" t="s">
        <v>112</v>
      </c>
      <c r="AG3" s="9" t="s">
        <v>113</v>
      </c>
      <c r="AJ3">
        <v>2007</v>
      </c>
      <c r="AK3">
        <v>2008</v>
      </c>
      <c r="AL3">
        <v>2009</v>
      </c>
      <c r="AM3">
        <v>2010</v>
      </c>
      <c r="AQ3">
        <v>2008</v>
      </c>
      <c r="AR3">
        <v>2009</v>
      </c>
      <c r="AS3" s="5">
        <v>2010</v>
      </c>
      <c r="AU3">
        <v>2008</v>
      </c>
      <c r="AV3">
        <v>2009</v>
      </c>
      <c r="AW3" s="10">
        <v>2010</v>
      </c>
      <c r="AX3" s="10">
        <v>2011</v>
      </c>
      <c r="AZ3" s="6" t="s">
        <v>329</v>
      </c>
      <c r="BC3" t="str">
        <f>Inflation!$AY$3</f>
        <v>Stripped Spread Z stat</v>
      </c>
      <c r="BM3" s="62" t="s">
        <v>318</v>
      </c>
      <c r="BN3" s="62" t="s">
        <v>319</v>
      </c>
      <c r="BO3" s="59" t="str">
        <f>Inflation!$AY$3</f>
        <v>Stripped Spread Z stat</v>
      </c>
    </row>
    <row r="4" spans="1:67" x14ac:dyDescent="0.2">
      <c r="A4" t="s">
        <v>10</v>
      </c>
      <c r="B4">
        <v>8.6999999999999993</v>
      </c>
      <c r="C4">
        <v>6.8</v>
      </c>
      <c r="D4">
        <v>0.1</v>
      </c>
      <c r="E4">
        <v>4</v>
      </c>
      <c r="G4" t="s">
        <v>10</v>
      </c>
      <c r="H4">
        <v>6.8</v>
      </c>
      <c r="I4">
        <v>-3.3</v>
      </c>
      <c r="J4">
        <v>3.1</v>
      </c>
      <c r="L4" t="s">
        <v>10</v>
      </c>
      <c r="M4">
        <v>326.5</v>
      </c>
      <c r="N4">
        <v>299</v>
      </c>
      <c r="O4">
        <v>309</v>
      </c>
      <c r="Q4" t="s">
        <v>10</v>
      </c>
      <c r="R4">
        <v>8.5</v>
      </c>
      <c r="S4">
        <v>8.6999999999999993</v>
      </c>
      <c r="T4">
        <v>6.8</v>
      </c>
      <c r="U4">
        <v>-2.5</v>
      </c>
      <c r="V4">
        <v>4</v>
      </c>
      <c r="X4" t="s">
        <v>10</v>
      </c>
      <c r="Y4">
        <v>5.8</v>
      </c>
      <c r="Z4">
        <v>-2.6</v>
      </c>
      <c r="AA4">
        <v>4.2</v>
      </c>
      <c r="AC4" t="s">
        <v>10</v>
      </c>
      <c r="AD4">
        <v>8.6999999999999993</v>
      </c>
      <c r="AE4">
        <v>5.5</v>
      </c>
      <c r="AF4">
        <v>-3</v>
      </c>
      <c r="AG4">
        <v>3.5</v>
      </c>
      <c r="AI4" t="s">
        <v>10</v>
      </c>
      <c r="AJ4">
        <v>8.6999999999999993</v>
      </c>
      <c r="AK4">
        <v>5.5</v>
      </c>
      <c r="AL4">
        <v>-2.2000000000000002</v>
      </c>
      <c r="AM4">
        <v>2.9</v>
      </c>
      <c r="AN4" t="s">
        <v>141</v>
      </c>
      <c r="AP4" t="s">
        <v>10</v>
      </c>
      <c r="AQ4">
        <v>6.5</v>
      </c>
      <c r="AR4">
        <v>-4</v>
      </c>
      <c r="AS4">
        <v>4.5</v>
      </c>
      <c r="AU4" s="35">
        <v>6.7729999999999997</v>
      </c>
      <c r="AV4" s="35">
        <v>0.84250000000000003</v>
      </c>
      <c r="AW4" s="35">
        <v>9.1609999999999996</v>
      </c>
      <c r="AX4" s="4">
        <v>6.0019999999999998</v>
      </c>
      <c r="AY4" t="str">
        <f>A4</f>
        <v>Argentina</v>
      </c>
      <c r="AZ4" s="4">
        <f>(AX4-AX$34)/AX$35</f>
        <v>0.55403526879276965</v>
      </c>
      <c r="BB4" t="s">
        <v>10</v>
      </c>
      <c r="BC4" s="4">
        <f>VLOOKUP(BB4,'Stripped Spread'!C18:E60,3,FALSE)</f>
        <v>1.4255405250063531</v>
      </c>
      <c r="BM4" s="59" t="s">
        <v>10</v>
      </c>
      <c r="BN4" s="60">
        <f>VLOOKUP(BM4,$AY$4:$AZ$28,2,FALSE)</f>
        <v>0.55403526879276965</v>
      </c>
      <c r="BO4" s="60">
        <f>VLOOKUP(BM4,$BB$4:$BC$28,2,FALSE)</f>
        <v>1.4255405250063531</v>
      </c>
    </row>
    <row r="5" spans="1:67" x14ac:dyDescent="0.2">
      <c r="A5" t="s">
        <v>9</v>
      </c>
      <c r="B5">
        <v>5.7</v>
      </c>
      <c r="C5">
        <v>5.0999999999999996</v>
      </c>
      <c r="D5">
        <v>-0.2</v>
      </c>
      <c r="E5">
        <v>5.8</v>
      </c>
      <c r="G5" t="s">
        <v>9</v>
      </c>
      <c r="H5">
        <v>5.0999999999999996</v>
      </c>
      <c r="I5">
        <v>-0.3</v>
      </c>
      <c r="J5">
        <v>5.9</v>
      </c>
      <c r="L5" t="s">
        <v>9</v>
      </c>
      <c r="M5">
        <v>1579</v>
      </c>
      <c r="N5">
        <v>1465</v>
      </c>
      <c r="O5">
        <v>1755</v>
      </c>
      <c r="Q5" t="s">
        <v>9</v>
      </c>
      <c r="R5">
        <v>4</v>
      </c>
      <c r="S5">
        <v>5.7</v>
      </c>
      <c r="T5">
        <v>5.0999999999999996</v>
      </c>
      <c r="U5">
        <v>-1</v>
      </c>
      <c r="V5">
        <v>6.5</v>
      </c>
      <c r="X5" t="s">
        <v>9</v>
      </c>
      <c r="Y5">
        <v>5.0999999999999996</v>
      </c>
      <c r="Z5">
        <v>-1.4</v>
      </c>
      <c r="AA5">
        <v>5.7</v>
      </c>
      <c r="AC5" t="s">
        <v>9</v>
      </c>
      <c r="AD5">
        <v>5.7</v>
      </c>
      <c r="AE5">
        <v>5.0999999999999996</v>
      </c>
      <c r="AF5">
        <v>-0.3</v>
      </c>
      <c r="AG5">
        <v>5.6</v>
      </c>
      <c r="AI5" t="s">
        <v>9</v>
      </c>
      <c r="AJ5">
        <v>5.7</v>
      </c>
      <c r="AK5">
        <v>5.0999999999999996</v>
      </c>
      <c r="AL5">
        <v>-0.3</v>
      </c>
      <c r="AM5">
        <v>4.0999999999999996</v>
      </c>
      <c r="AN5" t="s">
        <v>141</v>
      </c>
      <c r="AP5" t="s">
        <v>9</v>
      </c>
      <c r="AQ5">
        <v>5.0999999999999996</v>
      </c>
      <c r="AR5">
        <v>-0.2</v>
      </c>
      <c r="AS5">
        <v>6.2</v>
      </c>
      <c r="AU5" s="35">
        <v>5.1630000000000003</v>
      </c>
      <c r="AV5" s="35">
        <v>-0.64500000000000002</v>
      </c>
      <c r="AW5" s="35">
        <v>7.49</v>
      </c>
      <c r="AX5" s="4">
        <v>4.4610000000000003</v>
      </c>
      <c r="AY5" t="str">
        <f t="shared" ref="AY5:AY28" si="0">A5</f>
        <v>Brazil</v>
      </c>
      <c r="AZ5" s="4">
        <f t="shared" ref="AZ5:AZ28" si="1">(AX5-AX$34)/AX$35</f>
        <v>-0.25522382998415805</v>
      </c>
      <c r="BB5" t="s">
        <v>9</v>
      </c>
      <c r="BC5" s="4">
        <f>VLOOKUP(BB5,'Stripped Spread'!C19:E61,3,FALSE)</f>
        <v>-0.49043451301485325</v>
      </c>
      <c r="BM5" s="59" t="s">
        <v>9</v>
      </c>
      <c r="BN5" s="60">
        <f t="shared" ref="BN5:BN27" si="2">VLOOKUP(BM5,$AY$4:$AZ$28,2,FALSE)</f>
        <v>-0.25522382998415805</v>
      </c>
      <c r="BO5" s="60">
        <f t="shared" ref="BO5:BO27" si="3">VLOOKUP(BM5,$BB$4:$BC$28,2,FALSE)</f>
        <v>-0.49043451301485325</v>
      </c>
    </row>
    <row r="6" spans="1:67" x14ac:dyDescent="0.2">
      <c r="A6" t="s">
        <v>36</v>
      </c>
      <c r="B6">
        <v>4.7</v>
      </c>
      <c r="C6">
        <v>3.2</v>
      </c>
      <c r="D6">
        <v>-1.4</v>
      </c>
      <c r="E6">
        <v>5.2</v>
      </c>
      <c r="G6" t="s">
        <v>36</v>
      </c>
      <c r="H6">
        <v>3.2</v>
      </c>
      <c r="I6">
        <v>-1.7</v>
      </c>
      <c r="J6">
        <v>5.0999999999999996</v>
      </c>
      <c r="L6" t="s">
        <v>36</v>
      </c>
      <c r="M6">
        <v>169.1</v>
      </c>
      <c r="N6">
        <v>155.1</v>
      </c>
      <c r="O6">
        <v>159</v>
      </c>
      <c r="Q6" t="s">
        <v>36</v>
      </c>
      <c r="R6">
        <v>4.5999999999999996</v>
      </c>
      <c r="S6">
        <v>4.7</v>
      </c>
      <c r="T6">
        <v>3.2</v>
      </c>
      <c r="U6">
        <v>-1</v>
      </c>
      <c r="V6">
        <v>4.5</v>
      </c>
      <c r="X6" t="s">
        <v>36</v>
      </c>
      <c r="Y6">
        <v>3.2</v>
      </c>
      <c r="Z6">
        <v>-0.9</v>
      </c>
      <c r="AA6">
        <v>5.2</v>
      </c>
      <c r="AC6" t="s">
        <v>36</v>
      </c>
      <c r="AD6">
        <v>4.7</v>
      </c>
      <c r="AE6">
        <v>3.2</v>
      </c>
      <c r="AF6">
        <v>-1.1000000000000001</v>
      </c>
      <c r="AG6">
        <v>4.5</v>
      </c>
      <c r="AI6" t="s">
        <v>36</v>
      </c>
      <c r="AJ6">
        <v>4.7</v>
      </c>
      <c r="AK6">
        <v>3.2</v>
      </c>
      <c r="AL6">
        <v>-1.1000000000000001</v>
      </c>
      <c r="AM6">
        <v>2.5</v>
      </c>
      <c r="AN6" t="s">
        <v>141</v>
      </c>
      <c r="AP6" t="s">
        <v>36</v>
      </c>
      <c r="AQ6">
        <v>3.2</v>
      </c>
      <c r="AR6">
        <v>-1.5</v>
      </c>
      <c r="AS6">
        <v>5.5</v>
      </c>
      <c r="AU6" s="35">
        <v>3.6924999999999999</v>
      </c>
      <c r="AV6" s="35">
        <v>-1.6095000000000002</v>
      </c>
      <c r="AW6" s="35">
        <v>5.26</v>
      </c>
      <c r="AX6" s="4">
        <v>5.8860000000000001</v>
      </c>
      <c r="AY6" t="str">
        <f t="shared" si="0"/>
        <v>Chile</v>
      </c>
      <c r="AZ6" s="4">
        <f t="shared" si="1"/>
        <v>0.49311764682124248</v>
      </c>
      <c r="BB6" t="s">
        <v>36</v>
      </c>
      <c r="BC6" s="4">
        <f>VLOOKUP(BB6,'Stripped Spread'!C20:E62,3,FALSE)</f>
        <v>-0.6767951584626779</v>
      </c>
      <c r="BM6" s="59" t="s">
        <v>36</v>
      </c>
      <c r="BN6" s="60">
        <f t="shared" si="2"/>
        <v>0.49311764682124248</v>
      </c>
      <c r="BO6" s="60">
        <f t="shared" si="3"/>
        <v>-0.6767951584626779</v>
      </c>
    </row>
    <row r="7" spans="1:67" x14ac:dyDescent="0.2">
      <c r="A7" t="s">
        <v>0</v>
      </c>
      <c r="B7">
        <v>13</v>
      </c>
      <c r="C7">
        <v>9</v>
      </c>
      <c r="D7">
        <v>8.6999999999999993</v>
      </c>
      <c r="E7">
        <v>11.4</v>
      </c>
      <c r="G7" t="s">
        <v>0</v>
      </c>
      <c r="H7">
        <v>9</v>
      </c>
      <c r="I7">
        <v>8.6999999999999993</v>
      </c>
      <c r="J7">
        <v>9.8000000000000007</v>
      </c>
      <c r="L7" t="s">
        <v>0</v>
      </c>
      <c r="M7">
        <v>4423</v>
      </c>
      <c r="N7">
        <v>4893.5</v>
      </c>
      <c r="O7">
        <v>5562.7</v>
      </c>
      <c r="Q7" t="s">
        <v>0</v>
      </c>
      <c r="R7">
        <v>11.6</v>
      </c>
      <c r="S7">
        <v>13</v>
      </c>
      <c r="T7">
        <v>9</v>
      </c>
      <c r="U7">
        <v>8</v>
      </c>
      <c r="V7">
        <v>9.6</v>
      </c>
      <c r="X7" t="s">
        <v>0</v>
      </c>
      <c r="Y7">
        <v>9</v>
      </c>
      <c r="Z7">
        <v>7.8</v>
      </c>
      <c r="AA7">
        <v>9.6</v>
      </c>
      <c r="AC7" t="s">
        <v>0</v>
      </c>
      <c r="AD7">
        <v>13</v>
      </c>
      <c r="AE7">
        <v>9</v>
      </c>
      <c r="AF7">
        <v>8.1</v>
      </c>
      <c r="AG7">
        <v>9.5</v>
      </c>
      <c r="AI7" t="s">
        <v>0</v>
      </c>
      <c r="AJ7">
        <v>13</v>
      </c>
      <c r="AK7">
        <v>9</v>
      </c>
      <c r="AL7">
        <v>7.8</v>
      </c>
      <c r="AM7">
        <v>8.5</v>
      </c>
      <c r="AN7" t="s">
        <v>141</v>
      </c>
      <c r="AP7" t="s">
        <v>0</v>
      </c>
      <c r="AQ7">
        <v>9</v>
      </c>
      <c r="AR7">
        <v>8.6</v>
      </c>
      <c r="AS7">
        <v>10</v>
      </c>
      <c r="AU7" s="35">
        <v>9.6</v>
      </c>
      <c r="AV7" s="35">
        <v>9.15</v>
      </c>
      <c r="AW7" s="35">
        <v>10.3</v>
      </c>
      <c r="AX7" s="38">
        <v>9.593</v>
      </c>
      <c r="AY7" t="str">
        <f t="shared" si="0"/>
        <v>China</v>
      </c>
      <c r="AZ7" s="4">
        <f t="shared" si="1"/>
        <v>2.4398557903423792</v>
      </c>
      <c r="BB7" t="s">
        <v>0</v>
      </c>
      <c r="BC7" s="4">
        <f>VLOOKUP(BB7,'Stripped Spread'!C21:E63,3,FALSE)</f>
        <v>-0.36041566053529961</v>
      </c>
      <c r="BM7" s="59" t="s">
        <v>0</v>
      </c>
      <c r="BN7" s="60">
        <f t="shared" si="2"/>
        <v>2.4398557903423792</v>
      </c>
      <c r="BO7" s="60">
        <f t="shared" si="3"/>
        <v>-0.36041566053529961</v>
      </c>
    </row>
    <row r="8" spans="1:67" x14ac:dyDescent="0.2">
      <c r="A8" t="s">
        <v>37</v>
      </c>
      <c r="B8">
        <v>7.5</v>
      </c>
      <c r="C8">
        <v>2.5</v>
      </c>
      <c r="D8">
        <v>0.1</v>
      </c>
      <c r="E8">
        <v>3.1</v>
      </c>
      <c r="G8" t="s">
        <v>37</v>
      </c>
      <c r="H8">
        <v>2.5</v>
      </c>
      <c r="I8">
        <v>0</v>
      </c>
      <c r="J8">
        <v>2.6</v>
      </c>
      <c r="L8" t="s">
        <v>37</v>
      </c>
      <c r="M8">
        <v>242</v>
      </c>
      <c r="N8">
        <v>222.7</v>
      </c>
      <c r="O8">
        <v>237.4</v>
      </c>
      <c r="Q8" t="s">
        <v>37</v>
      </c>
      <c r="R8">
        <v>6.9</v>
      </c>
      <c r="S8">
        <v>7.5</v>
      </c>
      <c r="T8">
        <v>2.5</v>
      </c>
      <c r="U8">
        <v>-0.5</v>
      </c>
      <c r="V8">
        <v>2</v>
      </c>
      <c r="X8" t="s">
        <v>37</v>
      </c>
      <c r="Y8">
        <v>2.5</v>
      </c>
      <c r="Z8">
        <v>-1</v>
      </c>
      <c r="AA8">
        <v>3.6</v>
      </c>
      <c r="AC8" t="s">
        <v>37</v>
      </c>
      <c r="AD8">
        <v>7.55</v>
      </c>
      <c r="AE8">
        <v>2.5</v>
      </c>
      <c r="AF8">
        <v>-0.2</v>
      </c>
      <c r="AG8">
        <v>2.6</v>
      </c>
      <c r="AI8" t="s">
        <v>125</v>
      </c>
      <c r="AJ8">
        <v>7.1</v>
      </c>
      <c r="AK8">
        <v>7.2</v>
      </c>
      <c r="AL8">
        <v>4.3</v>
      </c>
      <c r="AM8">
        <v>4.0999999999999996</v>
      </c>
      <c r="AN8" t="s">
        <v>141</v>
      </c>
      <c r="AP8" t="s">
        <v>37</v>
      </c>
      <c r="AQ8">
        <v>2.5</v>
      </c>
      <c r="AR8">
        <v>0.3</v>
      </c>
      <c r="AS8">
        <v>3</v>
      </c>
      <c r="AU8" s="35">
        <v>3.1390000000000002</v>
      </c>
      <c r="AV8" s="35">
        <v>1.141</v>
      </c>
      <c r="AW8" s="35">
        <v>4.3079999999999998</v>
      </c>
      <c r="AX8" s="4">
        <v>4.6059999999999999</v>
      </c>
      <c r="AY8" t="str">
        <f t="shared" si="0"/>
        <v>Colombia</v>
      </c>
      <c r="AZ8" s="4">
        <f>(AX8-AX$34)/AX$35</f>
        <v>-0.17907680251974906</v>
      </c>
      <c r="BB8" t="s">
        <v>37</v>
      </c>
      <c r="BC8" s="4">
        <f>VLOOKUP(BB8,'Stripped Spread'!C22:E64,3,FALSE)</f>
        <v>-0.58302567466255073</v>
      </c>
      <c r="BM8" s="59" t="s">
        <v>37</v>
      </c>
      <c r="BN8" s="60">
        <f t="shared" si="2"/>
        <v>-0.17907680251974906</v>
      </c>
      <c r="BO8" s="60">
        <f t="shared" si="3"/>
        <v>-0.58302567466255073</v>
      </c>
    </row>
    <row r="9" spans="1:67" x14ac:dyDescent="0.2">
      <c r="A9" t="s">
        <v>39</v>
      </c>
      <c r="B9">
        <v>2.5</v>
      </c>
      <c r="C9">
        <v>6.5</v>
      </c>
      <c r="D9">
        <v>1</v>
      </c>
      <c r="E9">
        <v>2.6</v>
      </c>
      <c r="G9" t="s">
        <v>39</v>
      </c>
      <c r="H9">
        <v>6.5</v>
      </c>
      <c r="I9">
        <v>-0.5</v>
      </c>
      <c r="J9">
        <v>2</v>
      </c>
      <c r="L9" t="s">
        <v>39</v>
      </c>
      <c r="M9">
        <v>53.1</v>
      </c>
      <c r="N9">
        <v>54.7</v>
      </c>
      <c r="O9">
        <v>56.6</v>
      </c>
      <c r="Q9" t="s">
        <v>39</v>
      </c>
      <c r="R9">
        <v>3.9</v>
      </c>
      <c r="S9">
        <v>2.5</v>
      </c>
      <c r="T9">
        <v>6.5</v>
      </c>
      <c r="U9">
        <v>-1</v>
      </c>
      <c r="V9">
        <v>0.5</v>
      </c>
      <c r="X9" t="s">
        <v>39</v>
      </c>
      <c r="AC9" t="s">
        <v>39</v>
      </c>
      <c r="AD9">
        <v>4.7</v>
      </c>
      <c r="AE9">
        <v>2.5</v>
      </c>
      <c r="AF9">
        <v>-3.1</v>
      </c>
      <c r="AG9">
        <v>1.2</v>
      </c>
      <c r="AI9" t="s">
        <v>43</v>
      </c>
      <c r="AJ9">
        <v>1.2</v>
      </c>
      <c r="AK9">
        <v>0.6</v>
      </c>
      <c r="AL9">
        <v>-5.9</v>
      </c>
      <c r="AM9">
        <v>-0.6</v>
      </c>
      <c r="AN9" t="s">
        <v>141</v>
      </c>
      <c r="AP9" t="s">
        <v>39</v>
      </c>
      <c r="AQ9">
        <v>6.5</v>
      </c>
      <c r="AR9">
        <v>-1</v>
      </c>
      <c r="AS9">
        <v>2</v>
      </c>
      <c r="AU9" s="35">
        <v>7.2430000000000003</v>
      </c>
      <c r="AV9" s="35">
        <v>0.36199999999999999</v>
      </c>
      <c r="AW9" s="35">
        <v>3.2</v>
      </c>
      <c r="AX9" s="4">
        <v>3.2</v>
      </c>
      <c r="AY9" t="str">
        <f t="shared" si="0"/>
        <v>Ecuador</v>
      </c>
      <c r="AZ9" s="4">
        <f t="shared" si="1"/>
        <v>-0.91744039296774416</v>
      </c>
      <c r="BB9" t="s">
        <v>39</v>
      </c>
      <c r="BC9" s="4">
        <f>VLOOKUP(BB9,'Stripped Spread'!C23:E65,3,FALSE)</f>
        <v>1.4223422220211868</v>
      </c>
      <c r="BM9" s="59" t="s">
        <v>39</v>
      </c>
      <c r="BN9" s="60">
        <f t="shared" si="2"/>
        <v>-0.91744039296774416</v>
      </c>
      <c r="BO9" s="60">
        <f t="shared" si="3"/>
        <v>1.4223422220211868</v>
      </c>
    </row>
    <row r="10" spans="1:67" x14ac:dyDescent="0.2">
      <c r="A10" t="s">
        <v>65</v>
      </c>
      <c r="G10" t="s">
        <v>65</v>
      </c>
      <c r="H10">
        <v>7.2</v>
      </c>
      <c r="I10">
        <v>4.7</v>
      </c>
      <c r="J10">
        <v>4.5</v>
      </c>
      <c r="L10" t="s">
        <v>65</v>
      </c>
      <c r="Q10" t="s">
        <v>65</v>
      </c>
      <c r="S10">
        <v>7.1</v>
      </c>
      <c r="T10">
        <v>7.2</v>
      </c>
      <c r="U10">
        <v>4.7</v>
      </c>
      <c r="V10">
        <v>5.5</v>
      </c>
      <c r="X10" t="s">
        <v>65</v>
      </c>
      <c r="Y10">
        <v>7.2</v>
      </c>
      <c r="Z10">
        <v>4.7</v>
      </c>
      <c r="AA10">
        <v>5.5</v>
      </c>
      <c r="AC10" t="s">
        <v>125</v>
      </c>
      <c r="AD10">
        <v>7.1</v>
      </c>
      <c r="AE10">
        <v>7.2</v>
      </c>
      <c r="AF10">
        <v>4.3</v>
      </c>
      <c r="AG10">
        <v>4.4000000000000004</v>
      </c>
      <c r="AP10" t="s">
        <v>65</v>
      </c>
      <c r="AR10">
        <v>4.7</v>
      </c>
      <c r="AS10">
        <v>5</v>
      </c>
      <c r="AU10" s="35">
        <v>7.1559999999999997</v>
      </c>
      <c r="AV10" s="35">
        <v>4.6615000000000002</v>
      </c>
      <c r="AW10" s="35">
        <v>5.1470000000000002</v>
      </c>
      <c r="AX10" s="34">
        <v>1</v>
      </c>
      <c r="AY10" t="str">
        <f t="shared" si="0"/>
        <v>Egypt</v>
      </c>
      <c r="AZ10" s="4">
        <f t="shared" si="1"/>
        <v>-2.0727746027725731</v>
      </c>
      <c r="BB10" t="s">
        <v>65</v>
      </c>
      <c r="BC10" s="4">
        <f>VLOOKUP(BB10,'Stripped Spread'!C24:E66,3,FALSE)</f>
        <v>5.2153815465916083E-2</v>
      </c>
      <c r="BM10" s="59" t="s">
        <v>65</v>
      </c>
      <c r="BN10" s="60">
        <f t="shared" si="2"/>
        <v>-2.0727746027725731</v>
      </c>
      <c r="BO10" s="60">
        <f t="shared" si="3"/>
        <v>5.2153815465916083E-2</v>
      </c>
    </row>
    <row r="11" spans="1:67" x14ac:dyDescent="0.2">
      <c r="A11" t="s">
        <v>43</v>
      </c>
      <c r="B11">
        <v>1.2</v>
      </c>
      <c r="C11">
        <v>0.6</v>
      </c>
      <c r="D11">
        <v>-6.5</v>
      </c>
      <c r="E11">
        <v>-0.4</v>
      </c>
      <c r="G11" t="s">
        <v>43</v>
      </c>
      <c r="H11">
        <v>0.6</v>
      </c>
      <c r="I11">
        <v>-6.4</v>
      </c>
      <c r="J11">
        <v>0</v>
      </c>
      <c r="L11" t="s">
        <v>43</v>
      </c>
      <c r="M11">
        <v>154.69999999999999</v>
      </c>
      <c r="N11">
        <v>126.8</v>
      </c>
      <c r="O11">
        <v>132.6</v>
      </c>
      <c r="Q11" t="s">
        <v>43</v>
      </c>
      <c r="R11">
        <v>4.0999999999999996</v>
      </c>
      <c r="S11">
        <v>1.1000000000000001</v>
      </c>
      <c r="T11">
        <v>0.5</v>
      </c>
      <c r="U11">
        <v>-6.4</v>
      </c>
      <c r="V11">
        <v>-0.5</v>
      </c>
      <c r="X11" t="s">
        <v>43</v>
      </c>
      <c r="Y11">
        <v>0.5</v>
      </c>
      <c r="Z11">
        <v>-4.8</v>
      </c>
      <c r="AA11">
        <v>0.4</v>
      </c>
      <c r="AC11" t="s">
        <v>43</v>
      </c>
      <c r="AD11">
        <v>1.2</v>
      </c>
      <c r="AE11">
        <v>0.6</v>
      </c>
      <c r="AF11">
        <v>-5.8</v>
      </c>
      <c r="AG11">
        <v>-0.3</v>
      </c>
      <c r="AI11" t="s">
        <v>2</v>
      </c>
      <c r="AJ11">
        <v>6.3</v>
      </c>
      <c r="AK11">
        <v>6.1</v>
      </c>
      <c r="AL11">
        <v>3.8</v>
      </c>
      <c r="AM11">
        <v>5.3</v>
      </c>
      <c r="AN11" t="s">
        <v>141</v>
      </c>
      <c r="AP11" t="s">
        <v>43</v>
      </c>
      <c r="AQ11">
        <v>0.5</v>
      </c>
      <c r="AR11">
        <v>-5.5</v>
      </c>
      <c r="AS11">
        <v>0.5</v>
      </c>
      <c r="AU11" s="35">
        <v>0.71399999999999997</v>
      </c>
      <c r="AV11" s="35">
        <v>-6.4964999999999993</v>
      </c>
      <c r="AW11" s="35">
        <v>1.21</v>
      </c>
      <c r="AX11" s="34">
        <v>2.79</v>
      </c>
      <c r="AY11" t="str">
        <f t="shared" si="0"/>
        <v>Hungary</v>
      </c>
      <c r="AZ11" s="4">
        <f t="shared" si="1"/>
        <v>-1.1327526775222805</v>
      </c>
      <c r="BB11" t="s">
        <v>43</v>
      </c>
      <c r="BC11" s="4">
        <f>VLOOKUP(BB11,'Stripped Spread'!C25:E67,3,FALSE)</f>
        <v>0.23579793496626733</v>
      </c>
      <c r="BM11" s="59" t="s">
        <v>2</v>
      </c>
      <c r="BN11" s="60">
        <f t="shared" si="2"/>
        <v>0.65801534767520453</v>
      </c>
      <c r="BO11" s="60">
        <f t="shared" si="3"/>
        <v>-0.35838987515994025</v>
      </c>
    </row>
    <row r="12" spans="1:67" x14ac:dyDescent="0.2">
      <c r="A12" t="s">
        <v>2</v>
      </c>
      <c r="B12">
        <v>6.3</v>
      </c>
      <c r="C12">
        <v>6.1</v>
      </c>
      <c r="D12">
        <v>4.2</v>
      </c>
      <c r="E12">
        <v>5.8</v>
      </c>
      <c r="G12" t="s">
        <v>2</v>
      </c>
      <c r="H12">
        <v>6.1</v>
      </c>
      <c r="I12">
        <v>4.2</v>
      </c>
      <c r="J12">
        <v>5.8</v>
      </c>
      <c r="L12" t="s">
        <v>2</v>
      </c>
      <c r="M12">
        <v>511.2</v>
      </c>
      <c r="N12">
        <v>435.9</v>
      </c>
      <c r="O12">
        <v>492.7</v>
      </c>
      <c r="Q12" t="s">
        <v>2</v>
      </c>
      <c r="R12">
        <v>5.5</v>
      </c>
      <c r="S12">
        <v>6.3</v>
      </c>
      <c r="T12">
        <v>6.1</v>
      </c>
      <c r="U12">
        <v>3.6</v>
      </c>
      <c r="V12">
        <v>5.9</v>
      </c>
      <c r="X12" t="s">
        <v>2</v>
      </c>
      <c r="Y12">
        <v>6.1</v>
      </c>
      <c r="Z12">
        <v>4.5</v>
      </c>
      <c r="AA12">
        <v>6.5</v>
      </c>
      <c r="AC12" t="s">
        <v>2</v>
      </c>
      <c r="AD12">
        <v>6.3</v>
      </c>
      <c r="AE12">
        <v>6.1</v>
      </c>
      <c r="AF12">
        <v>3.8</v>
      </c>
      <c r="AG12">
        <v>5.8</v>
      </c>
      <c r="AI12" t="s">
        <v>3</v>
      </c>
      <c r="AJ12">
        <v>6.2</v>
      </c>
      <c r="AK12">
        <v>4.5999999999999996</v>
      </c>
      <c r="AL12">
        <v>-3.8</v>
      </c>
      <c r="AM12">
        <v>6.3</v>
      </c>
      <c r="AN12" t="s">
        <v>141</v>
      </c>
      <c r="AP12" t="s">
        <v>2</v>
      </c>
      <c r="AQ12">
        <v>6.1</v>
      </c>
      <c r="AR12">
        <v>3.5</v>
      </c>
      <c r="AS12">
        <v>5.5</v>
      </c>
      <c r="AU12" s="35">
        <v>6.0105000000000004</v>
      </c>
      <c r="AV12" s="35">
        <v>4.5609999999999999</v>
      </c>
      <c r="AW12" s="35">
        <v>6.1050000000000004</v>
      </c>
      <c r="AX12" s="34">
        <v>6.2</v>
      </c>
      <c r="AY12" t="str">
        <f t="shared" si="0"/>
        <v>Indonesia</v>
      </c>
      <c r="AZ12" s="4">
        <f t="shared" si="1"/>
        <v>0.65801534767520453</v>
      </c>
      <c r="BB12" t="s">
        <v>2</v>
      </c>
      <c r="BC12" s="4">
        <f>VLOOKUP(BB12,'Stripped Spread'!C26:E68,3,FALSE)</f>
        <v>-0.35838987515994025</v>
      </c>
      <c r="BM12" s="59" t="s">
        <v>45</v>
      </c>
      <c r="BN12" s="60">
        <f t="shared" si="2"/>
        <v>0.52095069823926787</v>
      </c>
      <c r="BO12" s="60">
        <f t="shared" si="3"/>
        <v>0.12883472578450098</v>
      </c>
    </row>
    <row r="13" spans="1:67" x14ac:dyDescent="0.2">
      <c r="A13" t="s">
        <v>45</v>
      </c>
      <c r="B13">
        <v>8.6999999999999993</v>
      </c>
      <c r="C13">
        <v>3.2</v>
      </c>
      <c r="D13">
        <v>-2</v>
      </c>
      <c r="E13">
        <v>2</v>
      </c>
      <c r="G13" t="s">
        <v>45</v>
      </c>
      <c r="H13">
        <v>3.2</v>
      </c>
      <c r="I13">
        <v>1.2</v>
      </c>
      <c r="J13">
        <v>2.6</v>
      </c>
      <c r="L13" t="s">
        <v>45</v>
      </c>
      <c r="M13">
        <v>132.19999999999999</v>
      </c>
      <c r="N13">
        <v>96.7</v>
      </c>
      <c r="O13">
        <v>106.9</v>
      </c>
      <c r="Q13" t="s">
        <v>45</v>
      </c>
      <c r="R13">
        <v>10.7</v>
      </c>
      <c r="S13">
        <v>8.6999999999999993</v>
      </c>
      <c r="T13">
        <v>3.2</v>
      </c>
      <c r="U13">
        <v>-2</v>
      </c>
      <c r="V13">
        <v>2.9</v>
      </c>
      <c r="X13" t="s">
        <v>45</v>
      </c>
      <c r="Y13">
        <v>2.9</v>
      </c>
      <c r="Z13">
        <v>-1.9</v>
      </c>
      <c r="AA13">
        <v>3.5</v>
      </c>
      <c r="AC13" t="s">
        <v>45</v>
      </c>
      <c r="AD13">
        <v>8.9</v>
      </c>
      <c r="AE13">
        <v>3.3</v>
      </c>
      <c r="AF13">
        <v>-2.5</v>
      </c>
      <c r="AG13">
        <v>3.5</v>
      </c>
      <c r="AI13" t="s">
        <v>11</v>
      </c>
      <c r="AJ13">
        <v>3.6</v>
      </c>
      <c r="AK13">
        <v>1.3</v>
      </c>
      <c r="AL13">
        <v>-5.9</v>
      </c>
      <c r="AM13">
        <v>2.6</v>
      </c>
      <c r="AN13" t="s">
        <v>141</v>
      </c>
      <c r="AP13" t="s">
        <v>45</v>
      </c>
      <c r="AU13" s="35">
        <v>3.25</v>
      </c>
      <c r="AV13" s="35">
        <v>1.1905000000000001</v>
      </c>
      <c r="AW13" s="35">
        <v>7</v>
      </c>
      <c r="AX13" s="34">
        <v>5.9390000000000001</v>
      </c>
      <c r="AY13" t="str">
        <f t="shared" si="0"/>
        <v>Kazakhstan</v>
      </c>
      <c r="AZ13" s="4">
        <f t="shared" si="1"/>
        <v>0.52095069823926787</v>
      </c>
      <c r="BB13" t="s">
        <v>45</v>
      </c>
      <c r="BC13" s="4">
        <f>VLOOKUP(BB13,'Stripped Spread'!C27:E69,3,FALSE)</f>
        <v>0.12883472578450098</v>
      </c>
      <c r="BM13" s="59" t="s">
        <v>3</v>
      </c>
      <c r="BN13" s="60">
        <f t="shared" si="2"/>
        <v>0.29040900819184973</v>
      </c>
      <c r="BO13" s="60">
        <f t="shared" si="3"/>
        <v>-0.61809672118954739</v>
      </c>
    </row>
    <row r="14" spans="1:67" x14ac:dyDescent="0.2">
      <c r="A14" t="s">
        <v>3</v>
      </c>
      <c r="B14">
        <v>6.2</v>
      </c>
      <c r="C14">
        <v>4.5999999999999996</v>
      </c>
      <c r="D14">
        <v>-2.5</v>
      </c>
      <c r="E14">
        <v>5</v>
      </c>
      <c r="G14" t="s">
        <v>3</v>
      </c>
      <c r="H14">
        <v>4.5999999999999996</v>
      </c>
      <c r="I14">
        <v>-1.7</v>
      </c>
      <c r="J14">
        <v>5.5</v>
      </c>
      <c r="L14" t="s">
        <v>3</v>
      </c>
      <c r="M14">
        <v>221.6</v>
      </c>
      <c r="N14">
        <v>202.4</v>
      </c>
      <c r="O14">
        <v>221.9</v>
      </c>
      <c r="Q14" t="s">
        <v>3</v>
      </c>
      <c r="R14">
        <v>5.8</v>
      </c>
      <c r="S14">
        <v>6.3</v>
      </c>
      <c r="T14">
        <v>4.5999999999999996</v>
      </c>
      <c r="U14">
        <v>-3.7</v>
      </c>
      <c r="V14">
        <v>6</v>
      </c>
      <c r="X14" t="s">
        <v>3</v>
      </c>
      <c r="Y14">
        <v>4.5999999999999996</v>
      </c>
      <c r="Z14">
        <v>-2</v>
      </c>
      <c r="AA14">
        <v>6</v>
      </c>
      <c r="AC14" t="s">
        <v>3</v>
      </c>
      <c r="AD14">
        <v>6.2</v>
      </c>
      <c r="AE14">
        <v>4.5999999999999996</v>
      </c>
      <c r="AF14">
        <v>-3.8</v>
      </c>
      <c r="AG14">
        <v>6.8</v>
      </c>
      <c r="AI14" t="s">
        <v>4</v>
      </c>
      <c r="AJ14">
        <v>7.1</v>
      </c>
      <c r="AK14">
        <v>3.8</v>
      </c>
      <c r="AL14">
        <v>1</v>
      </c>
      <c r="AM14">
        <v>3</v>
      </c>
      <c r="AN14" t="s">
        <v>141</v>
      </c>
      <c r="AP14" t="s">
        <v>3</v>
      </c>
      <c r="AQ14">
        <v>5.0999999999999996</v>
      </c>
      <c r="AR14">
        <v>-1.7</v>
      </c>
      <c r="AS14">
        <v>6.8</v>
      </c>
      <c r="AU14" s="35">
        <v>4.7080000000000002</v>
      </c>
      <c r="AV14" s="35">
        <v>-1.714</v>
      </c>
      <c r="AW14" s="35">
        <v>7.1559999999999997</v>
      </c>
      <c r="AX14" s="34">
        <v>5.5</v>
      </c>
      <c r="AY14" t="str">
        <f t="shared" si="0"/>
        <v>Malaysia</v>
      </c>
      <c r="AZ14" s="4">
        <f t="shared" si="1"/>
        <v>0.29040900819184973</v>
      </c>
      <c r="BB14" t="s">
        <v>3</v>
      </c>
      <c r="BC14" s="4">
        <f>VLOOKUP(BB14,'Stripped Spread'!C28:E70,3,FALSE)</f>
        <v>-0.61809672118954739</v>
      </c>
      <c r="BM14" s="59" t="s">
        <v>11</v>
      </c>
      <c r="BN14" s="60">
        <f t="shared" si="2"/>
        <v>-0.16017133363203342</v>
      </c>
      <c r="BO14" s="60">
        <f t="shared" si="3"/>
        <v>-0.48422075013713889</v>
      </c>
    </row>
    <row r="15" spans="1:67" x14ac:dyDescent="0.2">
      <c r="A15" t="s">
        <v>11</v>
      </c>
      <c r="B15">
        <v>3.3</v>
      </c>
      <c r="C15">
        <v>1.3</v>
      </c>
      <c r="D15">
        <v>-6.9</v>
      </c>
      <c r="E15">
        <v>4.3</v>
      </c>
      <c r="G15" t="s">
        <v>11</v>
      </c>
      <c r="H15">
        <v>1.3</v>
      </c>
      <c r="I15">
        <v>-6.7</v>
      </c>
      <c r="J15">
        <v>4</v>
      </c>
      <c r="L15" t="s">
        <v>11</v>
      </c>
      <c r="M15">
        <v>1086.0999999999999</v>
      </c>
      <c r="N15">
        <v>877.8</v>
      </c>
      <c r="O15">
        <v>958.7</v>
      </c>
      <c r="Q15" t="s">
        <v>11</v>
      </c>
      <c r="R15">
        <v>5.0999999999999996</v>
      </c>
      <c r="S15">
        <v>3.3</v>
      </c>
      <c r="T15">
        <v>1.3</v>
      </c>
      <c r="U15">
        <v>-6.5</v>
      </c>
      <c r="V15">
        <v>4.8</v>
      </c>
      <c r="X15" t="s">
        <v>11</v>
      </c>
      <c r="Y15">
        <v>1.3</v>
      </c>
      <c r="Z15">
        <v>-7.7</v>
      </c>
      <c r="AA15">
        <v>5.5</v>
      </c>
      <c r="AC15" t="s">
        <v>11</v>
      </c>
      <c r="AD15">
        <v>3.3</v>
      </c>
      <c r="AE15">
        <v>1.3</v>
      </c>
      <c r="AF15">
        <v>-5.9</v>
      </c>
      <c r="AG15">
        <v>3.6</v>
      </c>
      <c r="AI15" t="s">
        <v>48</v>
      </c>
      <c r="AJ15">
        <v>6.7</v>
      </c>
      <c r="AK15">
        <v>4.8</v>
      </c>
      <c r="AL15">
        <v>0.6</v>
      </c>
      <c r="AM15">
        <v>1.2</v>
      </c>
      <c r="AN15" t="s">
        <v>141</v>
      </c>
      <c r="AP15" t="s">
        <v>11</v>
      </c>
      <c r="AQ15">
        <v>1.3</v>
      </c>
      <c r="AR15">
        <v>-6.5</v>
      </c>
      <c r="AS15">
        <v>4.5</v>
      </c>
      <c r="AU15" s="35">
        <v>1.496</v>
      </c>
      <c r="AV15" s="35">
        <v>-6.3254999999999999</v>
      </c>
      <c r="AW15" s="35">
        <v>5.5179999999999998</v>
      </c>
      <c r="AX15" s="34">
        <v>4.6420000000000003</v>
      </c>
      <c r="AY15" t="str">
        <f t="shared" si="0"/>
        <v>Mexico</v>
      </c>
      <c r="AZ15" s="4">
        <f t="shared" si="1"/>
        <v>-0.16017133363203342</v>
      </c>
      <c r="BB15" t="s">
        <v>11</v>
      </c>
      <c r="BC15" s="4">
        <f>VLOOKUP(BB15,'Stripped Spread'!C29:E71,3,FALSE)</f>
        <v>-0.48422075013713889</v>
      </c>
      <c r="BM15" s="59" t="s">
        <v>70</v>
      </c>
      <c r="BN15" s="60">
        <f t="shared" si="2"/>
        <v>-1.1537587540641865</v>
      </c>
      <c r="BO15" s="60">
        <f t="shared" si="3"/>
        <v>2.1692475485534328</v>
      </c>
    </row>
    <row r="16" spans="1:67" x14ac:dyDescent="0.2">
      <c r="A16" t="s">
        <v>70</v>
      </c>
      <c r="G16" t="s">
        <v>70</v>
      </c>
      <c r="H16">
        <v>4</v>
      </c>
      <c r="I16">
        <v>2</v>
      </c>
      <c r="J16">
        <v>2.6</v>
      </c>
      <c r="L16" t="s">
        <v>70</v>
      </c>
      <c r="Q16" t="s">
        <v>70</v>
      </c>
      <c r="X16" t="s">
        <v>70</v>
      </c>
      <c r="AC16" t="s">
        <v>70</v>
      </c>
      <c r="AD16">
        <v>2</v>
      </c>
      <c r="AE16">
        <v>3.7</v>
      </c>
      <c r="AF16">
        <v>0.8</v>
      </c>
      <c r="AG16">
        <v>2.6</v>
      </c>
      <c r="AP16" t="s">
        <v>70</v>
      </c>
      <c r="AR16">
        <v>2</v>
      </c>
      <c r="AS16">
        <v>3</v>
      </c>
      <c r="AU16" s="35">
        <v>1.6165</v>
      </c>
      <c r="AV16" s="35">
        <v>3.5</v>
      </c>
      <c r="AW16" s="35">
        <v>4.7919999999999998</v>
      </c>
      <c r="AX16" s="34">
        <v>2.75</v>
      </c>
      <c r="AY16" t="str">
        <f t="shared" si="0"/>
        <v>Pakistan</v>
      </c>
      <c r="AZ16" s="4">
        <f t="shared" si="1"/>
        <v>-1.1537587540641865</v>
      </c>
      <c r="BB16" t="s">
        <v>70</v>
      </c>
      <c r="BC16" s="4">
        <f>VLOOKUP(BB16,'Stripped Spread'!C30:E72,3,FALSE)</f>
        <v>2.1692475485534328</v>
      </c>
      <c r="BM16" s="59" t="s">
        <v>71</v>
      </c>
      <c r="BN16" s="60">
        <f t="shared" si="2"/>
        <v>1.2881976439323841</v>
      </c>
      <c r="BO16" s="60">
        <f t="shared" si="3"/>
        <v>-0.55505648603455771</v>
      </c>
    </row>
    <row r="17" spans="1:67" x14ac:dyDescent="0.2">
      <c r="A17" t="s">
        <v>71</v>
      </c>
      <c r="G17" t="s">
        <v>71</v>
      </c>
      <c r="H17">
        <v>9.1999999999999993</v>
      </c>
      <c r="I17">
        <v>1.5</v>
      </c>
      <c r="J17">
        <v>4.5</v>
      </c>
      <c r="L17" t="s">
        <v>71</v>
      </c>
      <c r="Q17" t="s">
        <v>71</v>
      </c>
      <c r="S17">
        <v>11.5</v>
      </c>
      <c r="T17">
        <v>10.7</v>
      </c>
      <c r="U17">
        <v>2.4</v>
      </c>
      <c r="V17">
        <v>4</v>
      </c>
      <c r="X17" t="s">
        <v>71</v>
      </c>
      <c r="AC17" t="s">
        <v>71</v>
      </c>
      <c r="AD17">
        <v>12.1</v>
      </c>
      <c r="AE17">
        <v>10.7</v>
      </c>
      <c r="AF17">
        <v>2.1</v>
      </c>
      <c r="AG17">
        <v>4.0999999999999996</v>
      </c>
      <c r="AI17" t="s">
        <v>13</v>
      </c>
      <c r="AJ17">
        <v>8.1</v>
      </c>
      <c r="AK17">
        <v>5.6</v>
      </c>
      <c r="AL17">
        <v>-7.9</v>
      </c>
      <c r="AM17">
        <v>2.5</v>
      </c>
      <c r="AN17" t="s">
        <v>141</v>
      </c>
      <c r="AP17" t="s">
        <v>71</v>
      </c>
      <c r="AQ17">
        <v>9.1999999999999993</v>
      </c>
      <c r="AR17">
        <v>3</v>
      </c>
      <c r="AS17">
        <v>5</v>
      </c>
      <c r="AU17" s="35">
        <v>10.423500000000001</v>
      </c>
      <c r="AV17" s="35">
        <v>2.7960000000000003</v>
      </c>
      <c r="AW17" s="35">
        <v>7.5049999999999999</v>
      </c>
      <c r="AX17" s="34">
        <v>7.4</v>
      </c>
      <c r="AY17" t="str">
        <f t="shared" si="0"/>
        <v>Panama</v>
      </c>
      <c r="AZ17" s="4">
        <f t="shared" si="1"/>
        <v>1.2881976439323841</v>
      </c>
      <c r="BB17" t="s">
        <v>71</v>
      </c>
      <c r="BC17" s="4">
        <f>VLOOKUP(BB17,'Stripped Spread'!C31:E73,3,FALSE)</f>
        <v>-0.55505648603455771</v>
      </c>
      <c r="BM17" s="59" t="s">
        <v>47</v>
      </c>
      <c r="BN17" s="60">
        <f t="shared" si="2"/>
        <v>1.3412379872006965</v>
      </c>
      <c r="BO17" s="60">
        <f t="shared" si="3"/>
        <v>-0.50718932529558414</v>
      </c>
    </row>
    <row r="18" spans="1:67" x14ac:dyDescent="0.2">
      <c r="A18" t="s">
        <v>47</v>
      </c>
      <c r="B18">
        <v>8.9</v>
      </c>
      <c r="C18">
        <v>9.8000000000000007</v>
      </c>
      <c r="D18">
        <v>1</v>
      </c>
      <c r="E18">
        <v>5.5</v>
      </c>
      <c r="G18" t="s">
        <v>47</v>
      </c>
      <c r="H18">
        <v>9.8000000000000007</v>
      </c>
      <c r="I18">
        <v>1.1000000000000001</v>
      </c>
      <c r="J18">
        <v>5</v>
      </c>
      <c r="L18" t="s">
        <v>47</v>
      </c>
      <c r="M18">
        <v>127.5</v>
      </c>
      <c r="N18">
        <v>126</v>
      </c>
      <c r="O18">
        <v>131.9</v>
      </c>
      <c r="Q18" t="s">
        <v>47</v>
      </c>
      <c r="R18">
        <v>7.7</v>
      </c>
      <c r="S18">
        <v>8.9</v>
      </c>
      <c r="T18">
        <v>9.8000000000000007</v>
      </c>
      <c r="U18">
        <v>3</v>
      </c>
      <c r="V18">
        <v>4.5</v>
      </c>
      <c r="X18" t="s">
        <v>47</v>
      </c>
      <c r="Y18">
        <v>9.8000000000000007</v>
      </c>
      <c r="Z18">
        <v>0.4</v>
      </c>
      <c r="AA18">
        <v>6.3</v>
      </c>
      <c r="AC18" t="s">
        <v>47</v>
      </c>
      <c r="AD18">
        <v>8.9</v>
      </c>
      <c r="AE18">
        <v>9.8000000000000007</v>
      </c>
      <c r="AF18">
        <v>0.6</v>
      </c>
      <c r="AG18">
        <v>2.9</v>
      </c>
      <c r="AI18" t="s">
        <v>23</v>
      </c>
      <c r="AJ18">
        <v>5.0999999999999996</v>
      </c>
      <c r="AK18">
        <v>3.1</v>
      </c>
      <c r="AL18">
        <v>-0.9</v>
      </c>
      <c r="AM18">
        <v>2</v>
      </c>
      <c r="AN18" t="s">
        <v>141</v>
      </c>
      <c r="AP18" t="s">
        <v>47</v>
      </c>
      <c r="AQ18">
        <v>9.8000000000000007</v>
      </c>
      <c r="AR18">
        <v>2.7</v>
      </c>
      <c r="AS18">
        <v>5.5</v>
      </c>
      <c r="AU18" s="35">
        <v>9.7825000000000006</v>
      </c>
      <c r="AV18" s="35">
        <v>0.85599999999999998</v>
      </c>
      <c r="AW18" s="35">
        <v>8.7949999999999999</v>
      </c>
      <c r="AX18" s="34">
        <v>7.5010000000000003</v>
      </c>
      <c r="AY18" t="str">
        <f t="shared" si="0"/>
        <v>Peru</v>
      </c>
      <c r="AZ18" s="4">
        <f t="shared" si="1"/>
        <v>1.3412379872006965</v>
      </c>
      <c r="BB18" t="s">
        <v>47</v>
      </c>
      <c r="BC18" s="4">
        <f>VLOOKUP(BB18,'Stripped Spread'!C32:E74,3,FALSE)</f>
        <v>-0.50718932529558414</v>
      </c>
      <c r="BM18" s="59" t="s">
        <v>4</v>
      </c>
      <c r="BN18" s="60">
        <f t="shared" si="2"/>
        <v>3.1509114812855502E-3</v>
      </c>
      <c r="BO18" s="60">
        <f t="shared" si="3"/>
        <v>-0.46284842419996541</v>
      </c>
    </row>
    <row r="19" spans="1:67" x14ac:dyDescent="0.2">
      <c r="A19" t="s">
        <v>4</v>
      </c>
      <c r="B19">
        <v>7.1</v>
      </c>
      <c r="C19">
        <v>3.8</v>
      </c>
      <c r="D19">
        <v>1.6</v>
      </c>
      <c r="E19">
        <v>4.2</v>
      </c>
      <c r="G19" t="s">
        <v>4</v>
      </c>
      <c r="H19">
        <v>3.8</v>
      </c>
      <c r="I19">
        <v>1</v>
      </c>
      <c r="J19">
        <v>3.7</v>
      </c>
      <c r="L19" t="s">
        <v>4</v>
      </c>
      <c r="M19">
        <v>167.7</v>
      </c>
      <c r="N19">
        <v>164.6</v>
      </c>
      <c r="O19">
        <v>185.3</v>
      </c>
      <c r="Q19" t="s">
        <v>4</v>
      </c>
      <c r="R19">
        <v>5.4</v>
      </c>
      <c r="S19">
        <v>7.1</v>
      </c>
      <c r="T19">
        <v>3.8</v>
      </c>
      <c r="U19">
        <v>0.5</v>
      </c>
      <c r="V19">
        <v>4</v>
      </c>
      <c r="X19" t="s">
        <v>4</v>
      </c>
      <c r="Y19">
        <v>3.8</v>
      </c>
      <c r="Z19">
        <v>1.3</v>
      </c>
      <c r="AA19">
        <v>4.3</v>
      </c>
      <c r="AC19" t="s">
        <v>4</v>
      </c>
      <c r="AD19">
        <v>7.1</v>
      </c>
      <c r="AE19">
        <v>3.8</v>
      </c>
      <c r="AF19">
        <v>1</v>
      </c>
      <c r="AG19">
        <v>4.2</v>
      </c>
      <c r="AI19" t="s">
        <v>14</v>
      </c>
      <c r="AJ19">
        <v>4.7</v>
      </c>
      <c r="AK19">
        <v>1.1000000000000001</v>
      </c>
      <c r="AL19">
        <v>-4.4000000000000004</v>
      </c>
      <c r="AM19">
        <v>2</v>
      </c>
      <c r="AN19" t="s">
        <v>141</v>
      </c>
      <c r="AP19" t="s">
        <v>4</v>
      </c>
      <c r="AQ19">
        <v>4.5999999999999996</v>
      </c>
      <c r="AR19">
        <v>3</v>
      </c>
      <c r="AS19">
        <v>4.5</v>
      </c>
      <c r="AU19" s="35">
        <v>3.7130000000000001</v>
      </c>
      <c r="AV19" s="35">
        <v>1.0605</v>
      </c>
      <c r="AW19" s="35">
        <v>7.3339999999999996</v>
      </c>
      <c r="AX19" s="34">
        <v>4.9530000000000003</v>
      </c>
      <c r="AY19" t="str">
        <f t="shared" si="0"/>
        <v>Philippines</v>
      </c>
      <c r="AZ19" s="4">
        <f t="shared" si="1"/>
        <v>3.1509114812855502E-3</v>
      </c>
      <c r="BB19" t="s">
        <v>4</v>
      </c>
      <c r="BC19" s="4">
        <f>VLOOKUP(BB19,'Stripped Spread'!C33:E75,3,FALSE)</f>
        <v>-0.46284842419996541</v>
      </c>
      <c r="BM19" s="59" t="s">
        <v>48</v>
      </c>
      <c r="BN19" s="60">
        <f t="shared" si="2"/>
        <v>-0.58501923169208203</v>
      </c>
      <c r="BO19" s="60">
        <f t="shared" si="3"/>
        <v>-0.36315540465326435</v>
      </c>
    </row>
    <row r="20" spans="1:67" x14ac:dyDescent="0.2">
      <c r="A20" t="s">
        <v>48</v>
      </c>
      <c r="B20">
        <v>6.7</v>
      </c>
      <c r="C20">
        <v>4.8</v>
      </c>
      <c r="D20">
        <v>1.5</v>
      </c>
      <c r="E20">
        <v>3</v>
      </c>
      <c r="G20" t="s">
        <v>48</v>
      </c>
      <c r="H20">
        <v>4.9000000000000004</v>
      </c>
      <c r="I20">
        <v>1.7</v>
      </c>
      <c r="J20">
        <v>2.9</v>
      </c>
      <c r="L20" t="s">
        <v>48</v>
      </c>
      <c r="M20">
        <v>535.1</v>
      </c>
      <c r="N20">
        <v>412.1</v>
      </c>
      <c r="O20">
        <v>458.7</v>
      </c>
      <c r="Q20" t="s">
        <v>48</v>
      </c>
      <c r="R20">
        <v>6.2</v>
      </c>
      <c r="S20">
        <v>6.7</v>
      </c>
      <c r="T20">
        <v>4.8</v>
      </c>
      <c r="U20">
        <v>0.5</v>
      </c>
      <c r="V20">
        <v>2.4</v>
      </c>
      <c r="W20" s="2"/>
      <c r="X20" t="s">
        <v>48</v>
      </c>
      <c r="Y20">
        <v>4.8</v>
      </c>
      <c r="Z20">
        <v>-0.9</v>
      </c>
      <c r="AA20">
        <v>3.5</v>
      </c>
      <c r="AC20" t="s">
        <v>48</v>
      </c>
      <c r="AD20">
        <v>6.7</v>
      </c>
      <c r="AE20">
        <v>4.8</v>
      </c>
      <c r="AF20">
        <v>1.5</v>
      </c>
      <c r="AG20">
        <v>2.2000000000000002</v>
      </c>
      <c r="AI20" t="s">
        <v>58</v>
      </c>
      <c r="AJ20">
        <v>7.9</v>
      </c>
      <c r="AK20">
        <v>2.1</v>
      </c>
      <c r="AL20">
        <v>-18</v>
      </c>
      <c r="AM20">
        <v>5.5</v>
      </c>
      <c r="AN20" t="s">
        <v>141</v>
      </c>
      <c r="AP20" t="s">
        <v>48</v>
      </c>
      <c r="AQ20">
        <v>4.8</v>
      </c>
      <c r="AR20">
        <v>1.7</v>
      </c>
      <c r="AS20">
        <v>3.2</v>
      </c>
      <c r="AU20" s="35">
        <v>5.0655000000000001</v>
      </c>
      <c r="AV20" s="35">
        <v>1.6764999999999999</v>
      </c>
      <c r="AW20" s="35">
        <v>3.8170000000000002</v>
      </c>
      <c r="AX20" s="34">
        <v>3.8330000000000002</v>
      </c>
      <c r="AY20" t="str">
        <f t="shared" si="0"/>
        <v>Poland</v>
      </c>
      <c r="AZ20" s="4">
        <f t="shared" si="1"/>
        <v>-0.58501923169208203</v>
      </c>
      <c r="BB20" t="s">
        <v>48</v>
      </c>
      <c r="BC20" s="4">
        <f>VLOOKUP(BB20,'Stripped Spread'!C34:E76,3,FALSE)</f>
        <v>-0.36315540465326435</v>
      </c>
      <c r="BM20" s="59" t="s">
        <v>13</v>
      </c>
      <c r="BN20" s="60">
        <f t="shared" si="2"/>
        <v>-6.2493077712170643E-2</v>
      </c>
      <c r="BO20" s="60">
        <f t="shared" si="3"/>
        <v>-0.16466036285246269</v>
      </c>
    </row>
    <row r="21" spans="1:67" x14ac:dyDescent="0.2">
      <c r="A21" t="s">
        <v>13</v>
      </c>
      <c r="B21">
        <v>8.1</v>
      </c>
      <c r="C21">
        <v>5.6</v>
      </c>
      <c r="D21">
        <v>-9</v>
      </c>
      <c r="E21">
        <v>4.5</v>
      </c>
      <c r="G21" t="s">
        <v>13</v>
      </c>
      <c r="H21">
        <v>5.6</v>
      </c>
      <c r="I21">
        <v>-7.5</v>
      </c>
      <c r="J21">
        <v>6.2</v>
      </c>
      <c r="L21" s="2" t="s">
        <v>13</v>
      </c>
      <c r="M21">
        <v>1679.3</v>
      </c>
      <c r="N21">
        <v>1282.9000000000001</v>
      </c>
      <c r="O21">
        <v>1559.7</v>
      </c>
      <c r="Q21" s="2" t="s">
        <v>13</v>
      </c>
      <c r="R21">
        <v>7.7</v>
      </c>
      <c r="S21">
        <v>8.1</v>
      </c>
      <c r="T21">
        <v>5.6</v>
      </c>
      <c r="U21">
        <v>-6.3</v>
      </c>
      <c r="V21">
        <v>3.7</v>
      </c>
      <c r="X21" t="s">
        <v>13</v>
      </c>
      <c r="Y21">
        <v>5.6</v>
      </c>
      <c r="Z21">
        <v>-6.9</v>
      </c>
      <c r="AA21">
        <v>4.5999999999999996</v>
      </c>
      <c r="AC21" t="s">
        <v>13</v>
      </c>
      <c r="AD21">
        <v>8.1</v>
      </c>
      <c r="AE21">
        <v>5.6</v>
      </c>
      <c r="AF21">
        <v>-8.3000000000000007</v>
      </c>
      <c r="AG21">
        <v>3.7</v>
      </c>
      <c r="AI21" t="s">
        <v>64</v>
      </c>
      <c r="AJ21">
        <v>8.5</v>
      </c>
      <c r="AK21">
        <v>6.2</v>
      </c>
      <c r="AL21">
        <v>4.5</v>
      </c>
      <c r="AM21">
        <v>6.5</v>
      </c>
      <c r="AN21" t="s">
        <v>141</v>
      </c>
      <c r="AP21" t="s">
        <v>13</v>
      </c>
      <c r="AQ21">
        <v>5.6</v>
      </c>
      <c r="AR21">
        <v>-7.9</v>
      </c>
      <c r="AS21">
        <v>5.5</v>
      </c>
      <c r="AU21" s="35">
        <v>5.2210000000000001</v>
      </c>
      <c r="AV21" s="35">
        <v>-7.8434999999999997</v>
      </c>
      <c r="AW21" s="35">
        <v>3.9550000000000001</v>
      </c>
      <c r="AX21" s="34">
        <v>4.8280000000000003</v>
      </c>
      <c r="AY21" t="str">
        <f t="shared" si="0"/>
        <v>Russia</v>
      </c>
      <c r="AZ21" s="4">
        <f t="shared" si="1"/>
        <v>-6.2493077712170643E-2</v>
      </c>
      <c r="BB21" t="s">
        <v>13</v>
      </c>
      <c r="BC21" s="4">
        <f>VLOOKUP(BB21,'Stripped Spread'!C35:E77,3,FALSE)</f>
        <v>-0.16466036285246269</v>
      </c>
      <c r="BM21" s="59" t="s">
        <v>23</v>
      </c>
      <c r="BN21" s="60">
        <f t="shared" si="2"/>
        <v>-0.74991693254604397</v>
      </c>
      <c r="BO21" s="60">
        <f t="shared" si="3"/>
        <v>-0.49266345738201095</v>
      </c>
    </row>
    <row r="22" spans="1:67" x14ac:dyDescent="0.2">
      <c r="A22" t="s">
        <v>23</v>
      </c>
      <c r="B22">
        <v>5.0999999999999996</v>
      </c>
      <c r="C22">
        <v>3.1</v>
      </c>
      <c r="D22">
        <v>-1.9</v>
      </c>
      <c r="E22">
        <v>2.6</v>
      </c>
      <c r="G22" t="s">
        <v>23</v>
      </c>
      <c r="H22">
        <v>3.1</v>
      </c>
      <c r="I22">
        <v>-1.5</v>
      </c>
      <c r="J22">
        <v>2.5</v>
      </c>
      <c r="L22" t="s">
        <v>23</v>
      </c>
      <c r="M22">
        <v>276.60000000000002</v>
      </c>
      <c r="N22">
        <v>275.5</v>
      </c>
      <c r="O22">
        <v>299.3</v>
      </c>
      <c r="Q22" t="s">
        <v>23</v>
      </c>
      <c r="R22">
        <v>5.4</v>
      </c>
      <c r="S22">
        <v>5.0999999999999996</v>
      </c>
      <c r="T22">
        <v>3.3</v>
      </c>
      <c r="U22">
        <v>-0.7</v>
      </c>
      <c r="V22">
        <v>3</v>
      </c>
      <c r="X22" t="s">
        <v>23</v>
      </c>
      <c r="Y22">
        <v>3.1</v>
      </c>
      <c r="Z22">
        <v>-1.6</v>
      </c>
      <c r="AA22">
        <v>3.1</v>
      </c>
      <c r="AC22" t="s">
        <v>23</v>
      </c>
      <c r="AD22">
        <v>5.0999999999999996</v>
      </c>
      <c r="AE22">
        <v>3.1</v>
      </c>
      <c r="AF22">
        <v>-1.7</v>
      </c>
      <c r="AG22">
        <v>2.1</v>
      </c>
      <c r="AI22" t="s">
        <v>24</v>
      </c>
      <c r="AJ22">
        <v>9.8000000000000007</v>
      </c>
      <c r="AK22">
        <v>6.7</v>
      </c>
      <c r="AL22">
        <v>4.3</v>
      </c>
      <c r="AM22">
        <v>6.9</v>
      </c>
      <c r="AN22" t="s">
        <v>142</v>
      </c>
      <c r="AP22" t="s">
        <v>23</v>
      </c>
      <c r="AQ22">
        <v>3.1</v>
      </c>
      <c r="AR22">
        <v>-1.8</v>
      </c>
      <c r="AS22">
        <v>3</v>
      </c>
      <c r="AU22" s="35">
        <v>3.6274999999999999</v>
      </c>
      <c r="AV22" s="35">
        <v>-1.73</v>
      </c>
      <c r="AW22" s="35">
        <v>2.7839999999999998</v>
      </c>
      <c r="AX22" s="34">
        <v>3.5190000000000001</v>
      </c>
      <c r="AY22" t="str">
        <f t="shared" si="0"/>
        <v>South Africa</v>
      </c>
      <c r="AZ22" s="4">
        <f t="shared" si="1"/>
        <v>-0.74991693254604397</v>
      </c>
      <c r="BB22" t="s">
        <v>23</v>
      </c>
      <c r="BC22" s="4">
        <f>VLOOKUP(BB22,'Stripped Spread'!C36:E78,3,FALSE)</f>
        <v>-0.49266345738201095</v>
      </c>
      <c r="BM22" s="59" t="s">
        <v>77</v>
      </c>
      <c r="BN22" s="60">
        <f t="shared" si="2"/>
        <v>1.0518792828359416</v>
      </c>
      <c r="BO22" s="60">
        <f t="shared" si="3"/>
        <v>0.16739140015649304</v>
      </c>
    </row>
    <row r="23" spans="1:67" x14ac:dyDescent="0.2">
      <c r="A23" t="s">
        <v>77</v>
      </c>
      <c r="G23" t="s">
        <v>77</v>
      </c>
      <c r="H23">
        <v>6</v>
      </c>
      <c r="I23">
        <v>3.2</v>
      </c>
      <c r="J23">
        <v>5.8</v>
      </c>
      <c r="L23" t="s">
        <v>77</v>
      </c>
      <c r="Q23" t="s">
        <v>77</v>
      </c>
      <c r="X23" t="s">
        <v>77</v>
      </c>
      <c r="Z23">
        <v>3.5</v>
      </c>
      <c r="AA23">
        <v>7</v>
      </c>
      <c r="AC23" t="s">
        <v>77</v>
      </c>
      <c r="AF23">
        <v>3.8</v>
      </c>
      <c r="AG23">
        <v>7</v>
      </c>
      <c r="AP23" t="s">
        <v>77</v>
      </c>
      <c r="AQ23">
        <v>6</v>
      </c>
      <c r="AR23">
        <v>3.7</v>
      </c>
      <c r="AS23">
        <v>6.2</v>
      </c>
      <c r="AU23" s="35">
        <v>5.95</v>
      </c>
      <c r="AV23" s="35">
        <v>3.673</v>
      </c>
      <c r="AW23" s="35">
        <v>9.1340000000000003</v>
      </c>
      <c r="AX23" s="34">
        <v>6.95</v>
      </c>
      <c r="AY23" t="str">
        <f t="shared" si="0"/>
        <v>Sri Lanka</v>
      </c>
      <c r="AZ23" s="4">
        <f t="shared" si="1"/>
        <v>1.0518792828359416</v>
      </c>
      <c r="BB23" t="s">
        <v>77</v>
      </c>
      <c r="BC23" s="4">
        <f>VLOOKUP(BB23,'Stripped Spread'!C37:E79,3,FALSE)</f>
        <v>0.16739140015649304</v>
      </c>
      <c r="BM23" s="59" t="s">
        <v>14</v>
      </c>
      <c r="BN23" s="60">
        <f t="shared" si="2"/>
        <v>-0.18222771400103507</v>
      </c>
      <c r="BO23" s="60">
        <f t="shared" si="3"/>
        <v>-0.24455989205539388</v>
      </c>
    </row>
    <row r="24" spans="1:67" x14ac:dyDescent="0.2">
      <c r="A24" t="s">
        <v>14</v>
      </c>
      <c r="B24">
        <v>4.5</v>
      </c>
      <c r="C24">
        <v>1.1000000000000001</v>
      </c>
      <c r="D24">
        <v>-5.5</v>
      </c>
      <c r="E24">
        <v>5.5</v>
      </c>
      <c r="G24" t="s">
        <v>14</v>
      </c>
      <c r="H24">
        <v>1.1000000000000001</v>
      </c>
      <c r="I24">
        <v>-6.7</v>
      </c>
      <c r="J24">
        <v>5.4</v>
      </c>
      <c r="L24" t="s">
        <v>14</v>
      </c>
      <c r="M24">
        <v>734.9</v>
      </c>
      <c r="N24">
        <v>604.9</v>
      </c>
      <c r="O24">
        <v>649.1</v>
      </c>
      <c r="Q24" t="s">
        <v>14</v>
      </c>
      <c r="R24">
        <v>6.9</v>
      </c>
      <c r="S24">
        <v>4.7</v>
      </c>
      <c r="T24">
        <v>0.7</v>
      </c>
      <c r="U24">
        <v>-4.5</v>
      </c>
      <c r="V24">
        <v>4.5</v>
      </c>
      <c r="X24" t="s">
        <v>14</v>
      </c>
      <c r="Y24">
        <v>0.6</v>
      </c>
      <c r="Z24">
        <v>-4.9000000000000004</v>
      </c>
      <c r="AA24">
        <v>5.0999999999999996</v>
      </c>
      <c r="AC24" t="s">
        <v>14</v>
      </c>
      <c r="AD24">
        <v>4.7</v>
      </c>
      <c r="AE24">
        <v>1.1000000000000001</v>
      </c>
      <c r="AF24">
        <v>-5.8</v>
      </c>
      <c r="AG24">
        <v>3.1</v>
      </c>
      <c r="AI24" t="s">
        <v>124</v>
      </c>
      <c r="AJ24">
        <v>5.8</v>
      </c>
      <c r="AK24">
        <v>4.0999999999999996</v>
      </c>
      <c r="AL24">
        <v>-3.4</v>
      </c>
      <c r="AM24">
        <v>2.5</v>
      </c>
      <c r="AN24" t="s">
        <v>142</v>
      </c>
      <c r="AP24" t="s">
        <v>14</v>
      </c>
      <c r="AQ24">
        <v>1.1000000000000001</v>
      </c>
      <c r="AR24">
        <v>-5.3</v>
      </c>
      <c r="AS24">
        <v>4.3</v>
      </c>
      <c r="AU24" s="35">
        <v>0.65900000000000003</v>
      </c>
      <c r="AV24" s="35">
        <v>-4.6879999999999997</v>
      </c>
      <c r="AW24" s="35">
        <v>8.1999999999999993</v>
      </c>
      <c r="AX24" s="34">
        <v>4.5999999999999996</v>
      </c>
      <c r="AY24" t="str">
        <f t="shared" si="0"/>
        <v>Turkey</v>
      </c>
      <c r="AZ24" s="4">
        <f t="shared" si="1"/>
        <v>-0.18222771400103507</v>
      </c>
      <c r="BB24" t="s">
        <v>14</v>
      </c>
      <c r="BC24" s="4">
        <f>VLOOKUP(BB24,'Stripped Spread'!C38:E80,3,FALSE)</f>
        <v>-0.24455989205539388</v>
      </c>
      <c r="BM24" s="59" t="s">
        <v>58</v>
      </c>
      <c r="BN24" s="60">
        <f t="shared" si="2"/>
        <v>-0.23474290535579986</v>
      </c>
      <c r="BO24" s="60">
        <f t="shared" si="3"/>
        <v>1.5328752249159792</v>
      </c>
    </row>
    <row r="25" spans="1:67" x14ac:dyDescent="0.2">
      <c r="A25" t="s">
        <v>58</v>
      </c>
      <c r="B25">
        <v>7.6</v>
      </c>
      <c r="C25">
        <v>2.1</v>
      </c>
      <c r="D25">
        <v>-15</v>
      </c>
      <c r="E25">
        <v>5.5</v>
      </c>
      <c r="G25" t="s">
        <v>58</v>
      </c>
      <c r="H25">
        <v>2.2999999999999998</v>
      </c>
      <c r="I25">
        <v>-13.1</v>
      </c>
      <c r="J25">
        <v>3</v>
      </c>
      <c r="L25" t="s">
        <v>58</v>
      </c>
      <c r="M25">
        <v>178.2</v>
      </c>
      <c r="N25">
        <v>134.19999999999999</v>
      </c>
      <c r="O25">
        <v>148.1</v>
      </c>
      <c r="Q25" t="s">
        <v>58</v>
      </c>
      <c r="R25">
        <v>7.3</v>
      </c>
      <c r="S25">
        <v>7.6</v>
      </c>
      <c r="T25">
        <v>2.1</v>
      </c>
      <c r="U25">
        <v>-10</v>
      </c>
      <c r="V25">
        <v>3.5</v>
      </c>
      <c r="X25" t="s">
        <v>58</v>
      </c>
      <c r="Y25">
        <v>2.1</v>
      </c>
      <c r="Z25">
        <v>-10.7</v>
      </c>
      <c r="AA25">
        <v>5.4</v>
      </c>
      <c r="AC25" t="s">
        <v>58</v>
      </c>
      <c r="AD25">
        <v>7.9</v>
      </c>
      <c r="AE25">
        <v>2.1</v>
      </c>
      <c r="AF25">
        <v>-18</v>
      </c>
      <c r="AG25">
        <v>6.1</v>
      </c>
      <c r="AI25" t="s">
        <v>25</v>
      </c>
      <c r="AJ25">
        <v>5</v>
      </c>
      <c r="AK25">
        <v>3.3</v>
      </c>
      <c r="AL25">
        <v>-3.1</v>
      </c>
      <c r="AM25">
        <v>3.2</v>
      </c>
      <c r="AN25" t="s">
        <v>142</v>
      </c>
      <c r="AP25" t="s">
        <v>58</v>
      </c>
      <c r="AU25" s="35">
        <v>2.0225</v>
      </c>
      <c r="AV25" s="35">
        <v>-14.959</v>
      </c>
      <c r="AW25" s="35">
        <v>4.2140000000000004</v>
      </c>
      <c r="AX25" s="34">
        <v>4.5</v>
      </c>
      <c r="AY25" t="str">
        <f t="shared" si="0"/>
        <v>Ukraine</v>
      </c>
      <c r="AZ25" s="4">
        <f t="shared" si="1"/>
        <v>-0.23474290535579986</v>
      </c>
      <c r="BB25" t="s">
        <v>58</v>
      </c>
      <c r="BC25" s="4">
        <f>VLOOKUP(BB25,'Stripped Spread'!C39:E81,3,FALSE)</f>
        <v>1.5328752249159792</v>
      </c>
      <c r="BM25" s="59" t="s">
        <v>72</v>
      </c>
      <c r="BN25" s="60">
        <f t="shared" si="2"/>
        <v>2.7833051418024925E-2</v>
      </c>
      <c r="BO25" s="60">
        <f t="shared" si="3"/>
        <v>-0.34765727585037098</v>
      </c>
    </row>
    <row r="26" spans="1:67" x14ac:dyDescent="0.2">
      <c r="A26" t="s">
        <v>72</v>
      </c>
      <c r="G26" t="s">
        <v>72</v>
      </c>
      <c r="H26">
        <v>8.9</v>
      </c>
      <c r="I26">
        <v>1.9</v>
      </c>
      <c r="J26">
        <v>5.6</v>
      </c>
      <c r="L26" t="s">
        <v>72</v>
      </c>
      <c r="Q26" t="s">
        <v>72</v>
      </c>
      <c r="X26" t="s">
        <v>72</v>
      </c>
      <c r="AC26" t="s">
        <v>72</v>
      </c>
      <c r="AD26">
        <v>7.2</v>
      </c>
      <c r="AE26">
        <v>8.9</v>
      </c>
      <c r="AF26">
        <v>1.9</v>
      </c>
      <c r="AG26">
        <v>5</v>
      </c>
      <c r="AP26" t="s">
        <v>72</v>
      </c>
      <c r="AU26" s="35">
        <v>8.5655000000000001</v>
      </c>
      <c r="AV26" s="35">
        <v>2.7195</v>
      </c>
      <c r="AW26" s="35">
        <v>8.468</v>
      </c>
      <c r="AX26" s="34">
        <v>5</v>
      </c>
      <c r="AY26" t="str">
        <f t="shared" si="0"/>
        <v>Uruguay</v>
      </c>
      <c r="AZ26" s="4">
        <f t="shared" si="1"/>
        <v>2.7833051418024925E-2</v>
      </c>
      <c r="BB26" t="s">
        <v>72</v>
      </c>
      <c r="BC26" s="4">
        <f>VLOOKUP(BB26,'Stripped Spread'!C40:E82,3,FALSE)</f>
        <v>-0.34765727585037098</v>
      </c>
      <c r="BM26" s="59" t="s">
        <v>12</v>
      </c>
      <c r="BN26" s="60">
        <f t="shared" si="2"/>
        <v>-1.6720836927357168</v>
      </c>
      <c r="BO26" s="60">
        <f t="shared" si="3"/>
        <v>2.7898082980863612</v>
      </c>
    </row>
    <row r="27" spans="1:67" x14ac:dyDescent="0.2">
      <c r="A27" t="s">
        <v>12</v>
      </c>
      <c r="B27">
        <v>8.4</v>
      </c>
      <c r="C27">
        <v>4.8</v>
      </c>
      <c r="D27">
        <v>-1.5</v>
      </c>
      <c r="E27">
        <v>2.6</v>
      </c>
      <c r="G27" t="s">
        <v>12</v>
      </c>
      <c r="H27">
        <v>4.8</v>
      </c>
      <c r="I27">
        <v>-3.3</v>
      </c>
      <c r="J27">
        <v>-1.7</v>
      </c>
      <c r="L27" t="s">
        <v>12</v>
      </c>
      <c r="M27">
        <v>313.8</v>
      </c>
      <c r="N27">
        <v>391.1</v>
      </c>
      <c r="O27">
        <v>513.79999999999995</v>
      </c>
      <c r="Q27" t="s">
        <v>12</v>
      </c>
      <c r="R27">
        <v>10.3</v>
      </c>
      <c r="S27">
        <v>8.4</v>
      </c>
      <c r="T27">
        <v>4.8</v>
      </c>
      <c r="U27">
        <v>-2</v>
      </c>
      <c r="V27">
        <v>0</v>
      </c>
      <c r="X27" t="s">
        <v>12</v>
      </c>
      <c r="Y27">
        <v>4.8</v>
      </c>
      <c r="Z27">
        <v>-2.9</v>
      </c>
      <c r="AA27">
        <v>-1.7</v>
      </c>
      <c r="AC27" t="s">
        <v>12</v>
      </c>
      <c r="AD27">
        <v>8.1999999999999993</v>
      </c>
      <c r="AE27">
        <v>4.8</v>
      </c>
      <c r="AF27">
        <v>-2.9</v>
      </c>
      <c r="AG27">
        <v>1</v>
      </c>
      <c r="AI27" t="s">
        <v>133</v>
      </c>
      <c r="AJ27">
        <v>6.9</v>
      </c>
      <c r="AK27">
        <v>4.5999999999999996</v>
      </c>
      <c r="AL27">
        <v>0.9</v>
      </c>
      <c r="AM27">
        <v>5.3</v>
      </c>
      <c r="AP27" t="s">
        <v>12</v>
      </c>
      <c r="AQ27">
        <v>4.8</v>
      </c>
      <c r="AR27">
        <v>-2</v>
      </c>
      <c r="AS27">
        <v>1.5</v>
      </c>
      <c r="AU27" s="35">
        <v>4.782</v>
      </c>
      <c r="AV27" s="35">
        <v>-3.2869999999999999</v>
      </c>
      <c r="AW27" s="35">
        <v>-1.905</v>
      </c>
      <c r="AX27" s="34">
        <v>1.7629999999999999</v>
      </c>
      <c r="AY27" t="str">
        <f t="shared" si="0"/>
        <v>Venezuela</v>
      </c>
      <c r="AZ27" s="4">
        <f t="shared" si="1"/>
        <v>-1.6720836927357168</v>
      </c>
      <c r="BB27" t="s">
        <v>12</v>
      </c>
      <c r="BC27" s="4">
        <f>VLOOKUP(BB27,'Stripped Spread'!C41:E83,3,FALSE)</f>
        <v>2.7898082980863612</v>
      </c>
      <c r="BM27" s="59" t="s">
        <v>64</v>
      </c>
      <c r="BN27" s="60">
        <f t="shared" si="2"/>
        <v>0.68899931057451591</v>
      </c>
      <c r="BO27" s="60">
        <f t="shared" si="3"/>
        <v>0.45654469091159733</v>
      </c>
    </row>
    <row r="28" spans="1:67" x14ac:dyDescent="0.2">
      <c r="A28" t="s">
        <v>64</v>
      </c>
      <c r="B28">
        <v>8.5</v>
      </c>
      <c r="C28">
        <v>6.2</v>
      </c>
      <c r="D28">
        <v>4.5</v>
      </c>
      <c r="E28">
        <v>8.1999999999999993</v>
      </c>
      <c r="G28" t="s">
        <v>64</v>
      </c>
      <c r="H28">
        <v>6.1</v>
      </c>
      <c r="I28">
        <v>5.3</v>
      </c>
      <c r="J28">
        <v>6.3</v>
      </c>
      <c r="L28" t="s">
        <v>64</v>
      </c>
      <c r="M28">
        <v>89.8</v>
      </c>
      <c r="N28">
        <v>91.5</v>
      </c>
      <c r="O28">
        <v>106.5</v>
      </c>
      <c r="Q28" t="s">
        <v>64</v>
      </c>
      <c r="R28">
        <v>8.1999999999999993</v>
      </c>
      <c r="S28">
        <v>8.4</v>
      </c>
      <c r="T28">
        <v>6.2</v>
      </c>
      <c r="U28">
        <v>4</v>
      </c>
      <c r="V28">
        <v>6.4</v>
      </c>
      <c r="X28" t="s">
        <v>64</v>
      </c>
      <c r="Z28">
        <v>5.2</v>
      </c>
      <c r="AA28">
        <v>6.8</v>
      </c>
      <c r="AC28" t="s">
        <v>64</v>
      </c>
      <c r="AD28">
        <v>8.5</v>
      </c>
      <c r="AE28">
        <v>6.2</v>
      </c>
      <c r="AF28">
        <v>4.7</v>
      </c>
      <c r="AG28">
        <v>6.8</v>
      </c>
      <c r="AI28" t="s">
        <v>127</v>
      </c>
      <c r="AJ28">
        <v>6</v>
      </c>
      <c r="AK28">
        <v>3.1</v>
      </c>
      <c r="AL28">
        <v>-0.5</v>
      </c>
      <c r="AM28">
        <v>4.4000000000000004</v>
      </c>
      <c r="AP28" t="s">
        <v>64</v>
      </c>
      <c r="AU28" s="35">
        <v>6.3109999999999999</v>
      </c>
      <c r="AV28" s="35">
        <v>5.3235000000000001</v>
      </c>
      <c r="AW28" s="35">
        <v>6.7839999999999998</v>
      </c>
      <c r="AX28" s="34">
        <v>6.2590000000000003</v>
      </c>
      <c r="AY28" t="str">
        <f t="shared" si="0"/>
        <v>Vietnam</v>
      </c>
      <c r="AZ28" s="4">
        <f t="shared" si="1"/>
        <v>0.68899931057451591</v>
      </c>
      <c r="BB28" t="s">
        <v>64</v>
      </c>
      <c r="BC28" s="4">
        <f>VLOOKUP(BB28,'Stripped Spread'!C42:E84,3,FALSE)</f>
        <v>0.45654469091159733</v>
      </c>
      <c r="BN28" s="4"/>
      <c r="BO28" s="4"/>
    </row>
    <row r="29" spans="1:67" x14ac:dyDescent="0.2">
      <c r="AU29" s="4"/>
      <c r="AV29" s="4"/>
      <c r="AW29" s="4"/>
      <c r="AX29" s="34"/>
      <c r="BC29" s="4"/>
    </row>
    <row r="30" spans="1:67" x14ac:dyDescent="0.2">
      <c r="A30" t="s">
        <v>144</v>
      </c>
      <c r="B30">
        <v>10</v>
      </c>
      <c r="C30">
        <v>6.7</v>
      </c>
      <c r="D30">
        <v>5.7</v>
      </c>
      <c r="E30">
        <v>8.8000000000000007</v>
      </c>
      <c r="G30" t="s">
        <v>144</v>
      </c>
      <c r="H30">
        <v>6.2</v>
      </c>
      <c r="I30">
        <v>4.5999999999999996</v>
      </c>
      <c r="J30">
        <v>8</v>
      </c>
      <c r="L30" t="s">
        <v>144</v>
      </c>
      <c r="M30">
        <v>8561.2999999999993</v>
      </c>
      <c r="N30">
        <v>8765.7000000000007</v>
      </c>
      <c r="O30">
        <v>10108.299999999999</v>
      </c>
      <c r="Q30" t="s">
        <v>144</v>
      </c>
      <c r="R30">
        <v>9.3000000000000007</v>
      </c>
      <c r="S30">
        <v>10</v>
      </c>
      <c r="T30">
        <v>6.6</v>
      </c>
      <c r="U30">
        <v>4.3</v>
      </c>
      <c r="V30">
        <v>8.1</v>
      </c>
      <c r="X30" t="s">
        <v>144</v>
      </c>
      <c r="Y30">
        <v>6.7</v>
      </c>
      <c r="Z30">
        <v>4.9000000000000004</v>
      </c>
      <c r="AA30">
        <v>8.1</v>
      </c>
      <c r="AC30" t="s">
        <v>24</v>
      </c>
      <c r="AD30">
        <v>9.8000000000000007</v>
      </c>
      <c r="AE30">
        <v>6.7</v>
      </c>
      <c r="AF30">
        <v>5.4</v>
      </c>
      <c r="AG30">
        <v>7.9</v>
      </c>
      <c r="AI30" t="s">
        <v>34</v>
      </c>
      <c r="AJ30">
        <v>4</v>
      </c>
      <c r="AK30">
        <v>2.2999999999999998</v>
      </c>
      <c r="AL30">
        <v>0.2</v>
      </c>
      <c r="AM30">
        <v>2.6</v>
      </c>
      <c r="AP30" t="s">
        <v>144</v>
      </c>
      <c r="AR30">
        <v>4.5999999999999996</v>
      </c>
      <c r="AS30">
        <v>7.9</v>
      </c>
      <c r="AU30" s="4">
        <f t="shared" ref="AU30:AW32" si="4">AVERAGE(C30,H30,T30,Y30,AE30)</f>
        <v>6.58</v>
      </c>
      <c r="AV30" s="4">
        <f t="shared" si="4"/>
        <v>4.9799999999999995</v>
      </c>
      <c r="AW30" s="4">
        <f t="shared" si="4"/>
        <v>8.18</v>
      </c>
      <c r="AX30" s="4"/>
      <c r="AY30" t="str">
        <f>A30</f>
        <v>Asia EM</v>
      </c>
      <c r="BC30" s="4"/>
    </row>
    <row r="31" spans="1:67" x14ac:dyDescent="0.2">
      <c r="A31" t="s">
        <v>124</v>
      </c>
      <c r="B31">
        <v>5.6</v>
      </c>
      <c r="C31">
        <v>3.6</v>
      </c>
      <c r="D31">
        <v>-2.6</v>
      </c>
      <c r="E31">
        <v>3.2</v>
      </c>
      <c r="G31" t="s">
        <v>162</v>
      </c>
      <c r="H31">
        <v>4.0999999999999996</v>
      </c>
      <c r="I31">
        <v>-5.9</v>
      </c>
      <c r="J31">
        <v>4.4000000000000004</v>
      </c>
      <c r="L31" t="s">
        <v>82</v>
      </c>
      <c r="M31">
        <v>4862</v>
      </c>
      <c r="N31">
        <v>3900.4</v>
      </c>
      <c r="O31">
        <v>4444.8</v>
      </c>
      <c r="Q31" t="s">
        <v>82</v>
      </c>
      <c r="R31">
        <v>7</v>
      </c>
      <c r="S31">
        <v>6.2</v>
      </c>
      <c r="T31">
        <v>4.0999999999999996</v>
      </c>
      <c r="U31">
        <v>-3.5</v>
      </c>
      <c r="V31">
        <v>3.4</v>
      </c>
      <c r="X31" t="s">
        <v>108</v>
      </c>
      <c r="Y31">
        <v>3.8</v>
      </c>
      <c r="Z31">
        <v>-5.0999999999999996</v>
      </c>
      <c r="AA31">
        <v>4.0999999999999996</v>
      </c>
      <c r="AC31" t="s">
        <v>124</v>
      </c>
      <c r="AD31">
        <v>5.8</v>
      </c>
      <c r="AE31">
        <v>4.0999999999999996</v>
      </c>
      <c r="AF31">
        <v>-3.4</v>
      </c>
      <c r="AG31">
        <v>3.1</v>
      </c>
      <c r="AI31" t="s">
        <v>35</v>
      </c>
      <c r="AJ31">
        <v>2.5</v>
      </c>
      <c r="AK31">
        <v>0.4</v>
      </c>
      <c r="AL31">
        <v>-2.5</v>
      </c>
      <c r="AM31">
        <v>1.1000000000000001</v>
      </c>
      <c r="AP31" t="s">
        <v>124</v>
      </c>
      <c r="AR31">
        <v>-5.0999999999999996</v>
      </c>
      <c r="AS31">
        <v>3.9</v>
      </c>
      <c r="AU31" s="4">
        <f t="shared" si="4"/>
        <v>3.9399999999999991</v>
      </c>
      <c r="AV31" s="4">
        <f t="shared" si="4"/>
        <v>-4.0999999999999996</v>
      </c>
      <c r="AW31" s="4">
        <f t="shared" si="4"/>
        <v>3.6399999999999997</v>
      </c>
      <c r="AX31" s="4"/>
      <c r="AY31" t="str">
        <f>A31</f>
        <v>EMEA</v>
      </c>
      <c r="BC31" s="4"/>
    </row>
    <row r="32" spans="1:67" x14ac:dyDescent="0.2">
      <c r="A32" t="s">
        <v>25</v>
      </c>
      <c r="B32">
        <v>5.7</v>
      </c>
      <c r="C32">
        <v>4.0999999999999996</v>
      </c>
      <c r="D32">
        <v>-2.5</v>
      </c>
      <c r="E32">
        <v>4.8</v>
      </c>
      <c r="G32" t="s">
        <v>25</v>
      </c>
      <c r="H32">
        <v>4</v>
      </c>
      <c r="I32">
        <v>-2.7</v>
      </c>
      <c r="J32">
        <v>4.0999999999999996</v>
      </c>
      <c r="L32" s="2" t="s">
        <v>83</v>
      </c>
      <c r="M32">
        <v>3897.1</v>
      </c>
      <c r="N32">
        <v>3591.4</v>
      </c>
      <c r="O32">
        <v>4121.5</v>
      </c>
      <c r="Q32" s="2" t="s">
        <v>83</v>
      </c>
      <c r="R32">
        <v>5.5</v>
      </c>
      <c r="S32">
        <v>5.6</v>
      </c>
      <c r="T32">
        <v>4.0999999999999996</v>
      </c>
      <c r="U32">
        <v>-2.6</v>
      </c>
      <c r="V32">
        <v>4.7</v>
      </c>
      <c r="X32" t="s">
        <v>25</v>
      </c>
      <c r="Y32">
        <v>4</v>
      </c>
      <c r="Z32">
        <v>-3.3</v>
      </c>
      <c r="AA32">
        <v>4.8</v>
      </c>
      <c r="AC32" t="s">
        <v>25</v>
      </c>
      <c r="AD32">
        <v>5</v>
      </c>
      <c r="AE32">
        <v>3.3</v>
      </c>
      <c r="AF32">
        <v>-3.1</v>
      </c>
      <c r="AG32">
        <v>4.4000000000000004</v>
      </c>
      <c r="AI32" t="s">
        <v>55</v>
      </c>
      <c r="AJ32">
        <v>5.8</v>
      </c>
      <c r="AK32">
        <v>3.1</v>
      </c>
      <c r="AL32">
        <v>-2.1</v>
      </c>
      <c r="AM32">
        <v>1.5</v>
      </c>
      <c r="AP32" t="s">
        <v>25</v>
      </c>
      <c r="AR32">
        <v>-3.1</v>
      </c>
      <c r="AS32">
        <v>4.5999999999999996</v>
      </c>
      <c r="AU32" s="4">
        <f t="shared" si="4"/>
        <v>3.9</v>
      </c>
      <c r="AV32" s="4">
        <f t="shared" si="4"/>
        <v>-2.8400000000000003</v>
      </c>
      <c r="AW32" s="4">
        <f t="shared" si="4"/>
        <v>4.5599999999999996</v>
      </c>
      <c r="AX32" s="4"/>
      <c r="AY32" t="str">
        <f>A32</f>
        <v>Latin America</v>
      </c>
      <c r="BC32" s="4"/>
    </row>
    <row r="33" spans="1:55" x14ac:dyDescent="0.2">
      <c r="L33" s="2"/>
      <c r="Q33" s="2"/>
      <c r="AU33" s="4"/>
      <c r="AV33" s="4"/>
      <c r="AW33" s="4"/>
      <c r="AX33" s="4"/>
      <c r="BC33" s="4"/>
    </row>
    <row r="34" spans="1:55" x14ac:dyDescent="0.2">
      <c r="A34" t="s">
        <v>32</v>
      </c>
      <c r="B34">
        <v>8.8000000000000007</v>
      </c>
      <c r="C34">
        <v>6.2</v>
      </c>
      <c r="D34">
        <v>2.2999999999999998</v>
      </c>
      <c r="E34">
        <v>7.6</v>
      </c>
      <c r="G34" t="s">
        <v>68</v>
      </c>
      <c r="H34">
        <v>5.2</v>
      </c>
      <c r="I34">
        <v>1</v>
      </c>
      <c r="J34">
        <v>6</v>
      </c>
      <c r="L34" s="2"/>
      <c r="Q34" t="s">
        <v>87</v>
      </c>
      <c r="R34">
        <v>7.8</v>
      </c>
      <c r="S34">
        <v>8</v>
      </c>
      <c r="T34">
        <v>5.3</v>
      </c>
      <c r="U34">
        <v>0.6</v>
      </c>
      <c r="V34">
        <v>6.1</v>
      </c>
      <c r="X34" t="s">
        <v>20</v>
      </c>
      <c r="Y34">
        <v>5.6</v>
      </c>
      <c r="Z34">
        <v>1.2</v>
      </c>
      <c r="AA34">
        <v>6.7</v>
      </c>
      <c r="AC34" t="s">
        <v>68</v>
      </c>
      <c r="AD34">
        <v>7.9</v>
      </c>
      <c r="AE34">
        <v>5.5</v>
      </c>
      <c r="AF34">
        <v>1.5</v>
      </c>
      <c r="AG34">
        <v>6.2</v>
      </c>
      <c r="AP34" t="s">
        <v>26</v>
      </c>
      <c r="AR34">
        <v>0.9</v>
      </c>
      <c r="AS34">
        <v>6.3</v>
      </c>
      <c r="AU34" s="4">
        <v>5.0999999999999996</v>
      </c>
      <c r="AV34" s="4">
        <v>0.7</v>
      </c>
      <c r="AW34" s="4">
        <f>AVERAGE(AW4:AW28)</f>
        <v>5.8292799999999998</v>
      </c>
      <c r="AX34" s="4">
        <f>AVERAGE(AX4:AX28)</f>
        <v>4.947000000000001</v>
      </c>
      <c r="AY34" t="str">
        <f>A34</f>
        <v>Emerging MKts</v>
      </c>
      <c r="BC34" s="4"/>
    </row>
    <row r="35" spans="1:55" x14ac:dyDescent="0.2">
      <c r="L35" s="2"/>
      <c r="Q35" s="2"/>
      <c r="AU35" s="4"/>
      <c r="AV35" s="4"/>
      <c r="AW35" s="4">
        <f>STDEV(AW4:AW28)</f>
        <v>2.7923089537752328</v>
      </c>
      <c r="AX35" s="4">
        <f>STDEV(AX4:AX28)</f>
        <v>1.904210903935448</v>
      </c>
      <c r="BC35" s="4"/>
    </row>
    <row r="36" spans="1:55" x14ac:dyDescent="0.2">
      <c r="A36" t="s">
        <v>5</v>
      </c>
      <c r="B36">
        <v>7.8</v>
      </c>
      <c r="C36">
        <v>1.1000000000000001</v>
      </c>
      <c r="D36">
        <v>-6</v>
      </c>
      <c r="E36">
        <v>6.2</v>
      </c>
      <c r="L36" t="s">
        <v>5</v>
      </c>
      <c r="M36">
        <v>182.1</v>
      </c>
      <c r="N36">
        <v>154.9</v>
      </c>
      <c r="O36">
        <v>162.19999999999999</v>
      </c>
      <c r="Q36" t="s">
        <v>5</v>
      </c>
      <c r="R36">
        <v>8.1999999999999993</v>
      </c>
      <c r="S36">
        <v>7.7</v>
      </c>
      <c r="T36">
        <v>1.1000000000000001</v>
      </c>
      <c r="U36">
        <v>-3.9</v>
      </c>
      <c r="V36">
        <v>6.2</v>
      </c>
      <c r="X36" t="s">
        <v>18</v>
      </c>
      <c r="Y36">
        <v>1.8</v>
      </c>
      <c r="Z36">
        <v>-2.6</v>
      </c>
      <c r="AA36">
        <v>3.9</v>
      </c>
      <c r="AI36" t="s">
        <v>100</v>
      </c>
      <c r="AJ36">
        <v>2.4</v>
      </c>
      <c r="AK36">
        <v>0.7</v>
      </c>
      <c r="AL36">
        <v>-3.4</v>
      </c>
      <c r="AM36">
        <v>1.2</v>
      </c>
      <c r="AU36" s="4"/>
      <c r="AV36" s="4"/>
      <c r="AW36" s="4"/>
      <c r="AX36" s="4"/>
      <c r="BC36" s="4"/>
    </row>
    <row r="37" spans="1:55" ht="13.5" thickBot="1" x14ac:dyDescent="0.25">
      <c r="A37" t="s">
        <v>56</v>
      </c>
      <c r="B37">
        <v>2.7</v>
      </c>
      <c r="C37">
        <v>0.8</v>
      </c>
      <c r="D37">
        <v>-3.5</v>
      </c>
      <c r="E37">
        <v>2.2000000000000002</v>
      </c>
      <c r="G37" t="s">
        <v>73</v>
      </c>
      <c r="H37">
        <v>7.1</v>
      </c>
      <c r="I37">
        <v>-7.2</v>
      </c>
      <c r="J37">
        <v>1.3</v>
      </c>
      <c r="L37" t="s">
        <v>55</v>
      </c>
      <c r="M37">
        <v>217.1</v>
      </c>
      <c r="N37">
        <v>190.2</v>
      </c>
      <c r="O37">
        <v>204.4</v>
      </c>
      <c r="Q37" t="s">
        <v>55</v>
      </c>
      <c r="R37">
        <v>6.8</v>
      </c>
      <c r="S37">
        <v>6</v>
      </c>
      <c r="T37">
        <v>3.2</v>
      </c>
      <c r="U37">
        <v>-2.5</v>
      </c>
      <c r="V37">
        <v>1.5</v>
      </c>
      <c r="X37" t="s">
        <v>102</v>
      </c>
      <c r="Y37">
        <v>5</v>
      </c>
      <c r="Z37">
        <v>2.5</v>
      </c>
      <c r="AA37">
        <v>6.8</v>
      </c>
      <c r="AC37" t="s">
        <v>73</v>
      </c>
      <c r="AD37">
        <v>6.2</v>
      </c>
      <c r="AE37">
        <v>7.1</v>
      </c>
      <c r="AF37">
        <v>-3.8</v>
      </c>
      <c r="AG37">
        <v>1.6</v>
      </c>
      <c r="AI37" t="s">
        <v>20</v>
      </c>
      <c r="AJ37">
        <v>7.9</v>
      </c>
      <c r="AK37">
        <v>5.5</v>
      </c>
      <c r="AL37">
        <v>1.1000000000000001</v>
      </c>
      <c r="AM37">
        <v>5.3</v>
      </c>
      <c r="AU37" s="4"/>
      <c r="AV37" s="4"/>
      <c r="AW37" s="4"/>
      <c r="AX37" s="4"/>
      <c r="BC37" s="4"/>
    </row>
    <row r="38" spans="1:55" x14ac:dyDescent="0.2">
      <c r="A38" t="s">
        <v>34</v>
      </c>
      <c r="B38">
        <v>4</v>
      </c>
      <c r="C38">
        <v>2.2999999999999998</v>
      </c>
      <c r="D38">
        <v>0.3</v>
      </c>
      <c r="E38">
        <v>3.5</v>
      </c>
      <c r="L38" t="s">
        <v>87</v>
      </c>
      <c r="M38">
        <v>17320.400000000001</v>
      </c>
      <c r="N38">
        <v>16257.5</v>
      </c>
      <c r="O38">
        <v>18674.599999999999</v>
      </c>
      <c r="X38" t="s">
        <v>34</v>
      </c>
      <c r="Y38">
        <v>2.2999999999999998</v>
      </c>
      <c r="Z38">
        <v>0.2</v>
      </c>
      <c r="AA38">
        <v>2.8</v>
      </c>
      <c r="AC38" t="s">
        <v>55</v>
      </c>
      <c r="AD38">
        <v>5.8</v>
      </c>
      <c r="AE38">
        <v>3.1</v>
      </c>
      <c r="AF38">
        <v>-2.1</v>
      </c>
      <c r="AG38">
        <v>1.5</v>
      </c>
      <c r="AI38" t="s">
        <v>123</v>
      </c>
      <c r="AJ38">
        <v>2.6</v>
      </c>
      <c r="AK38">
        <v>0.6</v>
      </c>
      <c r="AL38">
        <v>-4.3</v>
      </c>
      <c r="AM38">
        <v>0.1</v>
      </c>
      <c r="AX38" s="6"/>
      <c r="AY38" s="53" t="s">
        <v>709</v>
      </c>
      <c r="AZ38" s="54">
        <f>LINEST(BO4:BO27,BN4:BN27,TRUE,FALSE)</f>
        <v>-0.4344438713547758</v>
      </c>
      <c r="BC38" s="4"/>
    </row>
    <row r="39" spans="1:55" ht="13.5" thickBot="1" x14ac:dyDescent="0.25">
      <c r="A39" t="s">
        <v>35</v>
      </c>
      <c r="B39">
        <v>2.7</v>
      </c>
      <c r="C39">
        <v>0.5</v>
      </c>
      <c r="D39">
        <v>-1.9</v>
      </c>
      <c r="E39">
        <v>2.1</v>
      </c>
      <c r="L39" t="s">
        <v>21</v>
      </c>
      <c r="M39">
        <v>215</v>
      </c>
      <c r="N39">
        <v>201.8</v>
      </c>
      <c r="O39">
        <v>211</v>
      </c>
      <c r="Q39" t="s">
        <v>21</v>
      </c>
      <c r="R39">
        <v>7</v>
      </c>
      <c r="S39">
        <v>6.4</v>
      </c>
      <c r="T39">
        <v>2.4</v>
      </c>
      <c r="U39">
        <v>-5.2</v>
      </c>
      <c r="V39">
        <v>4.5999999999999996</v>
      </c>
      <c r="X39" t="s">
        <v>101</v>
      </c>
      <c r="Y39">
        <v>7.5</v>
      </c>
      <c r="Z39">
        <v>4.3</v>
      </c>
      <c r="AA39">
        <v>8.1</v>
      </c>
      <c r="AC39" t="s">
        <v>115</v>
      </c>
      <c r="AD39">
        <v>2.6</v>
      </c>
      <c r="AE39">
        <v>0.6</v>
      </c>
      <c r="AF39">
        <v>-3.9</v>
      </c>
      <c r="AG39">
        <v>1.2</v>
      </c>
      <c r="AI39" t="s">
        <v>41</v>
      </c>
      <c r="AJ39">
        <v>2.2999999999999998</v>
      </c>
      <c r="AK39">
        <v>0.3</v>
      </c>
      <c r="AL39">
        <v>-2.8</v>
      </c>
      <c r="AM39">
        <v>-0.4</v>
      </c>
      <c r="AX39" s="6"/>
      <c r="AY39" s="55" t="s">
        <v>315</v>
      </c>
      <c r="AZ39" s="56">
        <f>INTERCEPT(BO4:BO27,BN4:BN27)</f>
        <v>0.16365362199693603</v>
      </c>
      <c r="BC39" s="4"/>
    </row>
    <row r="40" spans="1:55" x14ac:dyDescent="0.2">
      <c r="A40" t="s">
        <v>55</v>
      </c>
      <c r="B40">
        <v>6.1</v>
      </c>
      <c r="C40">
        <v>2.8</v>
      </c>
      <c r="D40">
        <v>-4.2</v>
      </c>
      <c r="E40">
        <v>2.2999999999999998</v>
      </c>
      <c r="G40" t="s">
        <v>5</v>
      </c>
      <c r="H40">
        <v>1.1000000000000001</v>
      </c>
      <c r="I40">
        <v>-2.7</v>
      </c>
      <c r="J40">
        <v>6.5</v>
      </c>
      <c r="L40" t="s">
        <v>1</v>
      </c>
      <c r="M40">
        <v>1154</v>
      </c>
      <c r="N40">
        <v>1232</v>
      </c>
      <c r="O40">
        <v>1458</v>
      </c>
      <c r="Q40" t="s">
        <v>1</v>
      </c>
      <c r="R40">
        <v>9.6999999999999993</v>
      </c>
      <c r="S40">
        <v>9</v>
      </c>
      <c r="T40">
        <v>6.7</v>
      </c>
      <c r="U40">
        <v>6.2</v>
      </c>
      <c r="V40">
        <v>8.3000000000000007</v>
      </c>
      <c r="X40" t="s">
        <v>35</v>
      </c>
      <c r="Y40">
        <v>0.4</v>
      </c>
      <c r="Z40">
        <v>-2.2999999999999998</v>
      </c>
      <c r="AA40">
        <v>3.4</v>
      </c>
      <c r="AC40" t="s">
        <v>116</v>
      </c>
      <c r="AD40">
        <v>6.3</v>
      </c>
      <c r="AE40">
        <v>2.5</v>
      </c>
      <c r="AF40">
        <v>-3.6</v>
      </c>
      <c r="AG40">
        <v>3.8</v>
      </c>
      <c r="AI40" t="s">
        <v>42</v>
      </c>
      <c r="AJ40">
        <v>2.6</v>
      </c>
      <c r="AK40">
        <v>1</v>
      </c>
      <c r="AL40">
        <v>-5.9</v>
      </c>
      <c r="AM40">
        <v>0.5</v>
      </c>
      <c r="BC40" s="4"/>
    </row>
    <row r="41" spans="1:55" x14ac:dyDescent="0.2">
      <c r="A41" t="s">
        <v>38</v>
      </c>
      <c r="B41">
        <v>1.6</v>
      </c>
      <c r="C41">
        <v>-1.2</v>
      </c>
      <c r="D41">
        <v>-3.4</v>
      </c>
      <c r="E41">
        <v>1.5</v>
      </c>
      <c r="G41" t="s">
        <v>75</v>
      </c>
      <c r="H41" s="2">
        <v>0.05</v>
      </c>
      <c r="I41" s="2">
        <v>2.3E-2</v>
      </c>
      <c r="J41" s="2">
        <v>4.1000000000000002E-2</v>
      </c>
      <c r="L41" s="2" t="s">
        <v>6</v>
      </c>
      <c r="M41">
        <v>932</v>
      </c>
      <c r="N41">
        <v>802.4</v>
      </c>
      <c r="O41">
        <v>975</v>
      </c>
      <c r="Q41" s="2" t="s">
        <v>6</v>
      </c>
      <c r="R41">
        <v>5.2</v>
      </c>
      <c r="S41">
        <v>5.0999999999999996</v>
      </c>
      <c r="T41">
        <v>2.4</v>
      </c>
      <c r="U41">
        <v>-2.2000000000000002</v>
      </c>
      <c r="V41">
        <v>5.2</v>
      </c>
      <c r="X41" t="s">
        <v>55</v>
      </c>
      <c r="Y41">
        <v>3</v>
      </c>
      <c r="Z41">
        <v>-2.8</v>
      </c>
      <c r="AA41">
        <v>1.7</v>
      </c>
      <c r="AC41" t="s">
        <v>1</v>
      </c>
      <c r="AD41">
        <v>9</v>
      </c>
      <c r="AE41">
        <v>6.7</v>
      </c>
      <c r="AF41">
        <v>6.2</v>
      </c>
      <c r="AG41">
        <v>7.8</v>
      </c>
      <c r="AI41" t="s">
        <v>21</v>
      </c>
      <c r="AJ41">
        <v>6.4</v>
      </c>
      <c r="AK41">
        <v>2.5</v>
      </c>
      <c r="AL41">
        <v>-4.5</v>
      </c>
      <c r="AM41">
        <v>2.4</v>
      </c>
      <c r="AZ41" t="e">
        <f>LOGEST(BN29:BN52,BO29:BO52,TRUE,TRUE)</f>
        <v>#VALUE!</v>
      </c>
    </row>
    <row r="42" spans="1:55" x14ac:dyDescent="0.2">
      <c r="G42" t="s">
        <v>69</v>
      </c>
      <c r="H42">
        <v>5.9</v>
      </c>
      <c r="I42">
        <v>5.7</v>
      </c>
      <c r="J42">
        <v>6.1</v>
      </c>
      <c r="L42" t="s">
        <v>62</v>
      </c>
      <c r="M42">
        <v>233.1</v>
      </c>
      <c r="N42">
        <v>204.5</v>
      </c>
      <c r="O42">
        <v>253.7</v>
      </c>
      <c r="Q42" t="s">
        <v>62</v>
      </c>
      <c r="R42">
        <v>6</v>
      </c>
      <c r="S42">
        <v>6.2</v>
      </c>
      <c r="T42">
        <v>5.6</v>
      </c>
      <c r="U42">
        <v>3.3</v>
      </c>
      <c r="V42">
        <v>6.5</v>
      </c>
      <c r="X42" t="s">
        <v>100</v>
      </c>
      <c r="Y42">
        <v>0.7</v>
      </c>
      <c r="Z42">
        <v>-3.4</v>
      </c>
      <c r="AA42">
        <v>2.5</v>
      </c>
      <c r="AC42" t="s">
        <v>17</v>
      </c>
      <c r="AD42">
        <v>2.4</v>
      </c>
      <c r="AE42">
        <v>-0.7</v>
      </c>
      <c r="AF42">
        <v>-6.3</v>
      </c>
      <c r="AG42">
        <v>1</v>
      </c>
      <c r="AI42" t="s">
        <v>1</v>
      </c>
      <c r="AJ42">
        <v>9.3000000000000007</v>
      </c>
      <c r="AK42">
        <v>7.5</v>
      </c>
      <c r="AL42">
        <v>6</v>
      </c>
      <c r="AM42">
        <v>7.5</v>
      </c>
    </row>
    <row r="43" spans="1:55" x14ac:dyDescent="0.2">
      <c r="A43" t="s">
        <v>40</v>
      </c>
      <c r="B43">
        <v>2.7</v>
      </c>
      <c r="C43">
        <v>0.6</v>
      </c>
      <c r="D43">
        <v>-4.4000000000000004</v>
      </c>
      <c r="E43">
        <v>1.5</v>
      </c>
      <c r="G43" t="s">
        <v>55</v>
      </c>
      <c r="H43">
        <v>3</v>
      </c>
      <c r="I43">
        <v>-4.2</v>
      </c>
      <c r="J43">
        <v>1.4</v>
      </c>
      <c r="L43" t="s">
        <v>84</v>
      </c>
      <c r="M43">
        <v>467.6</v>
      </c>
      <c r="N43">
        <v>368.2</v>
      </c>
      <c r="O43">
        <v>407.8</v>
      </c>
      <c r="Q43" t="s">
        <v>84</v>
      </c>
      <c r="R43">
        <v>4.3</v>
      </c>
      <c r="S43">
        <v>3.4</v>
      </c>
      <c r="T43">
        <v>4.2</v>
      </c>
      <c r="U43">
        <v>0.2</v>
      </c>
      <c r="V43">
        <v>3</v>
      </c>
      <c r="AC43" t="s">
        <v>6</v>
      </c>
      <c r="AD43">
        <v>5.0999999999999996</v>
      </c>
      <c r="AE43">
        <v>2.2000000000000002</v>
      </c>
      <c r="AF43">
        <v>0.4</v>
      </c>
      <c r="AG43">
        <v>5.2</v>
      </c>
      <c r="AI43" t="s">
        <v>61</v>
      </c>
      <c r="AJ43">
        <v>5.3</v>
      </c>
      <c r="AK43">
        <v>4</v>
      </c>
      <c r="AL43">
        <v>-0.6</v>
      </c>
      <c r="AM43">
        <v>2.9</v>
      </c>
    </row>
    <row r="44" spans="1:55" x14ac:dyDescent="0.2">
      <c r="A44" t="s">
        <v>41</v>
      </c>
      <c r="B44">
        <v>2.2999999999999998</v>
      </c>
      <c r="C44">
        <v>0.3</v>
      </c>
      <c r="D44">
        <v>-3</v>
      </c>
      <c r="E44">
        <v>1.9</v>
      </c>
      <c r="G44" t="s">
        <v>21</v>
      </c>
      <c r="H44">
        <v>2.4</v>
      </c>
      <c r="I44">
        <v>-2.7</v>
      </c>
      <c r="J44">
        <v>4</v>
      </c>
      <c r="L44" t="s">
        <v>7</v>
      </c>
      <c r="M44">
        <v>391.5</v>
      </c>
      <c r="N44">
        <v>350</v>
      </c>
      <c r="O44">
        <v>377.8</v>
      </c>
      <c r="Q44" t="s">
        <v>7</v>
      </c>
      <c r="R44">
        <v>4.8</v>
      </c>
      <c r="S44">
        <v>5.7</v>
      </c>
      <c r="T44">
        <v>0.1</v>
      </c>
      <c r="U44">
        <v>-4.8</v>
      </c>
      <c r="V44">
        <v>4.8</v>
      </c>
      <c r="X44" t="s">
        <v>106</v>
      </c>
      <c r="Y44">
        <v>0.6</v>
      </c>
      <c r="Z44">
        <v>-4.2</v>
      </c>
      <c r="AA44">
        <v>1.1000000000000001</v>
      </c>
      <c r="AC44" t="s">
        <v>5</v>
      </c>
      <c r="AD44">
        <v>7.8</v>
      </c>
      <c r="AE44">
        <v>1.1000000000000001</v>
      </c>
      <c r="AF44">
        <v>-2.2000000000000002</v>
      </c>
      <c r="AG44">
        <v>6.5</v>
      </c>
      <c r="AI44" t="s">
        <v>44</v>
      </c>
      <c r="AJ44">
        <v>1.5</v>
      </c>
      <c r="AK44">
        <v>-1</v>
      </c>
      <c r="AL44">
        <v>-5.3</v>
      </c>
      <c r="AM44">
        <v>-0.4</v>
      </c>
    </row>
    <row r="45" spans="1:55" x14ac:dyDescent="0.2">
      <c r="A45" t="s">
        <v>42</v>
      </c>
      <c r="B45">
        <v>2.6</v>
      </c>
      <c r="C45">
        <v>1</v>
      </c>
      <c r="D45">
        <v>-6.1</v>
      </c>
      <c r="E45">
        <v>2.5</v>
      </c>
      <c r="G45" t="s">
        <v>1</v>
      </c>
      <c r="H45">
        <v>6.7</v>
      </c>
      <c r="I45">
        <v>7.2</v>
      </c>
      <c r="J45">
        <v>8.4</v>
      </c>
      <c r="L45" t="s">
        <v>8</v>
      </c>
      <c r="M45">
        <v>273.60000000000002</v>
      </c>
      <c r="N45">
        <v>236.6</v>
      </c>
      <c r="O45">
        <v>255.2</v>
      </c>
      <c r="Q45" t="s">
        <v>8</v>
      </c>
      <c r="R45">
        <v>5.0999999999999996</v>
      </c>
      <c r="S45">
        <v>4.8</v>
      </c>
      <c r="T45">
        <v>2.6</v>
      </c>
      <c r="U45">
        <v>-4.3</v>
      </c>
      <c r="V45">
        <v>5.3</v>
      </c>
      <c r="X45" t="s">
        <v>105</v>
      </c>
      <c r="Y45">
        <v>1.5</v>
      </c>
      <c r="Z45">
        <v>-4.4000000000000004</v>
      </c>
      <c r="AA45">
        <v>1.9</v>
      </c>
      <c r="AC45" t="s">
        <v>7</v>
      </c>
      <c r="AD45">
        <v>5.7</v>
      </c>
      <c r="AE45">
        <v>0.1</v>
      </c>
      <c r="AF45">
        <v>-2.8</v>
      </c>
      <c r="AG45">
        <v>5.0999999999999996</v>
      </c>
      <c r="AI45" t="s">
        <v>17</v>
      </c>
      <c r="AJ45">
        <v>2.4</v>
      </c>
      <c r="AK45">
        <v>-0.7</v>
      </c>
      <c r="AL45">
        <v>-6.3</v>
      </c>
      <c r="AM45">
        <v>1.2</v>
      </c>
    </row>
    <row r="46" spans="1:55" x14ac:dyDescent="0.2">
      <c r="A46" t="s">
        <v>21</v>
      </c>
      <c r="B46">
        <v>6.3</v>
      </c>
      <c r="C46">
        <v>2.5</v>
      </c>
      <c r="D46">
        <v>-4</v>
      </c>
      <c r="E46">
        <v>5.8</v>
      </c>
      <c r="G46" t="s">
        <v>61</v>
      </c>
      <c r="H46">
        <v>4</v>
      </c>
      <c r="I46">
        <v>0.4</v>
      </c>
      <c r="J46">
        <v>3.2</v>
      </c>
      <c r="L46" t="s">
        <v>85</v>
      </c>
      <c r="M46">
        <v>253.1</v>
      </c>
      <c r="N46">
        <v>204.3</v>
      </c>
      <c r="O46">
        <v>224.5</v>
      </c>
      <c r="Q46" t="s">
        <v>85</v>
      </c>
      <c r="R46">
        <v>11.6</v>
      </c>
      <c r="S46">
        <v>5.2</v>
      </c>
      <c r="T46">
        <v>7.4</v>
      </c>
      <c r="U46">
        <v>-2.4</v>
      </c>
      <c r="V46">
        <v>2.2000000000000002</v>
      </c>
      <c r="X46" t="s">
        <v>99</v>
      </c>
      <c r="Y46">
        <v>2.8</v>
      </c>
      <c r="Z46">
        <v>-1.4</v>
      </c>
      <c r="AA46">
        <v>4.2</v>
      </c>
      <c r="AC46" t="s">
        <v>8</v>
      </c>
      <c r="AD46">
        <v>4.9000000000000004</v>
      </c>
      <c r="AE46">
        <v>2.6</v>
      </c>
      <c r="AF46">
        <v>-2.9</v>
      </c>
      <c r="AG46">
        <v>4.5999999999999996</v>
      </c>
      <c r="AI46" t="s">
        <v>59</v>
      </c>
      <c r="AJ46">
        <v>3.1</v>
      </c>
      <c r="AK46">
        <v>-1</v>
      </c>
      <c r="AL46">
        <v>-0.3</v>
      </c>
      <c r="AM46">
        <v>2.2999999999999998</v>
      </c>
    </row>
    <row r="47" spans="1:55" x14ac:dyDescent="0.2">
      <c r="A47" t="s">
        <v>1</v>
      </c>
      <c r="B47">
        <v>9</v>
      </c>
      <c r="C47">
        <v>6.7</v>
      </c>
      <c r="D47">
        <v>5.8</v>
      </c>
      <c r="E47">
        <v>8.1999999999999993</v>
      </c>
      <c r="G47" t="s">
        <v>6</v>
      </c>
      <c r="H47">
        <v>2.2000000000000002</v>
      </c>
      <c r="I47">
        <v>0.2</v>
      </c>
      <c r="J47">
        <v>4.7</v>
      </c>
      <c r="L47" s="2"/>
      <c r="M47" s="2"/>
      <c r="N47" s="2"/>
      <c r="O47" s="2"/>
      <c r="P47" s="2"/>
      <c r="Q47" s="2"/>
      <c r="R47" s="2"/>
      <c r="T47" s="2"/>
      <c r="U47" s="2"/>
      <c r="V47" s="2"/>
      <c r="X47" t="s">
        <v>21</v>
      </c>
      <c r="Y47">
        <v>2.7</v>
      </c>
      <c r="Z47">
        <v>-4.4000000000000004</v>
      </c>
      <c r="AA47">
        <v>4.3</v>
      </c>
      <c r="AC47" t="s">
        <v>114</v>
      </c>
      <c r="AD47">
        <v>2</v>
      </c>
      <c r="AE47">
        <v>1.1000000000000001</v>
      </c>
      <c r="AF47">
        <v>-2.6</v>
      </c>
      <c r="AG47">
        <v>2.7</v>
      </c>
      <c r="AI47" t="s">
        <v>130</v>
      </c>
      <c r="AJ47">
        <v>2.1</v>
      </c>
      <c r="AK47">
        <v>1.1000000000000001</v>
      </c>
      <c r="AL47">
        <v>-1.9</v>
      </c>
      <c r="AM47">
        <v>1.8</v>
      </c>
    </row>
    <row r="48" spans="1:55" x14ac:dyDescent="0.2">
      <c r="A48" t="s">
        <v>61</v>
      </c>
      <c r="B48">
        <v>5.3</v>
      </c>
      <c r="C48">
        <v>4.5999999999999996</v>
      </c>
      <c r="D48">
        <v>-2.4</v>
      </c>
      <c r="E48">
        <v>3</v>
      </c>
      <c r="G48" t="s">
        <v>62</v>
      </c>
      <c r="H48">
        <v>6.4</v>
      </c>
      <c r="I48">
        <v>6.6</v>
      </c>
      <c r="J48">
        <v>6.5</v>
      </c>
      <c r="X48" t="s">
        <v>103</v>
      </c>
      <c r="Y48">
        <v>6.7</v>
      </c>
      <c r="Z48">
        <v>7.2</v>
      </c>
      <c r="AA48">
        <v>8.4</v>
      </c>
      <c r="AI48" t="s">
        <v>63</v>
      </c>
      <c r="AJ48">
        <v>3.2</v>
      </c>
      <c r="AK48">
        <v>2.1</v>
      </c>
      <c r="AL48">
        <v>-1.1000000000000001</v>
      </c>
      <c r="AM48">
        <v>0.8</v>
      </c>
    </row>
    <row r="49" spans="1:39" x14ac:dyDescent="0.2">
      <c r="A49" t="s">
        <v>44</v>
      </c>
      <c r="B49">
        <v>1.5</v>
      </c>
      <c r="C49">
        <v>-1</v>
      </c>
      <c r="D49">
        <v>-5</v>
      </c>
      <c r="E49">
        <v>1.2</v>
      </c>
      <c r="X49" t="s">
        <v>17</v>
      </c>
      <c r="Y49">
        <v>-0.7</v>
      </c>
      <c r="Z49">
        <v>-5.8</v>
      </c>
      <c r="AA49">
        <v>2.7</v>
      </c>
      <c r="AI49" t="s">
        <v>132</v>
      </c>
      <c r="AJ49">
        <v>2.9</v>
      </c>
      <c r="AK49">
        <v>0.9</v>
      </c>
      <c r="AL49">
        <v>-3.2</v>
      </c>
      <c r="AM49">
        <v>1.3</v>
      </c>
    </row>
    <row r="50" spans="1:39" x14ac:dyDescent="0.2">
      <c r="A50" t="s">
        <v>17</v>
      </c>
      <c r="B50">
        <v>2.2999999999999998</v>
      </c>
      <c r="C50">
        <v>-0.7</v>
      </c>
      <c r="D50">
        <v>-5.8</v>
      </c>
      <c r="E50">
        <v>1.5</v>
      </c>
      <c r="G50" t="s">
        <v>74</v>
      </c>
      <c r="H50">
        <v>6.4</v>
      </c>
      <c r="I50">
        <v>-4.7</v>
      </c>
      <c r="J50">
        <v>3.8</v>
      </c>
      <c r="X50" t="s">
        <v>6</v>
      </c>
      <c r="Y50">
        <v>2.4</v>
      </c>
      <c r="Z50">
        <v>-2.5</v>
      </c>
      <c r="AA50">
        <v>5</v>
      </c>
      <c r="AI50" t="s">
        <v>84</v>
      </c>
      <c r="AJ50">
        <v>3.4</v>
      </c>
      <c r="AK50">
        <v>4.3</v>
      </c>
      <c r="AL50">
        <v>-0.1</v>
      </c>
      <c r="AM50">
        <v>3.9</v>
      </c>
    </row>
    <row r="51" spans="1:39" x14ac:dyDescent="0.2">
      <c r="A51" t="s">
        <v>46</v>
      </c>
      <c r="B51">
        <v>3.5</v>
      </c>
      <c r="C51">
        <v>2.1</v>
      </c>
      <c r="D51">
        <v>-4</v>
      </c>
      <c r="E51">
        <v>1.4</v>
      </c>
      <c r="G51" t="s">
        <v>7</v>
      </c>
      <c r="H51">
        <v>0.1</v>
      </c>
      <c r="I51">
        <v>-1.9</v>
      </c>
      <c r="J51">
        <v>4.5</v>
      </c>
      <c r="X51" t="s">
        <v>5</v>
      </c>
      <c r="Y51">
        <v>1.1000000000000001</v>
      </c>
      <c r="Z51">
        <v>-4</v>
      </c>
      <c r="AA51">
        <v>6.5</v>
      </c>
      <c r="AI51" t="s">
        <v>5</v>
      </c>
      <c r="AJ51">
        <v>7.8</v>
      </c>
      <c r="AK51">
        <v>1.1000000000000001</v>
      </c>
      <c r="AL51">
        <v>-6</v>
      </c>
      <c r="AM51">
        <v>5.3</v>
      </c>
    </row>
    <row r="52" spans="1:39" x14ac:dyDescent="0.2">
      <c r="A52" t="s">
        <v>59</v>
      </c>
      <c r="B52">
        <v>3.2</v>
      </c>
      <c r="C52">
        <v>0.2</v>
      </c>
      <c r="D52">
        <v>-1.4</v>
      </c>
      <c r="E52">
        <v>2.7</v>
      </c>
      <c r="G52" t="s">
        <v>8</v>
      </c>
      <c r="H52">
        <v>2.6</v>
      </c>
      <c r="I52">
        <v>-2.2999999999999998</v>
      </c>
      <c r="J52">
        <v>5.5</v>
      </c>
      <c r="L52" s="2"/>
      <c r="M52" s="2"/>
      <c r="N52" s="2"/>
      <c r="O52" s="2"/>
      <c r="P52" s="2"/>
      <c r="Q52" s="2"/>
      <c r="R52" s="2"/>
      <c r="T52" s="2"/>
      <c r="U52" s="2"/>
      <c r="V52" s="2"/>
      <c r="X52" t="s">
        <v>7</v>
      </c>
      <c r="Y52">
        <v>0.1</v>
      </c>
      <c r="Z52">
        <v>-4</v>
      </c>
      <c r="AA52">
        <v>6</v>
      </c>
      <c r="AI52" t="s">
        <v>22</v>
      </c>
      <c r="AJ52">
        <v>5.0999999999999996</v>
      </c>
      <c r="AK52">
        <v>2.2000000000000002</v>
      </c>
      <c r="AL52">
        <v>-2.2999999999999998</v>
      </c>
      <c r="AM52">
        <v>3.6</v>
      </c>
    </row>
    <row r="53" spans="1:39" x14ac:dyDescent="0.2">
      <c r="A53" t="s">
        <v>62</v>
      </c>
      <c r="B53">
        <v>6.2</v>
      </c>
      <c r="C53">
        <v>5.4</v>
      </c>
      <c r="D53">
        <v>3</v>
      </c>
      <c r="E53">
        <v>5.5</v>
      </c>
      <c r="G53" t="s">
        <v>76</v>
      </c>
      <c r="H53" s="2">
        <v>5.1999999999999998E-2</v>
      </c>
      <c r="I53" s="2">
        <v>0.01</v>
      </c>
      <c r="J53" s="2">
        <v>0.06</v>
      </c>
      <c r="X53" t="s">
        <v>8</v>
      </c>
      <c r="Y53">
        <v>2.6</v>
      </c>
      <c r="Z53">
        <v>-4</v>
      </c>
      <c r="AA53">
        <v>5</v>
      </c>
      <c r="AI53" t="s">
        <v>49</v>
      </c>
      <c r="AJ53">
        <v>3.7</v>
      </c>
      <c r="AK53">
        <v>1.2</v>
      </c>
      <c r="AL53">
        <v>-3.2</v>
      </c>
      <c r="AM53">
        <v>-0.1</v>
      </c>
    </row>
    <row r="54" spans="1:39" x14ac:dyDescent="0.2">
      <c r="A54" t="s">
        <v>63</v>
      </c>
      <c r="B54">
        <v>3.2</v>
      </c>
      <c r="C54">
        <v>2.1</v>
      </c>
      <c r="D54">
        <v>-0.7</v>
      </c>
      <c r="E54">
        <v>2.1</v>
      </c>
      <c r="X54" t="s">
        <v>107</v>
      </c>
      <c r="Y54">
        <v>0.7</v>
      </c>
      <c r="Z54">
        <v>-3.5</v>
      </c>
      <c r="AA54">
        <v>1.5</v>
      </c>
      <c r="AI54" t="s">
        <v>50</v>
      </c>
      <c r="AJ54">
        <v>2.7</v>
      </c>
      <c r="AK54">
        <v>-0.4</v>
      </c>
      <c r="AL54">
        <v>-4.5</v>
      </c>
      <c r="AM54">
        <v>1</v>
      </c>
    </row>
    <row r="55" spans="1:39" x14ac:dyDescent="0.2">
      <c r="A55" t="s">
        <v>22</v>
      </c>
      <c r="B55">
        <v>5.0999999999999996</v>
      </c>
      <c r="C55">
        <v>2.2000000000000002</v>
      </c>
      <c r="D55">
        <v>-1.7</v>
      </c>
      <c r="E55">
        <v>4.8</v>
      </c>
      <c r="X55" t="s">
        <v>104</v>
      </c>
      <c r="Y55">
        <v>1.1000000000000001</v>
      </c>
      <c r="Z55">
        <v>-2.4</v>
      </c>
      <c r="AA55">
        <v>3.6</v>
      </c>
      <c r="AI55" t="s">
        <v>51</v>
      </c>
      <c r="AJ55">
        <v>3.3</v>
      </c>
      <c r="AK55">
        <v>1.6</v>
      </c>
      <c r="AL55">
        <v>-2.1</v>
      </c>
      <c r="AM55">
        <v>0.2</v>
      </c>
    </row>
    <row r="56" spans="1:39" x14ac:dyDescent="0.2">
      <c r="A56" t="s">
        <v>49</v>
      </c>
      <c r="B56">
        <v>3.7</v>
      </c>
      <c r="C56">
        <v>1.2</v>
      </c>
      <c r="D56">
        <v>-3.9</v>
      </c>
      <c r="E56">
        <v>-0.3</v>
      </c>
      <c r="AI56" t="s">
        <v>7</v>
      </c>
      <c r="AJ56">
        <v>5.7</v>
      </c>
      <c r="AK56">
        <v>0.1</v>
      </c>
      <c r="AL56">
        <v>-5.0999999999999996</v>
      </c>
      <c r="AM56">
        <v>4.4000000000000004</v>
      </c>
    </row>
    <row r="57" spans="1:39" x14ac:dyDescent="0.2">
      <c r="A57" t="s">
        <v>50</v>
      </c>
      <c r="B57">
        <v>2.7</v>
      </c>
      <c r="C57">
        <v>-0.4</v>
      </c>
      <c r="D57">
        <v>-4.7</v>
      </c>
      <c r="E57">
        <v>2.2000000000000002</v>
      </c>
      <c r="AI57" t="s">
        <v>8</v>
      </c>
      <c r="AJ57">
        <v>4.9000000000000004</v>
      </c>
      <c r="AK57">
        <v>2.6</v>
      </c>
      <c r="AL57">
        <v>-3.5</v>
      </c>
      <c r="AM57">
        <v>3.5</v>
      </c>
    </row>
    <row r="58" spans="1:39" x14ac:dyDescent="0.2">
      <c r="A58" t="s">
        <v>51</v>
      </c>
      <c r="B58">
        <v>3.3</v>
      </c>
      <c r="C58">
        <v>1.6</v>
      </c>
      <c r="D58">
        <v>-1.8</v>
      </c>
      <c r="E58">
        <v>1.2</v>
      </c>
      <c r="AI58" t="s">
        <v>126</v>
      </c>
      <c r="AJ58">
        <v>5.2</v>
      </c>
      <c r="AK58">
        <v>7</v>
      </c>
      <c r="AL58">
        <v>-1.2</v>
      </c>
      <c r="AM58">
        <v>4.3</v>
      </c>
    </row>
    <row r="59" spans="1:39" x14ac:dyDescent="0.2">
      <c r="A59" t="s">
        <v>7</v>
      </c>
      <c r="B59">
        <v>5.7</v>
      </c>
      <c r="C59">
        <v>0.1</v>
      </c>
      <c r="D59">
        <v>-7</v>
      </c>
      <c r="E59">
        <v>5.5</v>
      </c>
      <c r="AI59" t="s">
        <v>52</v>
      </c>
      <c r="AJ59">
        <v>3</v>
      </c>
      <c r="AK59">
        <v>0.7</v>
      </c>
      <c r="AL59">
        <v>-3.8</v>
      </c>
      <c r="AM59">
        <v>1.6</v>
      </c>
    </row>
    <row r="60" spans="1:39" x14ac:dyDescent="0.2">
      <c r="A60" t="s">
        <v>8</v>
      </c>
      <c r="B60">
        <v>4.9000000000000004</v>
      </c>
      <c r="C60">
        <v>2.6</v>
      </c>
      <c r="D60">
        <v>-4</v>
      </c>
      <c r="E60">
        <v>4.2</v>
      </c>
      <c r="AI60" t="s">
        <v>114</v>
      </c>
      <c r="AJ60">
        <v>2</v>
      </c>
      <c r="AK60">
        <v>1.1000000000000001</v>
      </c>
      <c r="AL60">
        <v>-1.9</v>
      </c>
      <c r="AM60">
        <v>1.9</v>
      </c>
    </row>
    <row r="61" spans="1:39" x14ac:dyDescent="0.2">
      <c r="A61" t="s">
        <v>52</v>
      </c>
      <c r="B61">
        <v>2.6</v>
      </c>
      <c r="C61">
        <v>0.7</v>
      </c>
      <c r="D61">
        <v>-4</v>
      </c>
      <c r="E61">
        <v>1.9</v>
      </c>
      <c r="AI61" t="s">
        <v>131</v>
      </c>
      <c r="AJ61">
        <v>2.7</v>
      </c>
      <c r="AK61">
        <v>0.7</v>
      </c>
      <c r="AL61">
        <v>-4.0999999999999996</v>
      </c>
      <c r="AM61">
        <v>0.4</v>
      </c>
    </row>
    <row r="62" spans="1:39" x14ac:dyDescent="0.2">
      <c r="A62" t="s">
        <v>53</v>
      </c>
      <c r="B62">
        <v>2</v>
      </c>
      <c r="C62">
        <v>1.1000000000000001</v>
      </c>
      <c r="D62">
        <v>-2.5</v>
      </c>
      <c r="E62">
        <v>2.2999999999999998</v>
      </c>
      <c r="AI62" t="s">
        <v>128</v>
      </c>
      <c r="AJ62">
        <v>3.6</v>
      </c>
      <c r="AK62">
        <v>1.7</v>
      </c>
      <c r="AL62">
        <v>-2.2999999999999998</v>
      </c>
      <c r="AM62">
        <v>2.2000000000000002</v>
      </c>
    </row>
    <row r="63" spans="1:39" x14ac:dyDescent="0.2">
      <c r="A63" t="s">
        <v>54</v>
      </c>
      <c r="B63">
        <v>5</v>
      </c>
      <c r="C63">
        <v>2.9</v>
      </c>
      <c r="D63">
        <v>-1.2</v>
      </c>
      <c r="E63">
        <v>4.4000000000000004</v>
      </c>
      <c r="AI63" t="s">
        <v>129</v>
      </c>
      <c r="AJ63">
        <v>5.4</v>
      </c>
      <c r="AK63">
        <v>3.1</v>
      </c>
      <c r="AL63">
        <v>-0.8</v>
      </c>
      <c r="AM63">
        <v>3.3</v>
      </c>
    </row>
  </sheetData>
  <phoneticPr fontId="3" type="noConversion"/>
  <pageMargins left="0.75" right="0.75" top="1" bottom="1" header="0.5" footer="0.5"/>
  <pageSetup scale="20"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L41"/>
  <sheetViews>
    <sheetView topLeftCell="AB1" workbookViewId="0">
      <selection activeCell="AK3" sqref="AK3"/>
    </sheetView>
  </sheetViews>
  <sheetFormatPr defaultRowHeight="12.75" x14ac:dyDescent="0.2"/>
  <cols>
    <col min="1" max="1" width="14.42578125" customWidth="1"/>
    <col min="7" max="7" width="14.7109375" customWidth="1"/>
    <col min="12" max="12" width="11.42578125" customWidth="1"/>
    <col min="21" max="21" width="11.140625" bestFit="1" customWidth="1"/>
    <col min="22" max="22" width="12" customWidth="1"/>
    <col min="24" max="24" width="11.140625" bestFit="1" customWidth="1"/>
    <col min="36" max="36" width="35.28515625" customWidth="1"/>
    <col min="37" max="37" width="40.7109375" customWidth="1"/>
    <col min="38" max="38" width="19.85546875" customWidth="1"/>
  </cols>
  <sheetData>
    <row r="1" spans="1:38" x14ac:dyDescent="0.2">
      <c r="B1" s="5" t="s">
        <v>150</v>
      </c>
      <c r="C1" s="3"/>
      <c r="G1" s="5" t="s">
        <v>159</v>
      </c>
      <c r="L1" s="3" t="s">
        <v>165</v>
      </c>
      <c r="M1" s="3"/>
      <c r="Q1" s="10" t="s">
        <v>161</v>
      </c>
    </row>
    <row r="2" spans="1:38" x14ac:dyDescent="0.2">
      <c r="B2">
        <v>2008</v>
      </c>
      <c r="C2">
        <v>2009</v>
      </c>
      <c r="D2" s="5">
        <v>2010</v>
      </c>
      <c r="H2">
        <v>2008</v>
      </c>
      <c r="I2">
        <v>2009</v>
      </c>
      <c r="J2" s="5">
        <v>2010</v>
      </c>
      <c r="M2">
        <v>2009</v>
      </c>
      <c r="N2" s="5">
        <v>2010</v>
      </c>
      <c r="Q2">
        <v>2008</v>
      </c>
      <c r="R2">
        <v>2009</v>
      </c>
      <c r="S2" s="13">
        <v>2010</v>
      </c>
      <c r="T2" s="10">
        <v>2011</v>
      </c>
      <c r="V2" s="6" t="s">
        <v>335</v>
      </c>
      <c r="Y2" t="str">
        <f>Inflation!$AY$3</f>
        <v>Stripped Spread Z stat</v>
      </c>
      <c r="AJ2" s="62" t="s">
        <v>313</v>
      </c>
      <c r="AK2" s="62" t="s">
        <v>314</v>
      </c>
      <c r="AL2" s="59" t="str">
        <f>Inflation!$AY$3</f>
        <v>Stripped Spread Z stat</v>
      </c>
    </row>
    <row r="3" spans="1:38" x14ac:dyDescent="0.2">
      <c r="A3" t="s">
        <v>10</v>
      </c>
      <c r="B3">
        <v>133.30000000000001</v>
      </c>
      <c r="C3">
        <v>182.7</v>
      </c>
      <c r="D3">
        <v>147</v>
      </c>
      <c r="G3" t="s">
        <v>10</v>
      </c>
      <c r="H3">
        <v>169</v>
      </c>
      <c r="I3">
        <v>209</v>
      </c>
      <c r="J3">
        <v>168</v>
      </c>
      <c r="L3" t="s">
        <v>10</v>
      </c>
      <c r="M3">
        <v>177.3</v>
      </c>
      <c r="N3">
        <v>159.4</v>
      </c>
      <c r="Q3" s="4">
        <v>136.4</v>
      </c>
      <c r="R3" s="4">
        <v>165.1</v>
      </c>
      <c r="S3" s="4">
        <v>139.69999999999999</v>
      </c>
      <c r="T3" s="4">
        <v>130.69999999999999</v>
      </c>
      <c r="U3" t="str">
        <f>A3</f>
        <v>Argentina</v>
      </c>
      <c r="V3" s="4">
        <f>(T3-T$29)/T$30</f>
        <v>0.2963415539117295</v>
      </c>
      <c r="X3" t="s">
        <v>10</v>
      </c>
      <c r="Y3" s="4">
        <f>VLOOKUP(X3,'Stripped Spread'!C18:E60,3,FALSE)</f>
        <v>1.4255405250063531</v>
      </c>
      <c r="AJ3" s="59" t="s">
        <v>10</v>
      </c>
      <c r="AK3" s="60">
        <f>VLOOKUP(AJ3,$U$3:$V$27,2,FALSE)</f>
        <v>0.2963415539117295</v>
      </c>
      <c r="AL3" s="60">
        <f>VLOOKUP(AJ3,$X$3:$Y$27,2,FALSE)</f>
        <v>1.4255405250063531</v>
      </c>
    </row>
    <row r="4" spans="1:38" x14ac:dyDescent="0.2">
      <c r="A4" t="s">
        <v>9</v>
      </c>
      <c r="B4">
        <v>87.3</v>
      </c>
      <c r="C4">
        <v>121.4</v>
      </c>
      <c r="D4">
        <v>114.6</v>
      </c>
      <c r="G4" t="s">
        <v>9</v>
      </c>
      <c r="H4">
        <v>115</v>
      </c>
      <c r="I4">
        <v>146.5</v>
      </c>
      <c r="J4">
        <v>119.6</v>
      </c>
      <c r="L4" t="s">
        <v>9</v>
      </c>
      <c r="M4">
        <v>113</v>
      </c>
      <c r="N4">
        <v>93</v>
      </c>
      <c r="Q4" s="4">
        <v>87.3</v>
      </c>
      <c r="R4" s="4">
        <v>109.4</v>
      </c>
      <c r="S4" s="4">
        <v>123.8</v>
      </c>
      <c r="T4" s="4">
        <v>135.1</v>
      </c>
      <c r="U4" t="str">
        <f t="shared" ref="U4:U27" si="0">A4</f>
        <v>Brazil</v>
      </c>
      <c r="V4" s="4">
        <f t="shared" ref="V4:V27" si="1">(T4-T$29)/T$30</f>
        <v>0.3700750326049897</v>
      </c>
      <c r="X4" t="s">
        <v>9</v>
      </c>
      <c r="Y4" s="4">
        <f>VLOOKUP(X4,'Stripped Spread'!C19:E61,3,FALSE)</f>
        <v>-0.49043451301485325</v>
      </c>
      <c r="AJ4" s="59" t="s">
        <v>9</v>
      </c>
      <c r="AK4" s="60">
        <f t="shared" ref="AK4:AK25" si="2">VLOOKUP(AJ4,$U$3:$V$27,2,FALSE)</f>
        <v>0.3700750326049897</v>
      </c>
      <c r="AL4" s="60">
        <f t="shared" ref="AL4:AL25" si="3">VLOOKUP(AJ4,$X$3:$Y$27,2,FALSE)</f>
        <v>-0.49043451301485325</v>
      </c>
    </row>
    <row r="5" spans="1:38" x14ac:dyDescent="0.2">
      <c r="A5" t="s">
        <v>36</v>
      </c>
      <c r="B5">
        <v>64.900000000000006</v>
      </c>
      <c r="C5">
        <v>82</v>
      </c>
      <c r="D5">
        <v>81.099999999999994</v>
      </c>
      <c r="G5" t="s">
        <v>36</v>
      </c>
      <c r="H5">
        <v>84</v>
      </c>
      <c r="I5">
        <v>120</v>
      </c>
      <c r="J5">
        <v>111</v>
      </c>
      <c r="L5" t="s">
        <v>36</v>
      </c>
      <c r="M5">
        <v>138</v>
      </c>
      <c r="N5">
        <v>121</v>
      </c>
      <c r="Q5" s="4">
        <v>67.7</v>
      </c>
      <c r="R5" s="4">
        <v>82</v>
      </c>
      <c r="S5" s="4">
        <v>81.400000000000006</v>
      </c>
      <c r="T5" s="4">
        <v>76.5</v>
      </c>
      <c r="U5" t="str">
        <f t="shared" si="0"/>
        <v>Chile</v>
      </c>
      <c r="V5" s="4">
        <f t="shared" si="1"/>
        <v>-0.61192084271888303</v>
      </c>
      <c r="X5" t="s">
        <v>36</v>
      </c>
      <c r="Y5" s="4">
        <f>VLOOKUP(X5,'Stripped Spread'!C20:E62,3,FALSE)</f>
        <v>-0.6767951584626779</v>
      </c>
      <c r="AJ5" s="59" t="s">
        <v>36</v>
      </c>
      <c r="AK5" s="60">
        <f t="shared" si="2"/>
        <v>-0.61192084271888303</v>
      </c>
      <c r="AL5" s="60">
        <f t="shared" si="3"/>
        <v>-0.6767951584626779</v>
      </c>
    </row>
    <row r="6" spans="1:38" x14ac:dyDescent="0.2">
      <c r="A6" t="s">
        <v>0</v>
      </c>
      <c r="B6">
        <v>28.4</v>
      </c>
      <c r="C6">
        <v>33.200000000000003</v>
      </c>
      <c r="D6">
        <v>28.3</v>
      </c>
      <c r="G6" t="s">
        <v>0</v>
      </c>
      <c r="H6">
        <v>26.2</v>
      </c>
      <c r="I6">
        <v>29.3</v>
      </c>
      <c r="J6">
        <v>29.2</v>
      </c>
      <c r="L6" t="s">
        <v>0</v>
      </c>
      <c r="M6">
        <v>2.9</v>
      </c>
      <c r="N6">
        <v>2.7</v>
      </c>
      <c r="Q6" s="4">
        <v>22.2</v>
      </c>
      <c r="R6" s="4">
        <v>27.6</v>
      </c>
      <c r="S6" s="4">
        <v>23.6</v>
      </c>
      <c r="T6" s="4">
        <v>21.4</v>
      </c>
      <c r="U6" t="str">
        <f t="shared" si="0"/>
        <v>China</v>
      </c>
      <c r="V6" s="4">
        <f t="shared" si="1"/>
        <v>-1.5352650872640263</v>
      </c>
      <c r="X6" t="s">
        <v>0</v>
      </c>
      <c r="Y6" s="4">
        <f>VLOOKUP(X6,'Stripped Spread'!C21:E63,3,FALSE)</f>
        <v>-0.36041566053529961</v>
      </c>
      <c r="AJ6" s="59" t="s">
        <v>0</v>
      </c>
      <c r="AK6" s="60">
        <f t="shared" si="2"/>
        <v>-1.5352650872640263</v>
      </c>
      <c r="AL6" s="60">
        <f t="shared" si="3"/>
        <v>-0.36041566053529961</v>
      </c>
    </row>
    <row r="7" spans="1:38" x14ac:dyDescent="0.2">
      <c r="A7" t="s">
        <v>37</v>
      </c>
      <c r="B7">
        <v>104.8</v>
      </c>
      <c r="C7">
        <v>131.5</v>
      </c>
      <c r="D7">
        <v>119</v>
      </c>
      <c r="G7" t="s">
        <v>37</v>
      </c>
      <c r="H7">
        <v>109</v>
      </c>
      <c r="I7">
        <v>129.5</v>
      </c>
      <c r="J7">
        <v>122.8</v>
      </c>
      <c r="L7" t="s">
        <v>37</v>
      </c>
      <c r="M7">
        <v>122</v>
      </c>
      <c r="N7">
        <v>110</v>
      </c>
      <c r="Q7" s="4">
        <v>104.5</v>
      </c>
      <c r="R7" s="4">
        <v>142</v>
      </c>
      <c r="S7" s="4">
        <v>138.9</v>
      </c>
      <c r="T7" s="4">
        <v>133.69999999999999</v>
      </c>
      <c r="U7" t="str">
        <f t="shared" si="0"/>
        <v>Colombia</v>
      </c>
      <c r="V7" s="4">
        <f t="shared" si="1"/>
        <v>0.34661438029349773</v>
      </c>
      <c r="X7" t="s">
        <v>37</v>
      </c>
      <c r="Y7" s="4">
        <f>VLOOKUP(X7,'Stripped Spread'!C22:E64,3,FALSE)</f>
        <v>-0.58302567466255073</v>
      </c>
      <c r="AJ7" s="59" t="s">
        <v>37</v>
      </c>
      <c r="AK7" s="60">
        <f t="shared" si="2"/>
        <v>0.34661438029349773</v>
      </c>
      <c r="AL7" s="60">
        <f t="shared" si="3"/>
        <v>-0.58302567466255073</v>
      </c>
    </row>
    <row r="8" spans="1:38" x14ac:dyDescent="0.2">
      <c r="A8" t="s">
        <v>39</v>
      </c>
      <c r="B8">
        <v>80.900000000000006</v>
      </c>
      <c r="C8">
        <v>94.7</v>
      </c>
      <c r="D8">
        <v>87.2</v>
      </c>
      <c r="G8" t="s">
        <v>39</v>
      </c>
      <c r="H8">
        <v>82.4</v>
      </c>
      <c r="I8">
        <v>95</v>
      </c>
      <c r="J8">
        <v>83.3</v>
      </c>
      <c r="L8" t="s">
        <v>39</v>
      </c>
      <c r="Q8" s="4">
        <v>82</v>
      </c>
      <c r="R8" s="4">
        <v>85.8</v>
      </c>
      <c r="S8" s="4">
        <v>68.8</v>
      </c>
      <c r="T8" s="4">
        <v>78</v>
      </c>
      <c r="U8" t="str">
        <f t="shared" si="0"/>
        <v>Ecuador</v>
      </c>
      <c r="V8" s="4">
        <f t="shared" si="1"/>
        <v>-0.58678442952799892</v>
      </c>
      <c r="X8" t="s">
        <v>39</v>
      </c>
      <c r="Y8" s="4">
        <f>VLOOKUP(X8,'Stripped Spread'!C23:E65,3,FALSE)</f>
        <v>1.4223422220211868</v>
      </c>
      <c r="AJ8" s="59" t="s">
        <v>65</v>
      </c>
      <c r="AK8" s="60">
        <f t="shared" si="2"/>
        <v>-0.64543606030672851</v>
      </c>
      <c r="AL8" s="60">
        <f t="shared" si="3"/>
        <v>5.2153815465916083E-2</v>
      </c>
    </row>
    <row r="9" spans="1:38" x14ac:dyDescent="0.2">
      <c r="A9" t="s">
        <v>65</v>
      </c>
      <c r="G9" t="s">
        <v>65</v>
      </c>
      <c r="H9">
        <v>63.7</v>
      </c>
      <c r="I9">
        <v>66.8</v>
      </c>
      <c r="J9">
        <v>63.9</v>
      </c>
      <c r="L9" t="s">
        <v>65</v>
      </c>
      <c r="M9">
        <v>86.8</v>
      </c>
      <c r="N9">
        <v>85</v>
      </c>
      <c r="Q9" s="34">
        <f>AVERAGE(B9,H9)</f>
        <v>63.7</v>
      </c>
      <c r="R9" s="34">
        <f>AVERAGE(C9,I9,M9)</f>
        <v>76.8</v>
      </c>
      <c r="S9" s="34">
        <v>73.5</v>
      </c>
      <c r="T9" s="34">
        <v>74.5</v>
      </c>
      <c r="U9" t="str">
        <f t="shared" si="0"/>
        <v>Egypt</v>
      </c>
      <c r="V9" s="4">
        <f>(T9-T$29)/T$30</f>
        <v>-0.64543606030672851</v>
      </c>
      <c r="X9" t="s">
        <v>65</v>
      </c>
      <c r="Y9" s="4">
        <f>VLOOKUP(X9,'Stripped Spread'!C24:E66,3,FALSE)</f>
        <v>5.2153815465916083E-2</v>
      </c>
      <c r="AJ9" s="59" t="s">
        <v>43</v>
      </c>
      <c r="AK9" s="60">
        <f t="shared" si="2"/>
        <v>0.17233524883670134</v>
      </c>
      <c r="AL9" s="60">
        <f t="shared" si="3"/>
        <v>0.23579793496626733</v>
      </c>
    </row>
    <row r="10" spans="1:38" x14ac:dyDescent="0.2">
      <c r="A10" t="s">
        <v>43</v>
      </c>
      <c r="B10">
        <v>124</v>
      </c>
      <c r="C10">
        <v>143.30000000000001</v>
      </c>
      <c r="D10">
        <v>144.69999999999999</v>
      </c>
      <c r="G10" t="s">
        <v>43</v>
      </c>
      <c r="H10">
        <v>134.4</v>
      </c>
      <c r="I10">
        <v>191.2</v>
      </c>
      <c r="J10">
        <v>169.9</v>
      </c>
      <c r="L10" t="s">
        <v>43</v>
      </c>
      <c r="Q10" s="34">
        <v>134.5</v>
      </c>
      <c r="R10" s="34">
        <v>186.2</v>
      </c>
      <c r="S10" s="34">
        <v>135.5</v>
      </c>
      <c r="T10" s="34">
        <v>123.3</v>
      </c>
      <c r="U10" t="str">
        <f t="shared" si="0"/>
        <v>Hungary</v>
      </c>
      <c r="V10" s="4">
        <f t="shared" si="1"/>
        <v>0.17233524883670134</v>
      </c>
      <c r="X10" t="s">
        <v>43</v>
      </c>
      <c r="Y10" s="4">
        <f>VLOOKUP(X10,'Stripped Spread'!C25:E67,3,FALSE)</f>
        <v>0.23579793496626733</v>
      </c>
      <c r="AJ10" s="59" t="s">
        <v>2</v>
      </c>
      <c r="AK10" s="60">
        <f t="shared" si="2"/>
        <v>-4.3837904604901889E-2</v>
      </c>
      <c r="AL10" s="60">
        <f t="shared" si="3"/>
        <v>-0.35838987515994025</v>
      </c>
    </row>
    <row r="11" spans="1:38" x14ac:dyDescent="0.2">
      <c r="A11" t="s">
        <v>2</v>
      </c>
      <c r="B11">
        <v>95.6</v>
      </c>
      <c r="C11">
        <v>123.6</v>
      </c>
      <c r="D11">
        <v>113.2</v>
      </c>
      <c r="G11" t="s">
        <v>2</v>
      </c>
      <c r="H11">
        <v>98.7</v>
      </c>
      <c r="I11">
        <v>113.2</v>
      </c>
      <c r="J11">
        <v>104.8</v>
      </c>
      <c r="L11" t="s">
        <v>2</v>
      </c>
      <c r="M11">
        <v>113.7</v>
      </c>
      <c r="N11">
        <v>105.3</v>
      </c>
      <c r="Q11" s="34">
        <v>95.8</v>
      </c>
      <c r="R11" s="34">
        <v>127.5</v>
      </c>
      <c r="S11" s="34">
        <v>116.9</v>
      </c>
      <c r="T11" s="34">
        <v>110.4</v>
      </c>
      <c r="U11" t="str">
        <f t="shared" si="0"/>
        <v>Indonesia</v>
      </c>
      <c r="V11" s="4">
        <f t="shared" si="1"/>
        <v>-4.3837904604901889E-2</v>
      </c>
      <c r="X11" t="s">
        <v>2</v>
      </c>
      <c r="Y11" s="4">
        <f>VLOOKUP(X11,'Stripped Spread'!C26:E68,3,FALSE)</f>
        <v>-0.35838987515994025</v>
      </c>
      <c r="AJ11" s="59" t="s">
        <v>45</v>
      </c>
      <c r="AK11" s="60">
        <f t="shared" si="2"/>
        <v>1.1576826459193585</v>
      </c>
      <c r="AL11" s="60">
        <f t="shared" si="3"/>
        <v>0.12883472578450098</v>
      </c>
    </row>
    <row r="12" spans="1:38" x14ac:dyDescent="0.2">
      <c r="A12" t="s">
        <v>45</v>
      </c>
      <c r="G12" t="s">
        <v>45</v>
      </c>
      <c r="H12">
        <v>117.9</v>
      </c>
      <c r="I12">
        <v>217.9</v>
      </c>
      <c r="J12">
        <v>173.7</v>
      </c>
      <c r="L12" t="s">
        <v>45</v>
      </c>
      <c r="M12">
        <v>224.9</v>
      </c>
      <c r="N12">
        <v>190.5</v>
      </c>
      <c r="Q12" s="34">
        <f>AVERAGE(B12,H12)</f>
        <v>117.9</v>
      </c>
      <c r="R12" s="34">
        <f>AVERAGE(C12,I12,M12)</f>
        <v>221.4</v>
      </c>
      <c r="S12" s="34">
        <v>190</v>
      </c>
      <c r="T12" s="34">
        <v>182.1</v>
      </c>
      <c r="U12" t="str">
        <f t="shared" si="0"/>
        <v>Kazakhstan</v>
      </c>
      <c r="V12" s="4">
        <f t="shared" si="1"/>
        <v>1.1576826459193585</v>
      </c>
      <c r="X12" t="s">
        <v>45</v>
      </c>
      <c r="Y12" s="4">
        <f>VLOOKUP(X12,'Stripped Spread'!C27:E69,3,FALSE)</f>
        <v>0.12883472578450098</v>
      </c>
      <c r="AJ12" s="59" t="s">
        <v>3</v>
      </c>
      <c r="AK12" s="60">
        <f t="shared" si="2"/>
        <v>-1.3760678037217602</v>
      </c>
      <c r="AL12" s="60">
        <f t="shared" si="3"/>
        <v>-0.61809672118954739</v>
      </c>
    </row>
    <row r="13" spans="1:38" x14ac:dyDescent="0.2">
      <c r="A13" t="s">
        <v>3</v>
      </c>
      <c r="B13">
        <v>28.7</v>
      </c>
      <c r="C13">
        <v>35.1</v>
      </c>
      <c r="D13">
        <v>34.6</v>
      </c>
      <c r="G13" t="s">
        <v>3</v>
      </c>
      <c r="H13">
        <v>29.6</v>
      </c>
      <c r="I13">
        <v>36.9</v>
      </c>
      <c r="J13">
        <v>31.8</v>
      </c>
      <c r="L13" t="s">
        <v>3</v>
      </c>
      <c r="M13">
        <v>42.9</v>
      </c>
      <c r="N13">
        <v>37.5</v>
      </c>
      <c r="Q13" s="34">
        <v>29.8</v>
      </c>
      <c r="R13" s="34">
        <v>34.5</v>
      </c>
      <c r="S13" s="34">
        <v>34.4</v>
      </c>
      <c r="T13" s="34">
        <v>30.9</v>
      </c>
      <c r="U13" t="str">
        <f t="shared" si="0"/>
        <v>Malaysia</v>
      </c>
      <c r="V13" s="4">
        <f t="shared" si="1"/>
        <v>-1.3760678037217602</v>
      </c>
      <c r="X13" t="s">
        <v>3</v>
      </c>
      <c r="Y13" s="4">
        <f>VLOOKUP(X13,'Stripped Spread'!C28:E70,3,FALSE)</f>
        <v>-0.61809672118954739</v>
      </c>
      <c r="AJ13" s="59" t="s">
        <v>11</v>
      </c>
      <c r="AK13" s="60">
        <f t="shared" si="2"/>
        <v>-0.75771203922601094</v>
      </c>
      <c r="AL13" s="60">
        <f t="shared" si="3"/>
        <v>-0.48422075013713889</v>
      </c>
    </row>
    <row r="14" spans="1:38" x14ac:dyDescent="0.2">
      <c r="A14" t="s">
        <v>11</v>
      </c>
      <c r="B14">
        <v>47.3</v>
      </c>
      <c r="C14">
        <v>61.7</v>
      </c>
      <c r="D14">
        <v>51.4</v>
      </c>
      <c r="G14" t="s">
        <v>11</v>
      </c>
      <c r="H14">
        <v>58.3</v>
      </c>
      <c r="I14">
        <v>65.900000000000006</v>
      </c>
      <c r="J14">
        <v>57.4</v>
      </c>
      <c r="L14" t="s">
        <v>11</v>
      </c>
      <c r="M14">
        <v>75.400000000000006</v>
      </c>
      <c r="N14">
        <v>73</v>
      </c>
      <c r="Q14" s="34">
        <v>47.3</v>
      </c>
      <c r="R14" s="34">
        <v>73.8</v>
      </c>
      <c r="S14" s="34">
        <v>71.099999999999994</v>
      </c>
      <c r="T14" s="34">
        <v>67.8</v>
      </c>
      <c r="U14" t="str">
        <f t="shared" si="0"/>
        <v>Mexico</v>
      </c>
      <c r="V14" s="4">
        <f t="shared" si="1"/>
        <v>-0.75771203922601094</v>
      </c>
      <c r="X14" t="s">
        <v>11</v>
      </c>
      <c r="Y14" s="4">
        <f>VLOOKUP(X14,'Stripped Spread'!C29:E71,3,FALSE)</f>
        <v>-0.48422075013713889</v>
      </c>
      <c r="AJ14" s="59" t="s">
        <v>70</v>
      </c>
      <c r="AK14" s="60">
        <f t="shared" si="2"/>
        <v>2.2201150434540602</v>
      </c>
      <c r="AL14" s="60">
        <f t="shared" si="3"/>
        <v>2.1692475485534328</v>
      </c>
    </row>
    <row r="15" spans="1:38" x14ac:dyDescent="0.2">
      <c r="A15" t="s">
        <v>70</v>
      </c>
      <c r="B15">
        <v>275</v>
      </c>
      <c r="C15">
        <v>322</v>
      </c>
      <c r="D15">
        <v>333</v>
      </c>
      <c r="G15" t="s">
        <v>70</v>
      </c>
      <c r="L15" t="s">
        <v>70</v>
      </c>
      <c r="M15">
        <v>330</v>
      </c>
      <c r="N15">
        <v>326</v>
      </c>
      <c r="Q15" s="34">
        <v>225.4</v>
      </c>
      <c r="R15" s="34">
        <v>224.2</v>
      </c>
      <c r="S15" s="34">
        <v>260.8</v>
      </c>
      <c r="T15" s="34">
        <v>245.5</v>
      </c>
      <c r="U15" t="str">
        <f t="shared" si="0"/>
        <v>Pakistan</v>
      </c>
      <c r="V15" s="4">
        <f t="shared" si="1"/>
        <v>2.2201150434540602</v>
      </c>
      <c r="X15" t="s">
        <v>70</v>
      </c>
      <c r="Y15" s="4">
        <f>VLOOKUP(X15,'Stripped Spread'!C30:E72,3,FALSE)</f>
        <v>2.1692475485534328</v>
      </c>
      <c r="AJ15" s="59" t="s">
        <v>71</v>
      </c>
      <c r="AK15" s="60">
        <f t="shared" si="2"/>
        <v>-0.85658193111015501</v>
      </c>
      <c r="AL15" s="60">
        <f t="shared" si="3"/>
        <v>-0.55505648603455771</v>
      </c>
    </row>
    <row r="16" spans="1:38" x14ac:dyDescent="0.2">
      <c r="A16" t="s">
        <v>71</v>
      </c>
      <c r="B16">
        <v>62.9</v>
      </c>
      <c r="C16">
        <v>75.7</v>
      </c>
      <c r="D16">
        <v>73.099999999999994</v>
      </c>
      <c r="G16" t="s">
        <v>71</v>
      </c>
      <c r="H16">
        <v>51.3</v>
      </c>
      <c r="I16">
        <v>62.2</v>
      </c>
      <c r="J16">
        <v>61</v>
      </c>
      <c r="L16" t="s">
        <v>71</v>
      </c>
      <c r="M16">
        <v>65.8</v>
      </c>
      <c r="N16">
        <v>68.599999999999994</v>
      </c>
      <c r="Q16" s="34">
        <v>59.1</v>
      </c>
      <c r="R16" s="34">
        <v>75.099999999999994</v>
      </c>
      <c r="S16" s="34">
        <v>66.599999999999994</v>
      </c>
      <c r="T16" s="34">
        <v>61.9</v>
      </c>
      <c r="U16" t="str">
        <f t="shared" si="0"/>
        <v>Panama</v>
      </c>
      <c r="V16" s="4">
        <f t="shared" si="1"/>
        <v>-0.85658193111015501</v>
      </c>
      <c r="X16" t="s">
        <v>71</v>
      </c>
      <c r="Y16" s="4">
        <f>VLOOKUP(X16,'Stripped Spread'!C31:E73,3,FALSE)</f>
        <v>-0.55505648603455771</v>
      </c>
      <c r="AJ16" s="59" t="s">
        <v>47</v>
      </c>
      <c r="AK16" s="60">
        <f t="shared" si="2"/>
        <v>-0.36893551520700318</v>
      </c>
      <c r="AL16" s="60">
        <f t="shared" si="3"/>
        <v>-0.50718932529558414</v>
      </c>
    </row>
    <row r="17" spans="1:38" x14ac:dyDescent="0.2">
      <c r="A17" t="s">
        <v>47</v>
      </c>
      <c r="B17">
        <v>89.3</v>
      </c>
      <c r="C17">
        <v>126.4</v>
      </c>
      <c r="D17">
        <v>109.3</v>
      </c>
      <c r="G17" t="s">
        <v>47</v>
      </c>
      <c r="H17">
        <v>98</v>
      </c>
      <c r="I17">
        <v>112</v>
      </c>
      <c r="J17">
        <v>95.5</v>
      </c>
      <c r="L17" t="s">
        <v>47</v>
      </c>
      <c r="M17">
        <v>101</v>
      </c>
      <c r="N17">
        <v>92</v>
      </c>
      <c r="Q17" s="34">
        <v>93</v>
      </c>
      <c r="R17" s="34">
        <v>108</v>
      </c>
      <c r="S17" s="34">
        <v>91</v>
      </c>
      <c r="T17" s="34">
        <v>91</v>
      </c>
      <c r="U17" t="str">
        <f t="shared" si="0"/>
        <v>Peru</v>
      </c>
      <c r="V17" s="4">
        <f t="shared" si="1"/>
        <v>-0.36893551520700318</v>
      </c>
      <c r="X17" t="s">
        <v>47</v>
      </c>
      <c r="Y17" s="4">
        <f>VLOOKUP(X17,'Stripped Spread'!C32:E74,3,FALSE)</f>
        <v>-0.50718932529558414</v>
      </c>
      <c r="AJ17" s="59" t="s">
        <v>4</v>
      </c>
      <c r="AK17" s="60">
        <f t="shared" si="2"/>
        <v>-0.31028388442827359</v>
      </c>
      <c r="AL17" s="60">
        <f t="shared" si="3"/>
        <v>-0.46284842419996541</v>
      </c>
    </row>
    <row r="18" spans="1:38" x14ac:dyDescent="0.2">
      <c r="A18" t="s">
        <v>4</v>
      </c>
      <c r="B18">
        <v>95.6</v>
      </c>
      <c r="C18">
        <v>121.4</v>
      </c>
      <c r="D18">
        <v>118.3</v>
      </c>
      <c r="G18" t="s">
        <v>4</v>
      </c>
      <c r="H18">
        <v>92.2</v>
      </c>
      <c r="I18">
        <v>119.8</v>
      </c>
      <c r="J18">
        <v>110.9</v>
      </c>
      <c r="L18" t="s">
        <v>4</v>
      </c>
      <c r="M18">
        <v>149.80000000000001</v>
      </c>
      <c r="N18">
        <v>139.19999999999999</v>
      </c>
      <c r="Q18" s="34">
        <v>81.7</v>
      </c>
      <c r="R18" s="34">
        <v>100.4</v>
      </c>
      <c r="S18" s="34">
        <v>95.1</v>
      </c>
      <c r="T18" s="34">
        <v>94.5</v>
      </c>
      <c r="U18" t="str">
        <f t="shared" si="0"/>
        <v>Philippines</v>
      </c>
      <c r="V18" s="4">
        <f t="shared" si="1"/>
        <v>-0.31028388442827359</v>
      </c>
      <c r="X18" t="s">
        <v>4</v>
      </c>
      <c r="Y18" s="4">
        <f>VLOOKUP(X18,'Stripped Spread'!C33:E75,3,FALSE)</f>
        <v>-0.46284842419996541</v>
      </c>
      <c r="AJ18" s="59" t="s">
        <v>48</v>
      </c>
      <c r="AK18" s="60">
        <f t="shared" si="2"/>
        <v>-7.0650078675178418E-2</v>
      </c>
      <c r="AL18" s="60">
        <f t="shared" si="3"/>
        <v>-0.36315540465326435</v>
      </c>
    </row>
    <row r="19" spans="1:38" x14ac:dyDescent="0.2">
      <c r="A19" t="s">
        <v>48</v>
      </c>
      <c r="B19">
        <v>120.1</v>
      </c>
      <c r="C19">
        <v>125.2</v>
      </c>
      <c r="D19">
        <v>118.6</v>
      </c>
      <c r="G19" t="s">
        <v>48</v>
      </c>
      <c r="H19">
        <v>114.7</v>
      </c>
      <c r="I19">
        <v>156</v>
      </c>
      <c r="J19">
        <v>155</v>
      </c>
      <c r="L19" t="s">
        <v>48</v>
      </c>
      <c r="M19">
        <v>167.5</v>
      </c>
      <c r="N19">
        <v>152.30000000000001</v>
      </c>
      <c r="Q19" s="34">
        <v>113.6</v>
      </c>
      <c r="R19" s="34">
        <v>164.3</v>
      </c>
      <c r="S19" s="34">
        <v>115.8</v>
      </c>
      <c r="T19" s="34">
        <v>108.8</v>
      </c>
      <c r="U19" t="str">
        <f t="shared" si="0"/>
        <v>Poland</v>
      </c>
      <c r="V19" s="4">
        <f t="shared" si="1"/>
        <v>-7.0650078675178418E-2</v>
      </c>
      <c r="X19" t="s">
        <v>48</v>
      </c>
      <c r="Y19" s="4">
        <f>VLOOKUP(X19,'Stripped Spread'!C34:E76,3,FALSE)</f>
        <v>-0.36315540465326435</v>
      </c>
      <c r="AJ19" s="59" t="s">
        <v>13</v>
      </c>
      <c r="AK19" s="60">
        <f t="shared" si="2"/>
        <v>-0.12930170945390804</v>
      </c>
      <c r="AL19" s="60">
        <f t="shared" si="3"/>
        <v>-0.16466036285246269</v>
      </c>
    </row>
    <row r="20" spans="1:38" x14ac:dyDescent="0.2">
      <c r="A20" t="s">
        <v>13</v>
      </c>
      <c r="B20">
        <v>83.5</v>
      </c>
      <c r="C20">
        <v>125.7</v>
      </c>
      <c r="D20">
        <v>117.3</v>
      </c>
      <c r="G20" t="s">
        <v>13</v>
      </c>
      <c r="H20">
        <v>91</v>
      </c>
      <c r="I20">
        <v>137.5</v>
      </c>
      <c r="J20">
        <v>118.7</v>
      </c>
      <c r="L20" t="s">
        <v>13</v>
      </c>
      <c r="M20">
        <v>135.9</v>
      </c>
      <c r="N20">
        <v>115.2</v>
      </c>
      <c r="Q20" s="34">
        <v>82.6</v>
      </c>
      <c r="R20" s="34">
        <v>123.8</v>
      </c>
      <c r="S20" s="34">
        <v>106.4</v>
      </c>
      <c r="T20" s="34">
        <v>105.3</v>
      </c>
      <c r="U20" t="str">
        <f t="shared" si="0"/>
        <v>Russia</v>
      </c>
      <c r="V20" s="4">
        <f t="shared" si="1"/>
        <v>-0.12930170945390804</v>
      </c>
      <c r="X20" t="s">
        <v>13</v>
      </c>
      <c r="Y20" s="4">
        <f>VLOOKUP(X20,'Stripped Spread'!C35:E77,3,FALSE)</f>
        <v>-0.16466036285246269</v>
      </c>
      <c r="AJ20" s="59" t="s">
        <v>23</v>
      </c>
      <c r="AK20" s="60">
        <f t="shared" si="2"/>
        <v>-0.47618421148810886</v>
      </c>
      <c r="AL20" s="60">
        <f t="shared" si="3"/>
        <v>-0.49266345738201095</v>
      </c>
    </row>
    <row r="21" spans="1:38" x14ac:dyDescent="0.2">
      <c r="A21" t="s">
        <v>23</v>
      </c>
      <c r="B21">
        <v>74.8</v>
      </c>
      <c r="C21">
        <v>81.400000000000006</v>
      </c>
      <c r="D21">
        <v>72.900000000000006</v>
      </c>
      <c r="G21" t="s">
        <v>23</v>
      </c>
      <c r="H21">
        <v>73.400000000000006</v>
      </c>
      <c r="I21">
        <v>98.8</v>
      </c>
      <c r="J21">
        <v>90</v>
      </c>
      <c r="L21" t="s">
        <v>23</v>
      </c>
      <c r="M21">
        <v>79</v>
      </c>
      <c r="N21">
        <v>69.5</v>
      </c>
      <c r="Q21" s="34">
        <v>70</v>
      </c>
      <c r="R21" s="34">
        <v>96.3</v>
      </c>
      <c r="S21" s="34">
        <v>84.7</v>
      </c>
      <c r="T21" s="34">
        <v>84.6</v>
      </c>
      <c r="U21" t="str">
        <f t="shared" si="0"/>
        <v>South Africa</v>
      </c>
      <c r="V21" s="4">
        <f t="shared" si="1"/>
        <v>-0.47618421148810886</v>
      </c>
      <c r="X21" t="s">
        <v>23</v>
      </c>
      <c r="Y21" s="4">
        <f>VLOOKUP(X21,'Stripped Spread'!C36:E78,3,FALSE)</f>
        <v>-0.49266345738201095</v>
      </c>
      <c r="AJ21" s="59" t="s">
        <v>77</v>
      </c>
      <c r="AK21" s="60">
        <f t="shared" si="2"/>
        <v>2.7144645028747814</v>
      </c>
      <c r="AL21" s="60">
        <f t="shared" si="3"/>
        <v>0.16739140015649304</v>
      </c>
    </row>
    <row r="22" spans="1:38" x14ac:dyDescent="0.2">
      <c r="A22" t="s">
        <v>77</v>
      </c>
      <c r="B22">
        <v>268</v>
      </c>
      <c r="C22">
        <v>318</v>
      </c>
      <c r="D22">
        <v>275</v>
      </c>
      <c r="G22" t="s">
        <v>77</v>
      </c>
      <c r="L22" t="s">
        <v>77</v>
      </c>
      <c r="Q22" s="34">
        <f>AVERAGE(B22,H22)</f>
        <v>268</v>
      </c>
      <c r="R22" s="34">
        <f>AVERAGE(C22,I22,M22)</f>
        <v>318</v>
      </c>
      <c r="S22" s="34">
        <v>287</v>
      </c>
      <c r="T22" s="34">
        <v>275</v>
      </c>
      <c r="U22" t="str">
        <f t="shared" si="0"/>
        <v>Sri Lanka</v>
      </c>
      <c r="V22" s="4">
        <f t="shared" si="1"/>
        <v>2.7144645028747814</v>
      </c>
      <c r="X22" t="s">
        <v>77</v>
      </c>
      <c r="Y22" s="4">
        <f>VLOOKUP(X22,'Stripped Spread'!C37:E79,3,FALSE)</f>
        <v>0.16739140015649304</v>
      </c>
      <c r="AJ22" s="59" t="s">
        <v>14</v>
      </c>
      <c r="AK22" s="60">
        <f t="shared" si="2"/>
        <v>0.59127546868477021</v>
      </c>
      <c r="AL22" s="60">
        <f t="shared" si="3"/>
        <v>-0.24455989205539388</v>
      </c>
    </row>
    <row r="23" spans="1:38" x14ac:dyDescent="0.2">
      <c r="A23" t="s">
        <v>14</v>
      </c>
      <c r="B23">
        <v>151.80000000000001</v>
      </c>
      <c r="C23">
        <v>176.6</v>
      </c>
      <c r="D23">
        <v>165</v>
      </c>
      <c r="G23" t="s">
        <v>14</v>
      </c>
      <c r="H23">
        <v>157.6</v>
      </c>
      <c r="I23">
        <v>191</v>
      </c>
      <c r="J23">
        <v>182.9</v>
      </c>
      <c r="L23" t="s">
        <v>14</v>
      </c>
      <c r="M23">
        <v>186.3</v>
      </c>
      <c r="N23">
        <v>174.9</v>
      </c>
      <c r="Q23" s="34">
        <v>152.1</v>
      </c>
      <c r="R23" s="34">
        <v>181.8</v>
      </c>
      <c r="S23" s="34">
        <v>164</v>
      </c>
      <c r="T23" s="34">
        <v>148.30000000000001</v>
      </c>
      <c r="U23" t="str">
        <f t="shared" si="0"/>
        <v>Turkey</v>
      </c>
      <c r="V23" s="4">
        <f t="shared" si="1"/>
        <v>0.59127546868477021</v>
      </c>
      <c r="X23" t="s">
        <v>14</v>
      </c>
      <c r="Y23" s="4">
        <f>VLOOKUP(X23,'Stripped Spread'!C38:E80,3,FALSE)</f>
        <v>-0.24455989205539388</v>
      </c>
      <c r="AJ23" s="59" t="s">
        <v>58</v>
      </c>
      <c r="AK23" s="60">
        <f t="shared" si="2"/>
        <v>1.0286490582061536</v>
      </c>
      <c r="AL23" s="60">
        <f t="shared" si="3"/>
        <v>1.5328752249159792</v>
      </c>
    </row>
    <row r="24" spans="1:38" x14ac:dyDescent="0.2">
      <c r="A24" t="s">
        <v>58</v>
      </c>
      <c r="C24">
        <v>204</v>
      </c>
      <c r="D24">
        <v>205.7</v>
      </c>
      <c r="G24" t="s">
        <v>58</v>
      </c>
      <c r="H24">
        <v>120.6</v>
      </c>
      <c r="I24">
        <v>179.9</v>
      </c>
      <c r="J24">
        <v>154.6</v>
      </c>
      <c r="L24" t="s">
        <v>58</v>
      </c>
      <c r="M24">
        <v>268.5</v>
      </c>
      <c r="N24">
        <v>221.9</v>
      </c>
      <c r="Q24" s="34">
        <v>118.9</v>
      </c>
      <c r="R24" s="34">
        <v>195</v>
      </c>
      <c r="S24" s="34">
        <v>167.2</v>
      </c>
      <c r="T24" s="34">
        <v>174.4</v>
      </c>
      <c r="U24" t="str">
        <f t="shared" si="0"/>
        <v>Ukraine</v>
      </c>
      <c r="V24" s="4">
        <f t="shared" si="1"/>
        <v>1.0286490582061536</v>
      </c>
      <c r="X24" t="s">
        <v>58</v>
      </c>
      <c r="Y24" s="4">
        <f>VLOOKUP(X24,'Stripped Spread'!C39:E81,3,FALSE)</f>
        <v>1.5328752249159792</v>
      </c>
      <c r="AJ24" s="59" t="s">
        <v>72</v>
      </c>
      <c r="AK24" s="60">
        <f t="shared" si="2"/>
        <v>0.31980220622322147</v>
      </c>
      <c r="AL24" s="60">
        <f t="shared" si="3"/>
        <v>-0.34765727585037098</v>
      </c>
    </row>
    <row r="25" spans="1:38" x14ac:dyDescent="0.2">
      <c r="A25" t="s">
        <v>72</v>
      </c>
      <c r="B25">
        <v>129.1</v>
      </c>
      <c r="C25">
        <v>152.80000000000001</v>
      </c>
      <c r="D25">
        <v>150</v>
      </c>
      <c r="G25" t="s">
        <v>72</v>
      </c>
      <c r="L25" t="s">
        <v>72</v>
      </c>
      <c r="Q25" s="34">
        <v>129.4</v>
      </c>
      <c r="R25" s="34">
        <v>164.7</v>
      </c>
      <c r="S25" s="34">
        <v>141.5</v>
      </c>
      <c r="T25" s="34">
        <v>132.1</v>
      </c>
      <c r="U25" t="str">
        <f t="shared" si="0"/>
        <v>Uruguay</v>
      </c>
      <c r="V25" s="4">
        <f t="shared" si="1"/>
        <v>0.31980220622322147</v>
      </c>
      <c r="X25" t="s">
        <v>72</v>
      </c>
      <c r="Y25" s="4">
        <f>VLOOKUP(X25,'Stripped Spread'!C40:E82,3,FALSE)</f>
        <v>-0.34765727585037098</v>
      </c>
      <c r="AJ25" s="59" t="s">
        <v>64</v>
      </c>
      <c r="AK25" s="60">
        <f t="shared" si="2"/>
        <v>-1.0794581280693274</v>
      </c>
      <c r="AL25" s="60">
        <f t="shared" si="3"/>
        <v>0.45654469091159733</v>
      </c>
    </row>
    <row r="26" spans="1:38" x14ac:dyDescent="0.2">
      <c r="A26" t="s">
        <v>12</v>
      </c>
      <c r="B26">
        <v>56</v>
      </c>
      <c r="C26">
        <v>100.4</v>
      </c>
      <c r="D26">
        <v>88.4</v>
      </c>
      <c r="G26" t="s">
        <v>12</v>
      </c>
      <c r="H26">
        <v>48.6</v>
      </c>
      <c r="I26">
        <v>115.9</v>
      </c>
      <c r="J26">
        <v>84.6</v>
      </c>
      <c r="L26" t="s">
        <v>12</v>
      </c>
      <c r="M26">
        <v>108.4</v>
      </c>
      <c r="N26">
        <v>101</v>
      </c>
      <c r="Q26" s="34">
        <v>53</v>
      </c>
      <c r="R26" s="34">
        <v>100.5</v>
      </c>
      <c r="S26" s="34">
        <v>92.9</v>
      </c>
      <c r="T26" s="34">
        <v>91</v>
      </c>
      <c r="U26" t="str">
        <f t="shared" si="0"/>
        <v>Venezuela</v>
      </c>
      <c r="V26" s="4">
        <f t="shared" si="1"/>
        <v>-0.36893551520700318</v>
      </c>
      <c r="X26" t="s">
        <v>12</v>
      </c>
      <c r="Y26" s="4">
        <f>VLOOKUP(X26,'Stripped Spread'!C41:E83,3,FALSE)</f>
        <v>2.7898082980863612</v>
      </c>
      <c r="AK26" s="4"/>
      <c r="AL26" s="4"/>
    </row>
    <row r="27" spans="1:38" x14ac:dyDescent="0.2">
      <c r="A27" t="s">
        <v>64</v>
      </c>
      <c r="G27" t="s">
        <v>64</v>
      </c>
      <c r="L27" t="s">
        <v>64</v>
      </c>
      <c r="M27">
        <v>51.1</v>
      </c>
      <c r="N27">
        <v>48.6</v>
      </c>
      <c r="Q27" s="12"/>
      <c r="R27" s="34">
        <f>AVERAGE(C27,I27,M27)</f>
        <v>51.1</v>
      </c>
      <c r="S27" s="34">
        <v>49.5</v>
      </c>
      <c r="T27" s="34">
        <v>48.6</v>
      </c>
      <c r="U27" t="str">
        <f t="shared" si="0"/>
        <v>Vietnam</v>
      </c>
      <c r="V27" s="4">
        <f t="shared" si="1"/>
        <v>-1.0794581280693274</v>
      </c>
      <c r="X27" t="s">
        <v>64</v>
      </c>
      <c r="Y27" s="4">
        <f>VLOOKUP(X27,'Stripped Spread'!C42:E84,3,FALSE)</f>
        <v>0.45654469091159733</v>
      </c>
      <c r="AK27" s="4"/>
      <c r="AL27" s="4"/>
    </row>
    <row r="28" spans="1:38" x14ac:dyDescent="0.2">
      <c r="Y28" s="4"/>
    </row>
    <row r="29" spans="1:38" x14ac:dyDescent="0.2">
      <c r="S29" s="4">
        <f>AVERAGE(S3:S27)</f>
        <v>116.804</v>
      </c>
      <c r="T29" s="4">
        <f>AVERAGE(T3:T27)</f>
        <v>113.01600000000001</v>
      </c>
      <c r="Y29" s="4"/>
    </row>
    <row r="30" spans="1:38" ht="13.5" thickBot="1" x14ac:dyDescent="0.25">
      <c r="S30" s="4">
        <f>STDEV(S3:S27)</f>
        <v>62.830814361532298</v>
      </c>
      <c r="T30" s="4">
        <f>STDEV(T3:T27)</f>
        <v>59.674385068748983</v>
      </c>
      <c r="Y30" s="4"/>
    </row>
    <row r="31" spans="1:38" x14ac:dyDescent="0.2">
      <c r="X31" s="53" t="s">
        <v>709</v>
      </c>
      <c r="Y31" s="54">
        <f>LINEST(AL3:AL25,AK3:AK25,TRUE,FALSE)</f>
        <v>0.40904709292582375</v>
      </c>
    </row>
    <row r="32" spans="1:38" ht="13.5" thickBot="1" x14ac:dyDescent="0.25">
      <c r="R32" s="39"/>
      <c r="S32" s="6"/>
      <c r="X32" s="55" t="s">
        <v>315</v>
      </c>
      <c r="Y32" s="56">
        <f>INTERCEPT(AL3:AL25,AK3:AK25)</f>
        <v>-4.0509460033485156E-2</v>
      </c>
    </row>
    <row r="33" spans="25:25" x14ac:dyDescent="0.2">
      <c r="Y33" s="4"/>
    </row>
    <row r="34" spans="25:25" x14ac:dyDescent="0.2">
      <c r="Y34" s="4"/>
    </row>
    <row r="35" spans="25:25" x14ac:dyDescent="0.2">
      <c r="Y35" s="4"/>
    </row>
    <row r="36" spans="25:25" x14ac:dyDescent="0.2">
      <c r="Y36" s="4"/>
    </row>
    <row r="37" spans="25:25" x14ac:dyDescent="0.2">
      <c r="Y37" s="4"/>
    </row>
    <row r="38" spans="25:25" x14ac:dyDescent="0.2">
      <c r="Y38" s="4"/>
    </row>
    <row r="39" spans="25:25" x14ac:dyDescent="0.2">
      <c r="Y39" s="4"/>
    </row>
    <row r="40" spans="25:25" x14ac:dyDescent="0.2">
      <c r="Y40" s="4"/>
    </row>
    <row r="41" spans="25:25" x14ac:dyDescent="0.2">
      <c r="Y41" s="4"/>
    </row>
  </sheetData>
  <phoneticPr fontId="3" type="noConversion"/>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pageSetUpPr fitToPage="1"/>
  </sheetPr>
  <dimension ref="A1:BE58"/>
  <sheetViews>
    <sheetView topLeftCell="AO1" workbookViewId="0">
      <selection activeCell="BD4" sqref="BD4"/>
    </sheetView>
  </sheetViews>
  <sheetFormatPr defaultRowHeight="12.75" x14ac:dyDescent="0.2"/>
  <cols>
    <col min="1" max="1" width="17.5703125" customWidth="1"/>
    <col min="2" max="5" width="8.140625" customWidth="1"/>
    <col min="7" max="7" width="13.42578125" customWidth="1"/>
    <col min="12" max="12" width="17.42578125" customWidth="1"/>
    <col min="13" max="17" width="6.5703125" customWidth="1"/>
    <col min="19" max="19" width="16.85546875" customWidth="1"/>
    <col min="20" max="23" width="6.7109375" customWidth="1"/>
    <col min="25" max="25" width="14" customWidth="1"/>
    <col min="31" max="31" width="13.42578125" customWidth="1"/>
    <col min="32" max="34" width="7.85546875" customWidth="1"/>
    <col min="40" max="40" width="24.28515625" bestFit="1" customWidth="1"/>
    <col min="55" max="55" width="15.85546875" customWidth="1"/>
    <col min="56" max="56" width="15.7109375" customWidth="1"/>
    <col min="57" max="57" width="14.28515625" customWidth="1"/>
  </cols>
  <sheetData>
    <row r="1" spans="1:57" x14ac:dyDescent="0.2">
      <c r="A1" s="5" t="s">
        <v>33</v>
      </c>
      <c r="B1" s="3"/>
      <c r="G1" s="5" t="s">
        <v>81</v>
      </c>
      <c r="L1" s="5" t="s">
        <v>95</v>
      </c>
      <c r="T1" s="5" t="s">
        <v>119</v>
      </c>
      <c r="U1" s="3"/>
      <c r="Y1" s="1" t="s">
        <v>140</v>
      </c>
      <c r="AF1" s="5" t="s">
        <v>154</v>
      </c>
      <c r="AG1" s="3"/>
      <c r="AJ1" s="10" t="s">
        <v>146</v>
      </c>
      <c r="AK1" s="11"/>
    </row>
    <row r="2" spans="1:57" x14ac:dyDescent="0.2">
      <c r="A2" s="1"/>
      <c r="B2">
        <v>2007</v>
      </c>
      <c r="C2">
        <v>2008</v>
      </c>
      <c r="D2">
        <v>2009</v>
      </c>
      <c r="E2" s="5">
        <v>2010</v>
      </c>
      <c r="H2">
        <v>2008</v>
      </c>
      <c r="I2">
        <v>2009</v>
      </c>
      <c r="J2" s="5">
        <v>2010</v>
      </c>
      <c r="M2">
        <v>2006</v>
      </c>
      <c r="N2">
        <v>2007</v>
      </c>
      <c r="O2">
        <v>2008</v>
      </c>
      <c r="P2">
        <v>2009</v>
      </c>
      <c r="Q2" s="5">
        <v>2010</v>
      </c>
      <c r="T2">
        <v>2007</v>
      </c>
      <c r="U2">
        <v>2008</v>
      </c>
      <c r="V2" t="s">
        <v>112</v>
      </c>
      <c r="W2" s="3" t="s">
        <v>113</v>
      </c>
      <c r="Z2">
        <v>2007</v>
      </c>
      <c r="AA2">
        <v>2008</v>
      </c>
      <c r="AB2" t="s">
        <v>136</v>
      </c>
      <c r="AC2" t="s">
        <v>137</v>
      </c>
      <c r="AF2">
        <v>2008</v>
      </c>
      <c r="AG2">
        <v>2009</v>
      </c>
      <c r="AH2" s="5">
        <v>2010</v>
      </c>
      <c r="AJ2" s="1">
        <v>2008</v>
      </c>
      <c r="AK2" s="1">
        <v>2009</v>
      </c>
      <c r="AL2" s="10">
        <v>2010</v>
      </c>
      <c r="AM2" s="10">
        <v>2011</v>
      </c>
      <c r="AO2" s="6" t="s">
        <v>330</v>
      </c>
      <c r="AR2" t="str">
        <f>Inflation!$AY$3</f>
        <v>Stripped Spread Z stat</v>
      </c>
    </row>
    <row r="3" spans="1:57" x14ac:dyDescent="0.2">
      <c r="A3" t="s">
        <v>10</v>
      </c>
      <c r="B3">
        <v>0.2</v>
      </c>
      <c r="C3">
        <v>1.4</v>
      </c>
      <c r="D3">
        <v>-0.7</v>
      </c>
      <c r="E3">
        <v>-1</v>
      </c>
      <c r="G3" t="s">
        <v>10</v>
      </c>
      <c r="H3">
        <v>1.4</v>
      </c>
      <c r="I3">
        <v>-2.4</v>
      </c>
      <c r="J3">
        <v>-1.7</v>
      </c>
      <c r="L3" t="s">
        <v>10</v>
      </c>
      <c r="M3">
        <v>1.9</v>
      </c>
      <c r="N3">
        <v>1.1000000000000001</v>
      </c>
      <c r="O3">
        <v>1.2</v>
      </c>
      <c r="P3">
        <v>-0.3</v>
      </c>
      <c r="Q3">
        <v>-1.1000000000000001</v>
      </c>
      <c r="S3" t="s">
        <v>10</v>
      </c>
      <c r="T3">
        <v>1.1000000000000001</v>
      </c>
      <c r="U3">
        <v>1.4</v>
      </c>
      <c r="V3">
        <v>-0.6</v>
      </c>
      <c r="W3">
        <v>0.5</v>
      </c>
      <c r="Y3" t="s">
        <v>10</v>
      </c>
      <c r="Z3">
        <v>1.1000000000000001</v>
      </c>
      <c r="AA3">
        <v>1.4</v>
      </c>
      <c r="AB3">
        <v>-0.3</v>
      </c>
      <c r="AC3">
        <v>0.6</v>
      </c>
      <c r="AE3" s="4" t="s">
        <v>10</v>
      </c>
      <c r="AF3">
        <v>1.6</v>
      </c>
      <c r="AG3">
        <v>-1.5</v>
      </c>
      <c r="AH3">
        <v>-1</v>
      </c>
      <c r="AJ3" s="4">
        <v>1.6</v>
      </c>
      <c r="AK3" s="4">
        <v>-1.5</v>
      </c>
      <c r="AL3" s="4">
        <v>-1</v>
      </c>
      <c r="AM3" s="4">
        <v>-0.7</v>
      </c>
      <c r="AN3" s="4" t="str">
        <f t="shared" ref="AN3:AN27" si="0">A3</f>
        <v>Argentina</v>
      </c>
      <c r="AO3" s="4">
        <f>(AM3-AM$33)/AM$34</f>
        <v>1.1549216403603035</v>
      </c>
      <c r="AQ3" t="s">
        <v>10</v>
      </c>
      <c r="AR3" s="4">
        <f>VLOOKUP(AQ3,'Stripped Spread'!$C$18:$E$60,3,FALSE)</f>
        <v>1.4255405250063531</v>
      </c>
      <c r="BC3" s="61" t="s">
        <v>320</v>
      </c>
      <c r="BD3" s="61" t="s">
        <v>321</v>
      </c>
      <c r="BE3" s="57" t="str">
        <f>Inflation!$AY$3</f>
        <v>Stripped Spread Z stat</v>
      </c>
    </row>
    <row r="4" spans="1:57" x14ac:dyDescent="0.2">
      <c r="A4" t="s">
        <v>9</v>
      </c>
      <c r="B4">
        <v>-2.7</v>
      </c>
      <c r="C4">
        <v>-2.2000000000000002</v>
      </c>
      <c r="D4">
        <v>-4.2</v>
      </c>
      <c r="E4">
        <v>-3.8</v>
      </c>
      <c r="G4" t="s">
        <v>9</v>
      </c>
      <c r="H4">
        <v>1.7</v>
      </c>
      <c r="I4">
        <v>-3</v>
      </c>
      <c r="J4">
        <v>-2</v>
      </c>
      <c r="L4" t="s">
        <v>9</v>
      </c>
      <c r="M4">
        <v>-3</v>
      </c>
      <c r="N4">
        <v>-2.2999999999999998</v>
      </c>
      <c r="O4">
        <v>-1.5</v>
      </c>
      <c r="P4">
        <v>-3.4</v>
      </c>
      <c r="Q4">
        <v>-2.6</v>
      </c>
      <c r="S4" t="s">
        <v>9</v>
      </c>
      <c r="T4">
        <v>-2.8</v>
      </c>
      <c r="U4">
        <v>-2</v>
      </c>
      <c r="V4">
        <v>-3.4</v>
      </c>
      <c r="W4">
        <v>-2.2000000000000002</v>
      </c>
      <c r="Y4" t="s">
        <v>133</v>
      </c>
      <c r="Z4">
        <v>-1.1000000000000001</v>
      </c>
      <c r="AA4">
        <v>-3.1</v>
      </c>
      <c r="AB4">
        <v>-5.6</v>
      </c>
      <c r="AC4">
        <v>-4.5</v>
      </c>
      <c r="AE4" s="4" t="s">
        <v>9</v>
      </c>
      <c r="AF4">
        <v>-1.5</v>
      </c>
      <c r="AG4">
        <v>-4.0999999999999996</v>
      </c>
      <c r="AH4">
        <v>-2.9</v>
      </c>
      <c r="AJ4" s="4">
        <v>-1.9</v>
      </c>
      <c r="AK4" s="4">
        <v>-3.3</v>
      </c>
      <c r="AL4" s="4">
        <v>-2.2000000000000002</v>
      </c>
      <c r="AM4" s="4">
        <v>-2.7</v>
      </c>
      <c r="AN4" s="4" t="str">
        <f t="shared" si="0"/>
        <v>Brazil</v>
      </c>
      <c r="AO4" s="4">
        <f t="shared" ref="AO4:AO27" si="1">(AM4-AM$33)/AM$34</f>
        <v>0.29560494366364881</v>
      </c>
      <c r="AQ4" t="s">
        <v>9</v>
      </c>
      <c r="AR4" s="4">
        <f>VLOOKUP(AQ4,'Stripped Spread'!$C$18:$E$60,3,FALSE)</f>
        <v>-0.49043451301485325</v>
      </c>
      <c r="BC4" s="57" t="s">
        <v>9</v>
      </c>
      <c r="BD4" s="58">
        <f>VLOOKUP(BC4,$AN$3:$AO$27,2,FALSE)</f>
        <v>0.29560494366364881</v>
      </c>
      <c r="BE4" s="58">
        <f>VLOOKUP(BC4,$AQ$3:$AR$27,2,FALSE)</f>
        <v>-0.49043451301485325</v>
      </c>
    </row>
    <row r="5" spans="1:57" x14ac:dyDescent="0.2">
      <c r="A5" t="s">
        <v>36</v>
      </c>
      <c r="B5">
        <v>8.6999999999999993</v>
      </c>
      <c r="C5">
        <v>6.5</v>
      </c>
      <c r="D5">
        <v>-3.5</v>
      </c>
      <c r="E5">
        <v>-0.5</v>
      </c>
      <c r="G5" t="s">
        <v>36</v>
      </c>
      <c r="H5">
        <v>5</v>
      </c>
      <c r="I5">
        <v>-4.7</v>
      </c>
      <c r="J5">
        <v>-0.8</v>
      </c>
      <c r="L5" t="s">
        <v>36</v>
      </c>
      <c r="M5">
        <v>7.7</v>
      </c>
      <c r="N5">
        <v>8.8000000000000007</v>
      </c>
      <c r="O5">
        <v>5.3</v>
      </c>
      <c r="P5">
        <v>-3</v>
      </c>
      <c r="Q5">
        <v>-3.4</v>
      </c>
      <c r="S5" t="s">
        <v>36</v>
      </c>
      <c r="T5">
        <v>8.8000000000000007</v>
      </c>
      <c r="U5">
        <v>5.2</v>
      </c>
      <c r="V5">
        <v>-4.7</v>
      </c>
      <c r="W5">
        <v>-1.7</v>
      </c>
      <c r="Y5" t="s">
        <v>102</v>
      </c>
      <c r="Z5">
        <v>-0.4</v>
      </c>
      <c r="AA5">
        <v>-1.9</v>
      </c>
      <c r="AB5">
        <v>-5.0999999999999996</v>
      </c>
      <c r="AC5">
        <v>-4.9000000000000004</v>
      </c>
      <c r="AE5" s="4" t="s">
        <v>36</v>
      </c>
      <c r="AF5">
        <v>5.3</v>
      </c>
      <c r="AG5">
        <v>-3.8</v>
      </c>
      <c r="AH5">
        <v>-1.6</v>
      </c>
      <c r="AJ5" s="4">
        <v>5.3</v>
      </c>
      <c r="AK5" s="4">
        <v>-4.5999999999999996</v>
      </c>
      <c r="AL5" s="4">
        <v>-1.5</v>
      </c>
      <c r="AM5" s="4">
        <v>-0.8</v>
      </c>
      <c r="AN5" s="4" t="str">
        <f t="shared" si="0"/>
        <v>Chile</v>
      </c>
      <c r="AO5" s="4">
        <f t="shared" si="1"/>
        <v>1.1119558055254706</v>
      </c>
      <c r="AQ5" t="s">
        <v>36</v>
      </c>
      <c r="AR5" s="4">
        <f>VLOOKUP(AQ5,'Stripped Spread'!$C$18:$E$60,3,FALSE)</f>
        <v>-0.6767951584626779</v>
      </c>
      <c r="BC5" s="57" t="s">
        <v>36</v>
      </c>
      <c r="BD5" s="58">
        <f t="shared" ref="BD5:BD23" si="2">VLOOKUP(BC5,$AN$3:$AO$27,2,FALSE)</f>
        <v>1.1119558055254706</v>
      </c>
      <c r="BE5" s="58">
        <f t="shared" ref="BE5:BE23" si="3">VLOOKUP(BC5,$AQ$3:$AR$27,2,FALSE)</f>
        <v>-0.6767951584626779</v>
      </c>
    </row>
    <row r="6" spans="1:57" x14ac:dyDescent="0.2">
      <c r="A6" t="s">
        <v>0</v>
      </c>
      <c r="B6">
        <v>0.3</v>
      </c>
      <c r="C6">
        <v>-0.6</v>
      </c>
      <c r="D6">
        <v>-3.3</v>
      </c>
      <c r="E6">
        <v>-3</v>
      </c>
      <c r="G6" t="s">
        <v>0</v>
      </c>
      <c r="H6">
        <v>-0.4</v>
      </c>
      <c r="I6">
        <v>-2.2000000000000002</v>
      </c>
      <c r="J6">
        <v>-2.2000000000000002</v>
      </c>
      <c r="L6" t="s">
        <v>0</v>
      </c>
      <c r="M6">
        <v>-0.8</v>
      </c>
      <c r="N6">
        <v>0.6</v>
      </c>
      <c r="O6">
        <v>-0.4</v>
      </c>
      <c r="P6">
        <v>-3</v>
      </c>
      <c r="Q6">
        <v>-2.7</v>
      </c>
      <c r="S6" t="s">
        <v>0</v>
      </c>
      <c r="T6">
        <v>0.6</v>
      </c>
      <c r="U6">
        <v>-0.4</v>
      </c>
      <c r="V6">
        <v>-2.9</v>
      </c>
      <c r="W6">
        <v>-3.4</v>
      </c>
      <c r="Y6" t="s">
        <v>138</v>
      </c>
      <c r="Z6">
        <v>-0.2</v>
      </c>
      <c r="AA6">
        <v>-1.7</v>
      </c>
      <c r="AB6">
        <v>-4</v>
      </c>
      <c r="AC6">
        <v>-3.8</v>
      </c>
      <c r="AE6" s="4" t="s">
        <v>0</v>
      </c>
      <c r="AF6">
        <v>-0.4</v>
      </c>
      <c r="AG6">
        <v>-3.3</v>
      </c>
      <c r="AH6">
        <v>-2.1</v>
      </c>
      <c r="AJ6" s="4">
        <v>-0.4</v>
      </c>
      <c r="AK6" s="4">
        <v>-2.2999999999999998</v>
      </c>
      <c r="AL6" s="4">
        <v>-2.7</v>
      </c>
      <c r="AM6" s="4">
        <v>-1.8</v>
      </c>
      <c r="AN6" s="4" t="str">
        <f t="shared" si="0"/>
        <v>China</v>
      </c>
      <c r="AO6" s="4">
        <f t="shared" si="1"/>
        <v>0.68229745717714341</v>
      </c>
      <c r="AQ6" t="s">
        <v>0</v>
      </c>
      <c r="AR6" s="4">
        <f>VLOOKUP(AQ6,'Stripped Spread'!$C$18:$E$60,3,FALSE)</f>
        <v>-0.36041566053529961</v>
      </c>
      <c r="BC6" s="57" t="s">
        <v>0</v>
      </c>
      <c r="BD6" s="58">
        <f t="shared" si="2"/>
        <v>0.68229745717714341</v>
      </c>
      <c r="BE6" s="58">
        <f t="shared" si="3"/>
        <v>-0.36041566053529961</v>
      </c>
    </row>
    <row r="7" spans="1:57" x14ac:dyDescent="0.2">
      <c r="A7" t="s">
        <v>37</v>
      </c>
      <c r="B7">
        <v>-0.6</v>
      </c>
      <c r="C7">
        <v>-0.1</v>
      </c>
      <c r="D7">
        <v>-3</v>
      </c>
      <c r="E7">
        <v>-3.7</v>
      </c>
      <c r="G7" t="s">
        <v>37</v>
      </c>
      <c r="H7">
        <v>0.1</v>
      </c>
      <c r="I7">
        <v>-2.8</v>
      </c>
      <c r="J7">
        <v>-3.7</v>
      </c>
      <c r="L7" t="s">
        <v>37</v>
      </c>
      <c r="M7">
        <v>-2.1</v>
      </c>
      <c r="N7">
        <v>-1.4</v>
      </c>
      <c r="O7">
        <v>-0.2</v>
      </c>
      <c r="P7">
        <v>-2.9</v>
      </c>
      <c r="Q7">
        <v>-3.5</v>
      </c>
      <c r="S7" t="s">
        <v>37</v>
      </c>
      <c r="T7">
        <v>-0.7</v>
      </c>
      <c r="U7">
        <v>-0.1</v>
      </c>
      <c r="V7">
        <v>-2.7</v>
      </c>
      <c r="W7">
        <v>-3.8</v>
      </c>
      <c r="Y7" t="s">
        <v>34</v>
      </c>
      <c r="Z7">
        <v>1.6</v>
      </c>
      <c r="AA7">
        <v>1.8</v>
      </c>
      <c r="AB7">
        <v>-1.5</v>
      </c>
      <c r="AC7">
        <v>-1.5</v>
      </c>
      <c r="AE7" s="4" t="s">
        <v>37</v>
      </c>
      <c r="AF7">
        <v>-0.1</v>
      </c>
      <c r="AG7">
        <v>-2.7</v>
      </c>
      <c r="AH7">
        <v>-3.7</v>
      </c>
      <c r="AJ7" s="4">
        <v>0.5</v>
      </c>
      <c r="AK7" s="4">
        <v>-2.2000000000000002</v>
      </c>
      <c r="AL7" s="4">
        <v>-3.6</v>
      </c>
      <c r="AM7" s="4">
        <v>-3</v>
      </c>
      <c r="AN7" s="4" t="str">
        <f t="shared" si="0"/>
        <v>Colombia</v>
      </c>
      <c r="AO7" s="4">
        <f t="shared" si="1"/>
        <v>0.16670743915915073</v>
      </c>
      <c r="AQ7" t="s">
        <v>37</v>
      </c>
      <c r="AR7" s="4">
        <f>VLOOKUP(AQ7,'Stripped Spread'!$C$18:$E$60,3,FALSE)</f>
        <v>-0.58302567466255073</v>
      </c>
      <c r="BC7" s="57" t="s">
        <v>37</v>
      </c>
      <c r="BD7" s="58">
        <f t="shared" si="2"/>
        <v>0.16670743915915073</v>
      </c>
      <c r="BE7" s="58">
        <f t="shared" si="3"/>
        <v>-0.58302567466255073</v>
      </c>
    </row>
    <row r="8" spans="1:57" x14ac:dyDescent="0.2">
      <c r="A8" t="s">
        <v>39</v>
      </c>
      <c r="B8">
        <v>2.2000000000000002</v>
      </c>
      <c r="C8">
        <v>0.5</v>
      </c>
      <c r="D8">
        <v>-3.5</v>
      </c>
      <c r="E8">
        <v>-3.2</v>
      </c>
      <c r="G8" t="s">
        <v>39</v>
      </c>
      <c r="H8">
        <v>-1.7</v>
      </c>
      <c r="I8">
        <v>-4.0999999999999996</v>
      </c>
      <c r="J8">
        <v>-3.2</v>
      </c>
      <c r="L8" t="s">
        <v>39</v>
      </c>
      <c r="M8">
        <v>-0.2</v>
      </c>
      <c r="N8">
        <v>-0.1</v>
      </c>
      <c r="O8">
        <v>-1.2</v>
      </c>
      <c r="P8">
        <v>-3.3</v>
      </c>
      <c r="Q8">
        <v>-4</v>
      </c>
      <c r="S8" t="s">
        <v>39</v>
      </c>
      <c r="T8">
        <v>2.1</v>
      </c>
      <c r="U8">
        <v>-1.5</v>
      </c>
      <c r="V8">
        <v>-6.2</v>
      </c>
      <c r="W8">
        <v>-3.2</v>
      </c>
      <c r="Y8" t="s">
        <v>9</v>
      </c>
      <c r="Z8">
        <v>-2.2000000000000002</v>
      </c>
      <c r="AA8">
        <v>-1.5</v>
      </c>
      <c r="AB8">
        <v>-2.4</v>
      </c>
      <c r="AC8">
        <v>-2</v>
      </c>
      <c r="AE8" s="4" t="s">
        <v>39</v>
      </c>
      <c r="AF8">
        <v>-0.5</v>
      </c>
      <c r="AG8">
        <v>-3.5</v>
      </c>
      <c r="AH8">
        <v>-1.5</v>
      </c>
      <c r="AJ8" s="4">
        <v>-1.1000000000000001</v>
      </c>
      <c r="AK8" s="4">
        <v>-5.0999999999999996</v>
      </c>
      <c r="AL8" s="4">
        <v>-3.7</v>
      </c>
      <c r="AM8" s="4">
        <v>-6.2</v>
      </c>
      <c r="AN8" s="4" t="str">
        <f t="shared" si="0"/>
        <v>Ecuador</v>
      </c>
      <c r="AO8" s="4">
        <f t="shared" si="1"/>
        <v>-1.2081992755554964</v>
      </c>
      <c r="AQ8" t="s">
        <v>39</v>
      </c>
      <c r="AR8" s="4">
        <f>VLOOKUP(AQ8,'Stripped Spread'!$C$18:$E$60,3,FALSE)</f>
        <v>1.4223422220211868</v>
      </c>
      <c r="BC8" s="57" t="s">
        <v>43</v>
      </c>
      <c r="BD8" s="58">
        <f t="shared" si="2"/>
        <v>0.16670743915915073</v>
      </c>
      <c r="BE8" s="58">
        <f t="shared" si="3"/>
        <v>0.23579793496626733</v>
      </c>
    </row>
    <row r="9" spans="1:57" x14ac:dyDescent="0.2">
      <c r="A9" t="s">
        <v>65</v>
      </c>
      <c r="G9" t="s">
        <v>65</v>
      </c>
      <c r="H9">
        <v>-6.8</v>
      </c>
      <c r="I9">
        <v>-7.7</v>
      </c>
      <c r="J9">
        <v>-8.6999999999999993</v>
      </c>
      <c r="L9" t="s">
        <v>65</v>
      </c>
      <c r="S9" t="s">
        <v>65</v>
      </c>
      <c r="T9">
        <v>-7.5</v>
      </c>
      <c r="U9">
        <v>-6.8</v>
      </c>
      <c r="V9">
        <v>-6.9</v>
      </c>
      <c r="W9">
        <v>-9.5</v>
      </c>
      <c r="AE9" s="4" t="s">
        <v>65</v>
      </c>
      <c r="AJ9" s="34">
        <f>AVERAGE(C9,H9,O9,U9,AF9)</f>
        <v>-6.8</v>
      </c>
      <c r="AK9" s="34">
        <f>AVERAGE(D9,I9,P9,V9,AG9)</f>
        <v>-7.3000000000000007</v>
      </c>
      <c r="AL9" s="34">
        <f>AVERAGE(E9,J9,Q9,W9,AH9)</f>
        <v>-9.1</v>
      </c>
      <c r="AM9" s="34">
        <v>-8.4</v>
      </c>
      <c r="AN9" s="4" t="str">
        <f t="shared" si="0"/>
        <v>Egypt</v>
      </c>
      <c r="AO9" s="4">
        <f t="shared" si="1"/>
        <v>-2.1534476419218165</v>
      </c>
      <c r="AQ9" t="s">
        <v>65</v>
      </c>
      <c r="AR9" s="4">
        <f>VLOOKUP(AQ9,'Stripped Spread'!$C$18:$E$60,3,FALSE)</f>
        <v>5.2153815465916083E-2</v>
      </c>
      <c r="BC9" s="57" t="s">
        <v>2</v>
      </c>
      <c r="BD9" s="58">
        <f t="shared" si="2"/>
        <v>0.76822912684680889</v>
      </c>
      <c r="BE9" s="58">
        <f t="shared" si="3"/>
        <v>-0.35838987515994025</v>
      </c>
    </row>
    <row r="10" spans="1:57" x14ac:dyDescent="0.2">
      <c r="A10" t="s">
        <v>43</v>
      </c>
      <c r="B10">
        <v>-5.5</v>
      </c>
      <c r="C10">
        <v>-3.4</v>
      </c>
      <c r="D10">
        <v>-3.9</v>
      </c>
      <c r="E10">
        <v>-4.5</v>
      </c>
      <c r="G10" t="s">
        <v>43</v>
      </c>
      <c r="H10">
        <v>-3.3</v>
      </c>
      <c r="I10">
        <v>-4</v>
      </c>
      <c r="J10">
        <v>-3.7</v>
      </c>
      <c r="L10" t="s">
        <v>43</v>
      </c>
      <c r="M10">
        <v>-9.3000000000000007</v>
      </c>
      <c r="N10">
        <v>-4.9000000000000004</v>
      </c>
      <c r="O10">
        <v>-3.4</v>
      </c>
      <c r="P10">
        <v>-3.9</v>
      </c>
      <c r="Q10">
        <v>-4.8</v>
      </c>
      <c r="S10" t="s">
        <v>43</v>
      </c>
      <c r="T10">
        <v>-4.9000000000000004</v>
      </c>
      <c r="U10">
        <v>-3.3</v>
      </c>
      <c r="V10">
        <v>-4</v>
      </c>
      <c r="W10">
        <v>-4</v>
      </c>
      <c r="Y10" t="s">
        <v>35</v>
      </c>
      <c r="Z10">
        <v>0.7</v>
      </c>
      <c r="AA10">
        <v>-0.1</v>
      </c>
      <c r="AB10">
        <v>-3.2</v>
      </c>
      <c r="AC10">
        <v>-1.9</v>
      </c>
      <c r="AE10" s="4" t="s">
        <v>43</v>
      </c>
      <c r="AF10">
        <v>-3.4</v>
      </c>
      <c r="AG10">
        <v>-3.8</v>
      </c>
      <c r="AH10">
        <v>-3.8</v>
      </c>
      <c r="AJ10" s="4">
        <v>-3.7</v>
      </c>
      <c r="AK10" s="4">
        <v>-4.4000000000000004</v>
      </c>
      <c r="AL10" s="4">
        <v>-3.8</v>
      </c>
      <c r="AM10" s="4">
        <v>-3</v>
      </c>
      <c r="AN10" s="4" t="str">
        <f t="shared" si="0"/>
        <v>Hungary</v>
      </c>
      <c r="AO10" s="4">
        <f t="shared" si="1"/>
        <v>0.16670743915915073</v>
      </c>
      <c r="AQ10" t="s">
        <v>43</v>
      </c>
      <c r="AR10" s="4">
        <f>VLOOKUP(AQ10,'Stripped Spread'!$C$18:$E$60,3,FALSE)</f>
        <v>0.23579793496626733</v>
      </c>
      <c r="BC10" s="57" t="s">
        <v>45</v>
      </c>
      <c r="BD10" s="58">
        <f t="shared" si="2"/>
        <v>0.16670743915915073</v>
      </c>
      <c r="BE10" s="58">
        <f t="shared" si="3"/>
        <v>0.12883472578450098</v>
      </c>
    </row>
    <row r="11" spans="1:57" x14ac:dyDescent="0.2">
      <c r="A11" t="s">
        <v>2</v>
      </c>
      <c r="B11">
        <v>-1.2</v>
      </c>
      <c r="C11">
        <v>-1.6</v>
      </c>
      <c r="D11">
        <v>-3.2</v>
      </c>
      <c r="E11">
        <v>-3</v>
      </c>
      <c r="G11" t="s">
        <v>2</v>
      </c>
      <c r="H11">
        <v>-0.1</v>
      </c>
      <c r="I11">
        <v>-1.5</v>
      </c>
      <c r="J11">
        <v>-1.5</v>
      </c>
      <c r="L11" t="s">
        <v>2</v>
      </c>
      <c r="M11">
        <v>-0.8</v>
      </c>
      <c r="N11">
        <v>-1.3</v>
      </c>
      <c r="O11">
        <v>-0.1</v>
      </c>
      <c r="P11">
        <v>-2.6</v>
      </c>
      <c r="Q11">
        <v>-1.6</v>
      </c>
      <c r="S11" t="s">
        <v>2</v>
      </c>
      <c r="T11">
        <v>-1.3</v>
      </c>
      <c r="U11">
        <v>-0.1</v>
      </c>
      <c r="V11">
        <v>-2.4</v>
      </c>
      <c r="W11">
        <v>-1.7</v>
      </c>
      <c r="Y11" t="s">
        <v>36</v>
      </c>
      <c r="Z11">
        <v>8.8000000000000007</v>
      </c>
      <c r="AA11">
        <v>5.2</v>
      </c>
      <c r="AB11">
        <v>-2.9</v>
      </c>
      <c r="AC11">
        <v>-3</v>
      </c>
      <c r="AE11" s="4" t="s">
        <v>2</v>
      </c>
      <c r="AF11">
        <v>-0.1</v>
      </c>
      <c r="AG11">
        <v>-2.4</v>
      </c>
      <c r="AH11">
        <v>-1.5</v>
      </c>
      <c r="AJ11" s="4">
        <v>-0.1</v>
      </c>
      <c r="AK11" s="4">
        <v>-1.6</v>
      </c>
      <c r="AL11" s="4">
        <v>-1.3</v>
      </c>
      <c r="AM11" s="4">
        <v>-1.6</v>
      </c>
      <c r="AN11" s="4" t="str">
        <f t="shared" si="0"/>
        <v>Indonesia</v>
      </c>
      <c r="AO11" s="4">
        <f t="shared" si="1"/>
        <v>0.76822912684680889</v>
      </c>
      <c r="AQ11" t="s">
        <v>2</v>
      </c>
      <c r="AR11" s="4">
        <f>VLOOKUP(AQ11,'Stripped Spread'!$C$18:$E$60,3,FALSE)</f>
        <v>-0.35838987515994025</v>
      </c>
      <c r="BC11" s="57" t="s">
        <v>3</v>
      </c>
      <c r="BD11" s="58">
        <f t="shared" si="2"/>
        <v>-0.6926092575375038</v>
      </c>
      <c r="BE11" s="58">
        <f t="shared" si="3"/>
        <v>-0.61809672118954739</v>
      </c>
    </row>
    <row r="12" spans="1:57" x14ac:dyDescent="0.2">
      <c r="A12" t="s">
        <v>45</v>
      </c>
      <c r="B12">
        <v>-1.7</v>
      </c>
      <c r="C12">
        <v>-2.1</v>
      </c>
      <c r="D12">
        <v>-3.5</v>
      </c>
      <c r="E12">
        <v>-4.0999999999999996</v>
      </c>
      <c r="G12" t="s">
        <v>45</v>
      </c>
      <c r="H12">
        <v>-2.2000000000000002</v>
      </c>
      <c r="I12">
        <v>-4.4000000000000004</v>
      </c>
      <c r="J12">
        <v>-2.7</v>
      </c>
      <c r="L12" t="s">
        <v>45</v>
      </c>
      <c r="M12">
        <v>8.4</v>
      </c>
      <c r="N12">
        <v>5.2</v>
      </c>
      <c r="O12">
        <v>1.8</v>
      </c>
      <c r="P12">
        <v>-5.4</v>
      </c>
      <c r="Q12">
        <v>-0.9</v>
      </c>
      <c r="S12" t="s">
        <v>45</v>
      </c>
      <c r="Y12" t="s">
        <v>0</v>
      </c>
      <c r="Z12">
        <v>0.6</v>
      </c>
      <c r="AA12">
        <v>-0.4</v>
      </c>
      <c r="AB12">
        <v>-2.5</v>
      </c>
      <c r="AC12">
        <v>-3.1</v>
      </c>
      <c r="AE12" s="4" t="s">
        <v>45</v>
      </c>
      <c r="AF12">
        <v>-2.5</v>
      </c>
      <c r="AG12">
        <v>-3.8</v>
      </c>
      <c r="AH12">
        <v>0</v>
      </c>
      <c r="AJ12" s="34">
        <f>AVERAGE(C12,H12,O12,U12,AF12)</f>
        <v>-1.2500000000000002</v>
      </c>
      <c r="AK12" s="34">
        <f>AVERAGE(D12,I12,P12,V12,AG12)</f>
        <v>-4.2750000000000004</v>
      </c>
      <c r="AL12" s="34">
        <f>AVERAGE(E12,J12,Q12,W12,AH12)</f>
        <v>-1.925</v>
      </c>
      <c r="AM12" s="34">
        <v>-3</v>
      </c>
      <c r="AN12" s="4" t="str">
        <f t="shared" si="0"/>
        <v>Kazakhstan</v>
      </c>
      <c r="AO12" s="4">
        <f t="shared" si="1"/>
        <v>0.16670743915915073</v>
      </c>
      <c r="AQ12" t="s">
        <v>45</v>
      </c>
      <c r="AR12" s="4">
        <f>VLOOKUP(AQ12,'Stripped Spread'!$C$18:$E$60,3,FALSE)</f>
        <v>0.12883472578450098</v>
      </c>
      <c r="BC12" s="57" t="s">
        <v>11</v>
      </c>
      <c r="BD12" s="58">
        <f t="shared" si="2"/>
        <v>0.38153661333331435</v>
      </c>
      <c r="BE12" s="58">
        <f t="shared" si="3"/>
        <v>-0.48422075013713889</v>
      </c>
    </row>
    <row r="13" spans="1:57" x14ac:dyDescent="0.2">
      <c r="A13" t="s">
        <v>3</v>
      </c>
      <c r="B13">
        <v>1.5</v>
      </c>
      <c r="C13">
        <v>-3.8</v>
      </c>
      <c r="D13">
        <v>-7.8</v>
      </c>
      <c r="E13">
        <v>-5.5</v>
      </c>
      <c r="G13" t="s">
        <v>3</v>
      </c>
      <c r="H13">
        <v>-4.8</v>
      </c>
      <c r="I13">
        <v>-8.1999999999999993</v>
      </c>
      <c r="J13">
        <v>-6.2</v>
      </c>
      <c r="L13" t="s">
        <v>3</v>
      </c>
      <c r="M13">
        <v>-3.5</v>
      </c>
      <c r="N13">
        <v>-3.7</v>
      </c>
      <c r="O13">
        <v>-4.8</v>
      </c>
      <c r="P13">
        <v>-8.3000000000000007</v>
      </c>
      <c r="Q13">
        <v>-5.7</v>
      </c>
      <c r="S13" t="s">
        <v>3</v>
      </c>
      <c r="T13">
        <v>-3.2</v>
      </c>
      <c r="U13">
        <v>-4.8</v>
      </c>
      <c r="V13">
        <v>-8.5</v>
      </c>
      <c r="W13">
        <v>-5.8</v>
      </c>
      <c r="Y13" t="s">
        <v>125</v>
      </c>
      <c r="Z13">
        <v>-7.5</v>
      </c>
      <c r="AA13">
        <v>-6.8</v>
      </c>
      <c r="AB13">
        <v>-8.1</v>
      </c>
      <c r="AC13">
        <v>-9.5</v>
      </c>
      <c r="AE13" s="4" t="s">
        <v>3</v>
      </c>
      <c r="AF13">
        <v>-4.8</v>
      </c>
      <c r="AG13">
        <v>-7.1</v>
      </c>
      <c r="AH13">
        <v>-5</v>
      </c>
      <c r="AJ13" s="4">
        <v>-4.8</v>
      </c>
      <c r="AK13" s="4">
        <v>-7</v>
      </c>
      <c r="AL13" s="4">
        <v>-5.4</v>
      </c>
      <c r="AM13" s="4">
        <v>-5</v>
      </c>
      <c r="AN13" s="4" t="str">
        <f t="shared" si="0"/>
        <v>Malaysia</v>
      </c>
      <c r="AO13" s="4">
        <f t="shared" si="1"/>
        <v>-0.6926092575375038</v>
      </c>
      <c r="AQ13" t="s">
        <v>3</v>
      </c>
      <c r="AR13" s="4">
        <f>VLOOKUP(AQ13,'Stripped Spread'!$C$18:$E$60,3,FALSE)</f>
        <v>-0.61809672118954739</v>
      </c>
      <c r="BC13" s="57" t="s">
        <v>70</v>
      </c>
      <c r="BD13" s="58">
        <f t="shared" si="2"/>
        <v>-0.6926092575375038</v>
      </c>
      <c r="BE13" s="58">
        <f t="shared" si="3"/>
        <v>2.1692475485534328</v>
      </c>
    </row>
    <row r="14" spans="1:57" x14ac:dyDescent="0.2">
      <c r="A14" t="s">
        <v>11</v>
      </c>
      <c r="B14">
        <v>0</v>
      </c>
      <c r="C14">
        <v>-0.1</v>
      </c>
      <c r="D14">
        <v>-1.9</v>
      </c>
      <c r="E14">
        <v>-2.9</v>
      </c>
      <c r="G14" t="s">
        <v>11</v>
      </c>
      <c r="H14">
        <v>-0.1</v>
      </c>
      <c r="I14">
        <v>-2.1</v>
      </c>
      <c r="J14">
        <v>-2.5</v>
      </c>
      <c r="L14" t="s">
        <v>11</v>
      </c>
      <c r="M14">
        <v>0.1</v>
      </c>
      <c r="N14">
        <v>0.1</v>
      </c>
      <c r="O14">
        <v>0</v>
      </c>
      <c r="P14">
        <v>-2.2999999999999998</v>
      </c>
      <c r="Q14">
        <v>-2.8</v>
      </c>
      <c r="S14" t="s">
        <v>11</v>
      </c>
      <c r="T14">
        <v>0</v>
      </c>
      <c r="U14">
        <v>-0.1</v>
      </c>
      <c r="V14">
        <v>-2.1</v>
      </c>
      <c r="W14">
        <v>-2.7</v>
      </c>
      <c r="Y14" t="s">
        <v>124</v>
      </c>
      <c r="Z14">
        <v>1.9</v>
      </c>
      <c r="AA14">
        <v>2.9</v>
      </c>
      <c r="AB14">
        <v>-5.9</v>
      </c>
      <c r="AC14">
        <v>-4.4000000000000004</v>
      </c>
      <c r="AE14" s="4" t="s">
        <v>11</v>
      </c>
      <c r="AF14">
        <v>-0.1</v>
      </c>
      <c r="AG14">
        <v>-2.1</v>
      </c>
      <c r="AH14">
        <v>-2.5</v>
      </c>
      <c r="AJ14" s="4">
        <v>-0.1</v>
      </c>
      <c r="AK14" s="4">
        <v>-2.2999999999999998</v>
      </c>
      <c r="AL14" s="4">
        <v>-2.6</v>
      </c>
      <c r="AM14" s="4">
        <v>-2.5</v>
      </c>
      <c r="AN14" s="4" t="str">
        <f t="shared" si="0"/>
        <v>Mexico</v>
      </c>
      <c r="AO14" s="4">
        <f t="shared" si="1"/>
        <v>0.38153661333331435</v>
      </c>
      <c r="AQ14" t="s">
        <v>11</v>
      </c>
      <c r="AR14" s="4">
        <f>VLOOKUP(AQ14,'Stripped Spread'!$C$18:$E$60,3,FALSE)</f>
        <v>-0.48422075013713889</v>
      </c>
      <c r="BC14" s="57" t="s">
        <v>71</v>
      </c>
      <c r="BD14" s="58">
        <f t="shared" si="2"/>
        <v>1.6705116583782962</v>
      </c>
      <c r="BE14" s="58">
        <f t="shared" si="3"/>
        <v>-0.55505648603455771</v>
      </c>
    </row>
    <row r="15" spans="1:57" x14ac:dyDescent="0.2">
      <c r="A15" t="s">
        <v>70</v>
      </c>
      <c r="G15" t="s">
        <v>70</v>
      </c>
      <c r="H15">
        <v>-4.3</v>
      </c>
      <c r="I15">
        <v>-4.9000000000000004</v>
      </c>
      <c r="J15">
        <v>-5.4</v>
      </c>
      <c r="L15" t="s">
        <v>70</v>
      </c>
      <c r="S15" t="s">
        <v>70</v>
      </c>
      <c r="AE15" s="4" t="s">
        <v>70</v>
      </c>
      <c r="AF15">
        <v>-5.2</v>
      </c>
      <c r="AG15">
        <v>-5</v>
      </c>
      <c r="AH15">
        <v>-4.8</v>
      </c>
      <c r="AJ15" s="34">
        <f>AVERAGE(C15,H15,O15,U15,AF15)</f>
        <v>-4.75</v>
      </c>
      <c r="AK15" s="34">
        <f>AVERAGE(D15,I15,P15,V15,AG15)</f>
        <v>-4.95</v>
      </c>
      <c r="AL15" s="34">
        <f>AVERAGE(E15,J15,Q15,W15,AH15)</f>
        <v>-5.0999999999999996</v>
      </c>
      <c r="AM15" s="34">
        <v>-5</v>
      </c>
      <c r="AN15" s="4" t="str">
        <f t="shared" si="0"/>
        <v>Pakistan</v>
      </c>
      <c r="AO15" s="4">
        <f t="shared" si="1"/>
        <v>-0.6926092575375038</v>
      </c>
      <c r="AQ15" t="s">
        <v>70</v>
      </c>
      <c r="AR15" s="4">
        <f>VLOOKUP(AQ15,'Stripped Spread'!$C$18:$E$60,3,FALSE)</f>
        <v>2.1692475485534328</v>
      </c>
      <c r="BC15" s="57" t="s">
        <v>47</v>
      </c>
      <c r="BD15" s="58">
        <f t="shared" si="2"/>
        <v>1.2408533100299688</v>
      </c>
      <c r="BE15" s="58">
        <f t="shared" si="3"/>
        <v>-0.50718932529558414</v>
      </c>
    </row>
    <row r="16" spans="1:57" x14ac:dyDescent="0.2">
      <c r="A16" t="s">
        <v>71</v>
      </c>
      <c r="G16" t="s">
        <v>71</v>
      </c>
      <c r="H16">
        <v>0.4</v>
      </c>
      <c r="I16">
        <v>-2</v>
      </c>
      <c r="J16">
        <v>-2</v>
      </c>
      <c r="L16" t="s">
        <v>71</v>
      </c>
      <c r="M16">
        <v>0.5</v>
      </c>
      <c r="N16">
        <v>3.5</v>
      </c>
      <c r="O16">
        <v>0.4</v>
      </c>
      <c r="P16">
        <v>-1</v>
      </c>
      <c r="Q16">
        <v>-0.8</v>
      </c>
      <c r="S16" t="s">
        <v>71</v>
      </c>
      <c r="T16">
        <v>3.4</v>
      </c>
      <c r="U16">
        <v>0.4</v>
      </c>
      <c r="V16">
        <v>-2</v>
      </c>
      <c r="W16">
        <v>-1.8</v>
      </c>
      <c r="Y16" t="s">
        <v>123</v>
      </c>
      <c r="Z16">
        <v>-0.6</v>
      </c>
      <c r="AA16">
        <v>-1.4</v>
      </c>
      <c r="AB16">
        <v>-5.7</v>
      </c>
      <c r="AC16">
        <v>-6.5</v>
      </c>
      <c r="AE16" s="4" t="s">
        <v>71</v>
      </c>
      <c r="AF16">
        <v>0.4</v>
      </c>
      <c r="AG16">
        <v>-1.5</v>
      </c>
      <c r="AH16">
        <v>-0.5</v>
      </c>
      <c r="AJ16" s="34">
        <v>0.4</v>
      </c>
      <c r="AK16" s="34">
        <v>-1.1000000000000001</v>
      </c>
      <c r="AL16" s="34">
        <v>0.01</v>
      </c>
      <c r="AM16" s="34">
        <v>0.5</v>
      </c>
      <c r="AN16" s="4" t="str">
        <f t="shared" si="0"/>
        <v>Panama</v>
      </c>
      <c r="AO16" s="4">
        <f t="shared" si="1"/>
        <v>1.6705116583782962</v>
      </c>
      <c r="AQ16" t="s">
        <v>71</v>
      </c>
      <c r="AR16" s="4">
        <f>VLOOKUP(AQ16,'Stripped Spread'!$C$18:$E$60,3,FALSE)</f>
        <v>-0.55505648603455771</v>
      </c>
      <c r="BC16" s="57" t="s">
        <v>4</v>
      </c>
      <c r="BD16" s="58">
        <f t="shared" si="2"/>
        <v>3.7809934654652641E-2</v>
      </c>
      <c r="BE16" s="58">
        <f t="shared" si="3"/>
        <v>-0.46284842419996541</v>
      </c>
    </row>
    <row r="17" spans="1:57" x14ac:dyDescent="0.2">
      <c r="A17" t="s">
        <v>47</v>
      </c>
      <c r="B17">
        <v>3.1</v>
      </c>
      <c r="C17">
        <v>2.1</v>
      </c>
      <c r="D17">
        <v>-2</v>
      </c>
      <c r="E17">
        <v>-1.8</v>
      </c>
      <c r="G17" t="s">
        <v>47</v>
      </c>
      <c r="H17">
        <v>2.7</v>
      </c>
      <c r="I17">
        <v>-1.3</v>
      </c>
      <c r="J17">
        <v>-1</v>
      </c>
      <c r="L17" t="s">
        <v>47</v>
      </c>
      <c r="M17">
        <v>1.8</v>
      </c>
      <c r="N17">
        <v>3.1</v>
      </c>
      <c r="O17">
        <v>2.1</v>
      </c>
      <c r="P17">
        <v>-2</v>
      </c>
      <c r="Q17">
        <v>-1</v>
      </c>
      <c r="S17" t="s">
        <v>47</v>
      </c>
      <c r="T17">
        <v>3.1</v>
      </c>
      <c r="U17">
        <v>2.1</v>
      </c>
      <c r="V17">
        <v>-2</v>
      </c>
      <c r="W17">
        <v>-1.9</v>
      </c>
      <c r="Y17" t="s">
        <v>41</v>
      </c>
      <c r="Z17">
        <v>-2.7</v>
      </c>
      <c r="AA17">
        <v>-3.2</v>
      </c>
      <c r="AB17">
        <v>-7.1</v>
      </c>
      <c r="AC17">
        <v>-7.8</v>
      </c>
      <c r="AE17" s="4" t="s">
        <v>47</v>
      </c>
      <c r="AF17">
        <v>2.1</v>
      </c>
      <c r="AG17">
        <v>-2.2999999999999998</v>
      </c>
      <c r="AH17">
        <v>-1.5</v>
      </c>
      <c r="AJ17" s="34">
        <v>2.1</v>
      </c>
      <c r="AK17" s="34">
        <v>-2</v>
      </c>
      <c r="AL17" s="34">
        <v>-1</v>
      </c>
      <c r="AM17" s="34">
        <v>-0.5</v>
      </c>
      <c r="AN17" s="4" t="str">
        <f t="shared" si="0"/>
        <v>Peru</v>
      </c>
      <c r="AO17" s="4">
        <f t="shared" si="1"/>
        <v>1.2408533100299688</v>
      </c>
      <c r="AQ17" t="s">
        <v>47</v>
      </c>
      <c r="AR17" s="4">
        <f>VLOOKUP(AQ17,'Stripped Spread'!$C$18:$E$60,3,FALSE)</f>
        <v>-0.50718932529558414</v>
      </c>
      <c r="BC17" s="57" t="s">
        <v>48</v>
      </c>
      <c r="BD17" s="58">
        <f t="shared" si="2"/>
        <v>-1.3370967800599947</v>
      </c>
      <c r="BE17" s="58">
        <f t="shared" si="3"/>
        <v>-0.36315540465326435</v>
      </c>
    </row>
    <row r="18" spans="1:57" x14ac:dyDescent="0.2">
      <c r="A18" t="s">
        <v>4</v>
      </c>
      <c r="B18">
        <v>-0.2</v>
      </c>
      <c r="C18">
        <v>-0.9</v>
      </c>
      <c r="D18">
        <v>-4</v>
      </c>
      <c r="E18">
        <v>-2.8</v>
      </c>
      <c r="G18" t="s">
        <v>4</v>
      </c>
      <c r="H18">
        <v>-0.9</v>
      </c>
      <c r="I18">
        <v>-4.5</v>
      </c>
      <c r="J18">
        <v>-3.7</v>
      </c>
      <c r="L18" t="s">
        <v>4</v>
      </c>
      <c r="M18">
        <v>-1.2</v>
      </c>
      <c r="N18">
        <v>-1.6</v>
      </c>
      <c r="O18">
        <v>-1.3</v>
      </c>
      <c r="P18">
        <v>-4</v>
      </c>
      <c r="Q18">
        <v>-3.9</v>
      </c>
      <c r="S18" t="s">
        <v>4</v>
      </c>
      <c r="T18">
        <v>-0.2</v>
      </c>
      <c r="U18">
        <v>-0.9</v>
      </c>
      <c r="V18">
        <v>-4</v>
      </c>
      <c r="W18">
        <v>-4.3</v>
      </c>
      <c r="Y18" t="s">
        <v>42</v>
      </c>
      <c r="Z18">
        <v>0.1</v>
      </c>
      <c r="AA18">
        <v>-0.1</v>
      </c>
      <c r="AB18">
        <v>-4.5999999999999996</v>
      </c>
      <c r="AC18">
        <v>-6.1</v>
      </c>
      <c r="AE18" s="4" t="s">
        <v>4</v>
      </c>
      <c r="AF18">
        <v>-1.3</v>
      </c>
      <c r="AG18">
        <v>-3.2</v>
      </c>
      <c r="AH18">
        <v>-2.5</v>
      </c>
      <c r="AJ18" s="34">
        <v>-0.9</v>
      </c>
      <c r="AK18" s="34">
        <v>-3.9</v>
      </c>
      <c r="AL18" s="34">
        <v>-4</v>
      </c>
      <c r="AM18" s="34">
        <v>-3.3</v>
      </c>
      <c r="AN18" s="4" t="str">
        <f t="shared" si="0"/>
        <v>Philippines</v>
      </c>
      <c r="AO18" s="4">
        <f t="shared" si="1"/>
        <v>3.7809934654652641E-2</v>
      </c>
      <c r="AQ18" t="s">
        <v>4</v>
      </c>
      <c r="AR18" s="4">
        <f>VLOOKUP(AQ18,'Stripped Spread'!$C$18:$E$60,3,FALSE)</f>
        <v>-0.46284842419996541</v>
      </c>
      <c r="BC18" s="57" t="s">
        <v>13</v>
      </c>
      <c r="BD18" s="58">
        <f t="shared" si="2"/>
        <v>0.16670743915915073</v>
      </c>
      <c r="BE18" s="58">
        <f t="shared" si="3"/>
        <v>-0.16466036285246269</v>
      </c>
    </row>
    <row r="19" spans="1:57" x14ac:dyDescent="0.2">
      <c r="A19" t="s">
        <v>48</v>
      </c>
      <c r="B19">
        <v>-2</v>
      </c>
      <c r="C19">
        <v>-3.9</v>
      </c>
      <c r="D19">
        <v>-6</v>
      </c>
      <c r="E19">
        <v>-7</v>
      </c>
      <c r="G19" t="s">
        <v>48</v>
      </c>
      <c r="H19">
        <v>-3.9</v>
      </c>
      <c r="I19">
        <v>-6.6</v>
      </c>
      <c r="J19">
        <v>-6.8</v>
      </c>
      <c r="L19" t="s">
        <v>48</v>
      </c>
      <c r="M19">
        <v>-3.8</v>
      </c>
      <c r="N19">
        <v>-1.9</v>
      </c>
      <c r="O19">
        <v>-3.9</v>
      </c>
      <c r="P19">
        <v>-5</v>
      </c>
      <c r="Q19">
        <v>-7.1</v>
      </c>
      <c r="S19" t="s">
        <v>48</v>
      </c>
      <c r="T19">
        <v>-1.4</v>
      </c>
      <c r="U19">
        <v>-1.9</v>
      </c>
      <c r="V19">
        <v>-6</v>
      </c>
      <c r="W19">
        <v>-6.5</v>
      </c>
      <c r="Y19" t="s">
        <v>21</v>
      </c>
      <c r="Z19">
        <v>7.7</v>
      </c>
      <c r="AA19">
        <v>0.1</v>
      </c>
      <c r="AB19">
        <v>-4</v>
      </c>
      <c r="AC19">
        <v>-1.9</v>
      </c>
      <c r="AE19" s="4" t="s">
        <v>48</v>
      </c>
      <c r="AF19">
        <v>-3.9</v>
      </c>
      <c r="AG19">
        <v>-5.6</v>
      </c>
      <c r="AH19">
        <v>-5.5</v>
      </c>
      <c r="AJ19" s="34">
        <v>-3.7</v>
      </c>
      <c r="AK19" s="34">
        <v>-7.2</v>
      </c>
      <c r="AL19" s="34">
        <v>-7.5</v>
      </c>
      <c r="AM19" s="34">
        <v>-6.5</v>
      </c>
      <c r="AN19" s="4" t="str">
        <f t="shared" si="0"/>
        <v>Poland</v>
      </c>
      <c r="AO19" s="4">
        <f t="shared" si="1"/>
        <v>-1.3370967800599947</v>
      </c>
      <c r="AQ19" t="s">
        <v>48</v>
      </c>
      <c r="AR19" s="4">
        <f>VLOOKUP(AQ19,'Stripped Spread'!$C$18:$E$60,3,FALSE)</f>
        <v>-0.36315540465326435</v>
      </c>
      <c r="BC19" s="57" t="s">
        <v>23</v>
      </c>
      <c r="BD19" s="58">
        <f t="shared" si="2"/>
        <v>-0.43481424852850759</v>
      </c>
      <c r="BE19" s="58">
        <f t="shared" si="3"/>
        <v>-0.49266345738201095</v>
      </c>
    </row>
    <row r="20" spans="1:57" x14ac:dyDescent="0.2">
      <c r="A20" t="s">
        <v>13</v>
      </c>
      <c r="B20">
        <v>5.5</v>
      </c>
      <c r="C20">
        <v>4.2</v>
      </c>
      <c r="D20">
        <v>-6.7</v>
      </c>
      <c r="E20">
        <v>-2.9</v>
      </c>
      <c r="G20" t="s">
        <v>13</v>
      </c>
      <c r="H20">
        <v>4.0999999999999996</v>
      </c>
      <c r="I20">
        <v>-8</v>
      </c>
      <c r="J20">
        <v>-4.0999999999999996</v>
      </c>
      <c r="L20" t="s">
        <v>13</v>
      </c>
      <c r="M20">
        <v>7.4</v>
      </c>
      <c r="N20">
        <v>5.4</v>
      </c>
      <c r="O20">
        <v>3.8</v>
      </c>
      <c r="P20">
        <v>-7.4</v>
      </c>
      <c r="Q20">
        <v>-4</v>
      </c>
      <c r="S20" t="s">
        <v>13</v>
      </c>
      <c r="T20">
        <v>5.4</v>
      </c>
      <c r="U20">
        <v>4.2</v>
      </c>
      <c r="V20">
        <v>-6.5</v>
      </c>
      <c r="W20">
        <v>-5.9</v>
      </c>
      <c r="Y20" t="s">
        <v>43</v>
      </c>
      <c r="Z20">
        <v>-4.9000000000000004</v>
      </c>
      <c r="AA20">
        <v>-3.3</v>
      </c>
      <c r="AB20">
        <v>-4</v>
      </c>
      <c r="AC20">
        <v>-4</v>
      </c>
      <c r="AE20" s="4" t="s">
        <v>13</v>
      </c>
      <c r="AF20">
        <v>4.0999999999999996</v>
      </c>
      <c r="AG20">
        <v>-6.3</v>
      </c>
      <c r="AH20">
        <v>-5.6</v>
      </c>
      <c r="AJ20" s="34">
        <v>4.0999999999999996</v>
      </c>
      <c r="AK20" s="34">
        <v>-5.9</v>
      </c>
      <c r="AL20" s="34">
        <v>-4</v>
      </c>
      <c r="AM20" s="34">
        <v>-3</v>
      </c>
      <c r="AN20" s="4" t="str">
        <f t="shared" si="0"/>
        <v>Russia</v>
      </c>
      <c r="AO20" s="4">
        <f t="shared" si="1"/>
        <v>0.16670743915915073</v>
      </c>
      <c r="AQ20" t="s">
        <v>13</v>
      </c>
      <c r="AR20" s="4">
        <f>VLOOKUP(AQ20,'Stripped Spread'!$C$18:$E$60,3,FALSE)</f>
        <v>-0.16466036285246269</v>
      </c>
      <c r="BC20" s="57" t="s">
        <v>77</v>
      </c>
      <c r="BD20" s="58">
        <f t="shared" si="2"/>
        <v>-1.4659942845644927</v>
      </c>
      <c r="BE20" s="58">
        <f t="shared" si="3"/>
        <v>0.16739140015649304</v>
      </c>
    </row>
    <row r="21" spans="1:57" x14ac:dyDescent="0.2">
      <c r="A21" t="s">
        <v>23</v>
      </c>
      <c r="B21">
        <v>0.9</v>
      </c>
      <c r="C21">
        <v>-1.2</v>
      </c>
      <c r="D21">
        <v>-8.1999999999999993</v>
      </c>
      <c r="E21">
        <v>-6.8</v>
      </c>
      <c r="G21" t="s">
        <v>23</v>
      </c>
      <c r="H21">
        <v>1.3</v>
      </c>
      <c r="I21">
        <v>-7.8</v>
      </c>
      <c r="J21">
        <v>-6.5</v>
      </c>
      <c r="L21" t="s">
        <v>23</v>
      </c>
      <c r="M21">
        <v>0.6</v>
      </c>
      <c r="N21">
        <v>0.9</v>
      </c>
      <c r="O21">
        <v>-1</v>
      </c>
      <c r="P21">
        <v>-4.5</v>
      </c>
      <c r="Q21">
        <v>-5.9</v>
      </c>
      <c r="S21" t="s">
        <v>23</v>
      </c>
      <c r="T21">
        <v>0.7</v>
      </c>
      <c r="U21">
        <v>-0.3</v>
      </c>
      <c r="V21">
        <v>-5.9</v>
      </c>
      <c r="W21">
        <v>-5.2</v>
      </c>
      <c r="Y21" t="s">
        <v>1</v>
      </c>
      <c r="Z21">
        <v>-2.8</v>
      </c>
      <c r="AA21">
        <v>-6.3</v>
      </c>
      <c r="AB21">
        <v>-7</v>
      </c>
      <c r="AC21">
        <v>-6</v>
      </c>
      <c r="AE21" s="4" t="s">
        <v>23</v>
      </c>
      <c r="AF21">
        <v>-1</v>
      </c>
      <c r="AG21">
        <v>-7.4</v>
      </c>
      <c r="AH21">
        <v>-6.4</v>
      </c>
      <c r="AJ21" s="34">
        <v>-1.2</v>
      </c>
      <c r="AK21" s="34">
        <v>-6.7</v>
      </c>
      <c r="AL21" s="34">
        <v>-5</v>
      </c>
      <c r="AM21" s="34">
        <v>-4.4000000000000004</v>
      </c>
      <c r="AN21" s="4" t="str">
        <f t="shared" si="0"/>
        <v>South Africa</v>
      </c>
      <c r="AO21" s="4">
        <f t="shared" si="1"/>
        <v>-0.43481424852850759</v>
      </c>
      <c r="AQ21" t="s">
        <v>23</v>
      </c>
      <c r="AR21" s="4">
        <f>VLOOKUP(AQ21,'Stripped Spread'!$C$18:$E$60,3,FALSE)</f>
        <v>-0.49266345738201095</v>
      </c>
      <c r="BC21" s="57" t="s">
        <v>14</v>
      </c>
      <c r="BD21" s="58">
        <f t="shared" si="2"/>
        <v>0.33857077849848161</v>
      </c>
      <c r="BE21" s="58">
        <f t="shared" si="3"/>
        <v>-0.24455989205539388</v>
      </c>
    </row>
    <row r="22" spans="1:57" x14ac:dyDescent="0.2">
      <c r="A22" t="s">
        <v>77</v>
      </c>
      <c r="G22" t="s">
        <v>77</v>
      </c>
      <c r="H22">
        <v>-7.7</v>
      </c>
      <c r="I22">
        <v>-6.5</v>
      </c>
      <c r="J22">
        <v>-6.6</v>
      </c>
      <c r="L22" t="s">
        <v>77</v>
      </c>
      <c r="S22" t="s">
        <v>77</v>
      </c>
      <c r="AE22" s="4" t="s">
        <v>77</v>
      </c>
      <c r="AJ22" s="34">
        <f>AVERAGE(C22,H22,O22,U22,AF22)</f>
        <v>-7.7</v>
      </c>
      <c r="AK22" s="34">
        <f>AVERAGE(D22,I22,P22,V22,AG22)</f>
        <v>-6.5</v>
      </c>
      <c r="AL22" s="34">
        <f>AVERAGE(E22,J22,Q22,W22,AH22)</f>
        <v>-6.6</v>
      </c>
      <c r="AM22" s="34">
        <v>-6.8</v>
      </c>
      <c r="AN22" s="4" t="str">
        <f t="shared" si="0"/>
        <v>Sri Lanka</v>
      </c>
      <c r="AO22" s="4">
        <f t="shared" si="1"/>
        <v>-1.4659942845644927</v>
      </c>
      <c r="AQ22" t="s">
        <v>77</v>
      </c>
      <c r="AR22" s="4">
        <f>VLOOKUP(AQ22,'Stripped Spread'!$C$18:$E$60,3,FALSE)</f>
        <v>0.16739140015649304</v>
      </c>
      <c r="BC22" s="57" t="s">
        <v>58</v>
      </c>
      <c r="BD22" s="58">
        <f t="shared" si="2"/>
        <v>-9.1087569849845645E-2</v>
      </c>
      <c r="BE22" s="58">
        <f t="shared" si="3"/>
        <v>1.5328752249159792</v>
      </c>
    </row>
    <row r="23" spans="1:57" x14ac:dyDescent="0.2">
      <c r="A23" t="s">
        <v>14</v>
      </c>
      <c r="B23">
        <v>-1.1000000000000001</v>
      </c>
      <c r="C23">
        <v>-1.8</v>
      </c>
      <c r="D23">
        <v>-6.9</v>
      </c>
      <c r="E23">
        <v>-5.5</v>
      </c>
      <c r="G23" t="s">
        <v>14</v>
      </c>
      <c r="H23">
        <v>-1.8</v>
      </c>
      <c r="I23">
        <v>-6</v>
      </c>
      <c r="J23">
        <v>-5</v>
      </c>
      <c r="L23" t="s">
        <v>14</v>
      </c>
      <c r="M23">
        <v>0</v>
      </c>
      <c r="N23">
        <v>-1.2</v>
      </c>
      <c r="O23">
        <v>-1.9</v>
      </c>
      <c r="P23">
        <v>-5.7</v>
      </c>
      <c r="Q23">
        <v>-5.6</v>
      </c>
      <c r="S23" t="s">
        <v>14</v>
      </c>
      <c r="T23">
        <v>-1.6</v>
      </c>
      <c r="U23">
        <v>-1.8</v>
      </c>
      <c r="V23">
        <v>-6.3</v>
      </c>
      <c r="W23">
        <v>-5.4</v>
      </c>
      <c r="Y23" t="s">
        <v>2</v>
      </c>
      <c r="Z23">
        <v>-1.3</v>
      </c>
      <c r="AA23">
        <v>-0.1</v>
      </c>
      <c r="AB23">
        <v>-3</v>
      </c>
      <c r="AC23">
        <v>-2</v>
      </c>
      <c r="AE23" s="4" t="s">
        <v>14</v>
      </c>
      <c r="AF23">
        <v>-1.7</v>
      </c>
      <c r="AG23">
        <v>-6.3</v>
      </c>
      <c r="AH23">
        <v>-3.6</v>
      </c>
      <c r="AJ23" s="4">
        <v>-1.7</v>
      </c>
      <c r="AK23" s="4">
        <v>-5.5</v>
      </c>
      <c r="AL23" s="4">
        <v>-3.6</v>
      </c>
      <c r="AM23" s="4">
        <v>-2.6</v>
      </c>
      <c r="AN23" s="4" t="str">
        <f t="shared" si="0"/>
        <v>Turkey</v>
      </c>
      <c r="AO23" s="4">
        <f t="shared" si="1"/>
        <v>0.33857077849848161</v>
      </c>
      <c r="AQ23" t="s">
        <v>14</v>
      </c>
      <c r="AR23" s="4">
        <f>VLOOKUP(AQ23,'Stripped Spread'!$C$18:$E$60,3,FALSE)</f>
        <v>-0.24455989205539388</v>
      </c>
      <c r="BC23" s="57" t="s">
        <v>64</v>
      </c>
      <c r="BD23" s="58">
        <f t="shared" si="2"/>
        <v>-1.6808234587386564</v>
      </c>
      <c r="BE23" s="58">
        <f t="shared" si="3"/>
        <v>0.45654469091159733</v>
      </c>
    </row>
    <row r="24" spans="1:57" x14ac:dyDescent="0.2">
      <c r="A24" t="s">
        <v>58</v>
      </c>
      <c r="C24">
        <v>-1</v>
      </c>
      <c r="D24">
        <v>-2.9</v>
      </c>
      <c r="E24">
        <v>-3.8</v>
      </c>
      <c r="G24" t="s">
        <v>58</v>
      </c>
      <c r="H24">
        <v>-1.2</v>
      </c>
      <c r="I24">
        <v>-5.9</v>
      </c>
      <c r="J24">
        <v>-6.3</v>
      </c>
      <c r="L24" t="s">
        <v>58</v>
      </c>
      <c r="M24">
        <v>-1.4</v>
      </c>
      <c r="N24">
        <v>-2</v>
      </c>
      <c r="O24">
        <v>-3.2</v>
      </c>
      <c r="P24">
        <v>-4</v>
      </c>
      <c r="Q24">
        <v>-4.2</v>
      </c>
      <c r="S24" t="s">
        <v>58</v>
      </c>
      <c r="T24">
        <v>-1.4</v>
      </c>
      <c r="U24">
        <v>-1.3</v>
      </c>
      <c r="V24">
        <v>-4.9000000000000004</v>
      </c>
      <c r="W24">
        <v>-4.2</v>
      </c>
      <c r="Y24" t="s">
        <v>61</v>
      </c>
      <c r="Z24">
        <v>0</v>
      </c>
      <c r="AA24">
        <v>-2.1</v>
      </c>
      <c r="AB24">
        <v>-6.3</v>
      </c>
      <c r="AC24">
        <v>-5.3</v>
      </c>
      <c r="AE24" s="4" t="s">
        <v>58</v>
      </c>
      <c r="AF24">
        <v>-1</v>
      </c>
      <c r="AG24">
        <v>-6.8</v>
      </c>
      <c r="AH24">
        <v>-4.5999999999999996</v>
      </c>
      <c r="AJ24" s="4">
        <v>-1.5</v>
      </c>
      <c r="AK24" s="4">
        <v>-10.6</v>
      </c>
      <c r="AL24" s="4">
        <v>-5.9</v>
      </c>
      <c r="AM24" s="4">
        <v>-3.6</v>
      </c>
      <c r="AN24" s="4" t="str">
        <f t="shared" si="0"/>
        <v>Ukraine</v>
      </c>
      <c r="AO24" s="4">
        <f t="shared" si="1"/>
        <v>-9.1087569849845645E-2</v>
      </c>
      <c r="AQ24" t="s">
        <v>58</v>
      </c>
      <c r="AR24" s="4">
        <f>VLOOKUP(AQ24,'Stripped Spread'!$C$18:$E$60,3,FALSE)</f>
        <v>1.5328752249159792</v>
      </c>
      <c r="BD24" s="4"/>
      <c r="BE24" s="4"/>
    </row>
    <row r="25" spans="1:57" x14ac:dyDescent="0.2">
      <c r="A25" t="s">
        <v>72</v>
      </c>
      <c r="G25" t="s">
        <v>72</v>
      </c>
      <c r="I25">
        <v>-1.5</v>
      </c>
      <c r="J25">
        <v>-1</v>
      </c>
      <c r="L25" t="s">
        <v>72</v>
      </c>
      <c r="S25" t="s">
        <v>72</v>
      </c>
      <c r="T25">
        <v>-0.1</v>
      </c>
      <c r="U25">
        <v>-1.3</v>
      </c>
      <c r="V25">
        <v>-2.2000000000000002</v>
      </c>
      <c r="W25">
        <v>-1.1000000000000001</v>
      </c>
      <c r="AE25" s="4" t="s">
        <v>72</v>
      </c>
      <c r="AF25">
        <v>-1.4</v>
      </c>
      <c r="AG25">
        <v>-2.4</v>
      </c>
      <c r="AH25">
        <v>-1.8</v>
      </c>
      <c r="AJ25" s="4">
        <v>-1.5</v>
      </c>
      <c r="AK25" s="4">
        <v>-1.7</v>
      </c>
      <c r="AL25" s="4">
        <v>-0.8</v>
      </c>
      <c r="AM25" s="4">
        <v>-0.5</v>
      </c>
      <c r="AN25" s="4" t="str">
        <f t="shared" si="0"/>
        <v>Uruguay</v>
      </c>
      <c r="AO25" s="4">
        <f t="shared" si="1"/>
        <v>1.2408533100299688</v>
      </c>
      <c r="AQ25" t="s">
        <v>72</v>
      </c>
      <c r="AR25" s="4">
        <f>VLOOKUP(AQ25,'Stripped Spread'!$C$18:$E$60,3,FALSE)</f>
        <v>-0.34765727585037098</v>
      </c>
      <c r="BD25" s="4"/>
      <c r="BE25" s="4"/>
    </row>
    <row r="26" spans="1:57" x14ac:dyDescent="0.2">
      <c r="A26" t="s">
        <v>12</v>
      </c>
      <c r="B26">
        <v>3</v>
      </c>
      <c r="C26">
        <v>-1.3</v>
      </c>
      <c r="D26">
        <v>-5</v>
      </c>
      <c r="E26">
        <v>-4.7</v>
      </c>
      <c r="G26" t="s">
        <v>12</v>
      </c>
      <c r="H26">
        <v>-3.2</v>
      </c>
      <c r="I26">
        <v>-5.8</v>
      </c>
      <c r="J26">
        <v>-3.5</v>
      </c>
      <c r="L26" t="s">
        <v>12</v>
      </c>
      <c r="M26">
        <v>-1.5</v>
      </c>
      <c r="N26">
        <v>-2.6</v>
      </c>
      <c r="O26">
        <v>-2.6</v>
      </c>
      <c r="P26">
        <v>-5</v>
      </c>
      <c r="Q26">
        <v>-1</v>
      </c>
      <c r="S26" t="s">
        <v>12</v>
      </c>
      <c r="T26">
        <v>-2.8</v>
      </c>
      <c r="U26">
        <v>-2.6</v>
      </c>
      <c r="V26">
        <v>-3</v>
      </c>
      <c r="W26">
        <v>-2</v>
      </c>
      <c r="Y26" t="s">
        <v>44</v>
      </c>
      <c r="Z26">
        <v>-1.5</v>
      </c>
      <c r="AA26">
        <v>-2.7</v>
      </c>
      <c r="AB26">
        <v>-5.8</v>
      </c>
      <c r="AC26">
        <v>-6.4</v>
      </c>
      <c r="AE26" s="4" t="s">
        <v>12</v>
      </c>
      <c r="AF26">
        <v>-2.2000000000000002</v>
      </c>
      <c r="AG26">
        <v>-3.5</v>
      </c>
      <c r="AH26">
        <v>-4</v>
      </c>
      <c r="AJ26" s="4">
        <v>-2.6</v>
      </c>
      <c r="AK26" s="4">
        <v>-7.6</v>
      </c>
      <c r="AL26" s="4">
        <v>-5.2</v>
      </c>
      <c r="AM26" s="4">
        <v>-3</v>
      </c>
      <c r="AN26" s="4" t="str">
        <f t="shared" si="0"/>
        <v>Venezuela</v>
      </c>
      <c r="AO26" s="4">
        <f t="shared" si="1"/>
        <v>0.16670743915915073</v>
      </c>
      <c r="AQ26" t="s">
        <v>12</v>
      </c>
      <c r="AR26" s="4">
        <f>VLOOKUP(AQ26,'Stripped Spread'!$C$18:$E$60,3,FALSE)</f>
        <v>2.7898082980863612</v>
      </c>
      <c r="BD26" s="4"/>
      <c r="BE26" s="4"/>
    </row>
    <row r="27" spans="1:57" x14ac:dyDescent="0.2">
      <c r="A27" t="s">
        <v>64</v>
      </c>
      <c r="G27" t="s">
        <v>64</v>
      </c>
      <c r="H27">
        <v>-4.5</v>
      </c>
      <c r="I27">
        <v>-8.3000000000000007</v>
      </c>
      <c r="J27">
        <v>-6.2</v>
      </c>
      <c r="L27" t="s">
        <v>64</v>
      </c>
      <c r="M27">
        <v>-0.9</v>
      </c>
      <c r="N27">
        <v>-1.7</v>
      </c>
      <c r="O27">
        <v>-2.1</v>
      </c>
      <c r="P27">
        <v>-3.2</v>
      </c>
      <c r="Q27">
        <v>-3</v>
      </c>
      <c r="S27" t="s">
        <v>64</v>
      </c>
      <c r="T27">
        <v>-5</v>
      </c>
      <c r="U27">
        <v>-5</v>
      </c>
      <c r="V27">
        <v>-8</v>
      </c>
      <c r="W27">
        <v>-7</v>
      </c>
      <c r="AE27" s="4" t="s">
        <v>64</v>
      </c>
      <c r="AJ27" s="34">
        <f>AVERAGE(C27,H27,O27,U27,AF27)</f>
        <v>-3.8666666666666667</v>
      </c>
      <c r="AK27" s="34">
        <f>AVERAGE(D27,I27,P27,V27,AG27)</f>
        <v>-6.5</v>
      </c>
      <c r="AL27" s="34">
        <f>AVERAGE(E27,J27,Q27,W27,AH27)</f>
        <v>-5.3999999999999995</v>
      </c>
      <c r="AM27" s="34">
        <v>-7.3</v>
      </c>
      <c r="AN27" s="4" t="str">
        <f t="shared" si="0"/>
        <v>Vietnam</v>
      </c>
      <c r="AO27" s="4">
        <f t="shared" si="1"/>
        <v>-1.6808234587386564</v>
      </c>
      <c r="AQ27" t="s">
        <v>64</v>
      </c>
      <c r="AR27" s="4">
        <f>VLOOKUP(AQ27,'Stripped Spread'!$C$18:$E$60,3,FALSE)</f>
        <v>0.45654469091159733</v>
      </c>
      <c r="BD27" s="4"/>
      <c r="BE27" s="4"/>
    </row>
    <row r="28" spans="1:57" x14ac:dyDescent="0.2">
      <c r="AE28" s="4"/>
      <c r="AJ28" s="4"/>
      <c r="AK28" s="4"/>
      <c r="AL28" s="4"/>
      <c r="AM28" s="4"/>
      <c r="AN28" s="4"/>
      <c r="AR28" s="4"/>
    </row>
    <row r="29" spans="1:57" x14ac:dyDescent="0.2">
      <c r="A29" t="s">
        <v>24</v>
      </c>
      <c r="B29">
        <v>-0.6</v>
      </c>
      <c r="C29">
        <v>-2.2999999999999998</v>
      </c>
      <c r="D29">
        <v>-4.7</v>
      </c>
      <c r="E29">
        <v>-4.5999999999999996</v>
      </c>
      <c r="G29" t="s">
        <v>16</v>
      </c>
      <c r="H29">
        <v>-1.8</v>
      </c>
      <c r="I29">
        <v>-4.9000000000000004</v>
      </c>
      <c r="J29">
        <v>-3.4</v>
      </c>
      <c r="L29" t="s">
        <v>145</v>
      </c>
      <c r="M29">
        <v>-1</v>
      </c>
      <c r="N29">
        <v>-0.1</v>
      </c>
      <c r="O29">
        <v>-1.8</v>
      </c>
      <c r="P29">
        <v>-4.5999999999999996</v>
      </c>
      <c r="Q29">
        <v>-3.5</v>
      </c>
      <c r="S29" t="s">
        <v>138</v>
      </c>
      <c r="T29">
        <v>-0.2</v>
      </c>
      <c r="U29">
        <v>-1.7</v>
      </c>
      <c r="V29">
        <v>-4.0999999999999996</v>
      </c>
      <c r="W29">
        <v>-3.9</v>
      </c>
      <c r="Y29" t="s">
        <v>17</v>
      </c>
      <c r="Z29">
        <v>-1.4</v>
      </c>
      <c r="AA29">
        <v>-3.5</v>
      </c>
      <c r="AB29">
        <v>-10.199999999999999</v>
      </c>
      <c r="AC29">
        <v>-10.5</v>
      </c>
      <c r="AE29" s="4" t="s">
        <v>24</v>
      </c>
      <c r="AF29">
        <v>-1.3</v>
      </c>
      <c r="AG29">
        <v>-3.8</v>
      </c>
      <c r="AH29">
        <v>-2.8</v>
      </c>
      <c r="AJ29" s="4">
        <f t="shared" ref="AJ29:AK31" si="4">AVERAGE(C29,H29,O29,U29,AF29)</f>
        <v>-1.78</v>
      </c>
      <c r="AK29" s="4">
        <f t="shared" si="4"/>
        <v>-4.42</v>
      </c>
      <c r="AL29" s="4">
        <f>AVERAGE(E29,J29,Q29,W29,AH29)</f>
        <v>-3.6399999999999997</v>
      </c>
      <c r="AM29" s="4"/>
      <c r="AN29" s="4" t="str">
        <f>A29</f>
        <v>Asia ex Japan</v>
      </c>
      <c r="AR29" s="4"/>
    </row>
    <row r="30" spans="1:57" x14ac:dyDescent="0.2">
      <c r="A30" t="s">
        <v>29</v>
      </c>
      <c r="B30">
        <v>-2.2999999999999998</v>
      </c>
      <c r="C30">
        <v>-3.3</v>
      </c>
      <c r="D30">
        <v>-5.4</v>
      </c>
      <c r="E30">
        <v>-4.2</v>
      </c>
      <c r="G30" t="s">
        <v>124</v>
      </c>
      <c r="H30">
        <v>-1.7</v>
      </c>
      <c r="I30">
        <v>-5.5</v>
      </c>
      <c r="J30">
        <v>-5.8</v>
      </c>
      <c r="L30" t="s">
        <v>82</v>
      </c>
      <c r="M30">
        <v>4.9000000000000004</v>
      </c>
      <c r="N30">
        <v>3</v>
      </c>
      <c r="O30">
        <v>2.4</v>
      </c>
      <c r="P30">
        <v>-5.9</v>
      </c>
      <c r="Q30">
        <v>-3.2</v>
      </c>
      <c r="S30" t="s">
        <v>124</v>
      </c>
      <c r="T30">
        <v>1.9</v>
      </c>
      <c r="U30">
        <v>2.9</v>
      </c>
      <c r="V30">
        <v>-5.0999999999999996</v>
      </c>
      <c r="W30">
        <v>-4.4000000000000004</v>
      </c>
      <c r="Y30" t="s">
        <v>25</v>
      </c>
      <c r="Z30">
        <v>-0.3</v>
      </c>
      <c r="AA30">
        <v>-0.2</v>
      </c>
      <c r="AB30">
        <v>-2.1</v>
      </c>
      <c r="AC30">
        <v>-1.7</v>
      </c>
      <c r="AE30" s="4" t="s">
        <v>124</v>
      </c>
      <c r="AF30">
        <v>-0.1</v>
      </c>
      <c r="AG30">
        <v>-6.2</v>
      </c>
      <c r="AH30">
        <v>-5</v>
      </c>
      <c r="AJ30" s="4">
        <f t="shared" si="4"/>
        <v>3.9999999999999966E-2</v>
      </c>
      <c r="AK30" s="4">
        <f t="shared" si="4"/>
        <v>-5.6199999999999992</v>
      </c>
      <c r="AL30" s="4">
        <f>AVERAGE(E30,J30,Q30,W30,AH30)</f>
        <v>-4.5200000000000005</v>
      </c>
      <c r="AM30" s="4"/>
      <c r="AN30" s="4" t="str">
        <f>A30</f>
        <v>Central and Eastern Europe</v>
      </c>
      <c r="AR30" s="4"/>
    </row>
    <row r="31" spans="1:57" x14ac:dyDescent="0.2">
      <c r="A31" t="s">
        <v>25</v>
      </c>
      <c r="B31">
        <v>-0.2</v>
      </c>
      <c r="C31">
        <v>-0.4</v>
      </c>
      <c r="D31">
        <v>-3.2</v>
      </c>
      <c r="E31">
        <v>-3.2</v>
      </c>
      <c r="G31" t="s">
        <v>25</v>
      </c>
      <c r="H31">
        <v>0.9</v>
      </c>
      <c r="I31">
        <v>-2.6</v>
      </c>
      <c r="J31">
        <v>-2.2999999999999998</v>
      </c>
      <c r="L31" t="s">
        <v>83</v>
      </c>
      <c r="M31">
        <v>-0.9</v>
      </c>
      <c r="N31">
        <v>-0.6</v>
      </c>
      <c r="O31">
        <v>-0.4</v>
      </c>
      <c r="P31">
        <v>-2.9</v>
      </c>
      <c r="Q31">
        <v>-2.4</v>
      </c>
      <c r="S31" t="s">
        <v>25</v>
      </c>
      <c r="T31">
        <v>-0.3</v>
      </c>
      <c r="U31">
        <v>-0.2</v>
      </c>
      <c r="V31">
        <v>-2.8</v>
      </c>
      <c r="W31">
        <v>-2</v>
      </c>
      <c r="Y31" t="s">
        <v>3</v>
      </c>
      <c r="Z31">
        <v>-3.2</v>
      </c>
      <c r="AA31">
        <v>-4.8</v>
      </c>
      <c r="AB31">
        <v>-9</v>
      </c>
      <c r="AC31">
        <v>-6.5</v>
      </c>
      <c r="AE31" s="4" t="s">
        <v>25</v>
      </c>
      <c r="AF31">
        <v>-0.8</v>
      </c>
      <c r="AG31">
        <v>-3</v>
      </c>
      <c r="AH31">
        <v>-2.5</v>
      </c>
      <c r="AJ31" s="4">
        <f t="shared" si="4"/>
        <v>-0.18000000000000002</v>
      </c>
      <c r="AK31" s="4">
        <f t="shared" si="4"/>
        <v>-2.9</v>
      </c>
      <c r="AL31" s="4">
        <f>AVERAGE(E31,J31,Q31,W31,AH31)</f>
        <v>-2.48</v>
      </c>
      <c r="AM31" s="4"/>
      <c r="AN31" s="4" t="str">
        <f>A31</f>
        <v>Latin America</v>
      </c>
      <c r="AR31" s="4"/>
    </row>
    <row r="32" spans="1:57" x14ac:dyDescent="0.2">
      <c r="AE32" s="4"/>
      <c r="AJ32" s="4"/>
      <c r="AK32" s="4"/>
      <c r="AL32" s="4"/>
      <c r="AM32" s="4"/>
      <c r="AN32" s="4"/>
      <c r="AR32" s="4"/>
    </row>
    <row r="33" spans="1:44" x14ac:dyDescent="0.2">
      <c r="A33" t="s">
        <v>26</v>
      </c>
      <c r="B33">
        <v>-0.3</v>
      </c>
      <c r="C33">
        <v>-1.4</v>
      </c>
      <c r="D33">
        <v>-4.7</v>
      </c>
      <c r="E33">
        <v>-4.0999999999999996</v>
      </c>
      <c r="G33" t="s">
        <v>68</v>
      </c>
      <c r="H33">
        <v>-0.7</v>
      </c>
      <c r="I33">
        <v>-4.7</v>
      </c>
      <c r="J33">
        <v>-3.6</v>
      </c>
      <c r="L33" t="s">
        <v>94</v>
      </c>
      <c r="M33">
        <v>0.7</v>
      </c>
      <c r="N33">
        <v>0.6</v>
      </c>
      <c r="O33">
        <v>-0.3</v>
      </c>
      <c r="P33">
        <v>-4.5999999999999996</v>
      </c>
      <c r="Q33">
        <v>-3.2</v>
      </c>
      <c r="AE33" s="4" t="s">
        <v>26</v>
      </c>
      <c r="AF33">
        <v>-0.9</v>
      </c>
      <c r="AG33">
        <v>-4</v>
      </c>
      <c r="AH33">
        <v>-3.1</v>
      </c>
      <c r="AJ33" s="4">
        <f>AVERAGE(C33,H33,O33,U33,AF33)</f>
        <v>-0.82499999999999984</v>
      </c>
      <c r="AK33" s="4">
        <f>AVERAGE(D33,I33,P33,V33,AG33)</f>
        <v>-4.5</v>
      </c>
      <c r="AL33" s="4">
        <f>AVERAGE(AH33,Q33,J33,E33)</f>
        <v>-3.5</v>
      </c>
      <c r="AM33" s="4">
        <f>AVERAGE(AM3:AM27)</f>
        <v>-3.3879999999999995</v>
      </c>
      <c r="AN33" s="4" t="str">
        <f>A33</f>
        <v>Emerging Mkts</v>
      </c>
      <c r="AR33" s="4"/>
    </row>
    <row r="34" spans="1:44" x14ac:dyDescent="0.2">
      <c r="H34" s="2"/>
      <c r="I34" s="39"/>
      <c r="J34" s="39"/>
      <c r="AJ34" s="4"/>
      <c r="AK34" s="4"/>
      <c r="AL34" s="4">
        <f>STDEV(AL3:AL27)</f>
        <v>2.2702591261792109</v>
      </c>
      <c r="AM34" s="4">
        <f>STDEV(AM3:AM27)</f>
        <v>2.3274306291130005</v>
      </c>
      <c r="AN34" s="4"/>
      <c r="AR34" s="4"/>
    </row>
    <row r="35" spans="1:44" ht="13.5" thickBot="1" x14ac:dyDescent="0.25">
      <c r="A35" t="s">
        <v>34</v>
      </c>
      <c r="B35">
        <v>0.5</v>
      </c>
      <c r="C35">
        <v>0.5</v>
      </c>
      <c r="D35">
        <v>-2.4</v>
      </c>
      <c r="E35">
        <v>-2.7</v>
      </c>
      <c r="G35" t="s">
        <v>69</v>
      </c>
      <c r="H35">
        <v>-4</v>
      </c>
      <c r="I35">
        <v>-5</v>
      </c>
      <c r="J35">
        <v>-4.7</v>
      </c>
      <c r="L35" t="s">
        <v>55</v>
      </c>
      <c r="M35">
        <v>-2.6</v>
      </c>
      <c r="N35">
        <v>-1</v>
      </c>
      <c r="O35">
        <v>-1.4</v>
      </c>
      <c r="P35">
        <v>-5.0999999999999996</v>
      </c>
      <c r="Q35">
        <v>-5.7</v>
      </c>
      <c r="S35" t="s">
        <v>114</v>
      </c>
      <c r="T35">
        <v>-1.6</v>
      </c>
      <c r="U35">
        <v>-4.5999999999999996</v>
      </c>
      <c r="V35">
        <v>-15.4</v>
      </c>
      <c r="W35">
        <v>-7.2</v>
      </c>
      <c r="Y35" t="s">
        <v>11</v>
      </c>
      <c r="Z35">
        <v>0</v>
      </c>
      <c r="AA35">
        <v>-0.1</v>
      </c>
      <c r="AB35">
        <v>-2.2999999999999998</v>
      </c>
      <c r="AC35">
        <v>-2.2000000000000002</v>
      </c>
      <c r="AR35" s="4"/>
    </row>
    <row r="36" spans="1:44" x14ac:dyDescent="0.2">
      <c r="A36" t="s">
        <v>35</v>
      </c>
      <c r="B36">
        <v>1.9</v>
      </c>
      <c r="C36">
        <v>1.8</v>
      </c>
      <c r="D36">
        <v>0.3</v>
      </c>
      <c r="E36">
        <v>-1.9</v>
      </c>
      <c r="G36" t="s">
        <v>21</v>
      </c>
      <c r="H36">
        <v>0.1</v>
      </c>
      <c r="I36">
        <v>0.5</v>
      </c>
      <c r="J36">
        <v>-0.5</v>
      </c>
      <c r="L36" t="s">
        <v>94</v>
      </c>
      <c r="M36">
        <v>0.7</v>
      </c>
      <c r="N36">
        <v>0.6</v>
      </c>
      <c r="O36">
        <v>-0.3</v>
      </c>
      <c r="P36">
        <v>-4.5999999999999996</v>
      </c>
      <c r="Q36">
        <v>-3.2</v>
      </c>
      <c r="S36" t="s">
        <v>115</v>
      </c>
      <c r="T36">
        <v>-0.6</v>
      </c>
      <c r="U36">
        <v>-1.4</v>
      </c>
      <c r="V36">
        <v>-5.7</v>
      </c>
      <c r="W36">
        <v>-6.5</v>
      </c>
      <c r="Y36" t="s">
        <v>59</v>
      </c>
      <c r="Z36">
        <v>3.7</v>
      </c>
      <c r="AA36">
        <v>2.5</v>
      </c>
      <c r="AB36">
        <v>0.1</v>
      </c>
      <c r="AC36">
        <v>0.1</v>
      </c>
      <c r="AL36" s="4"/>
      <c r="AM36" s="4"/>
      <c r="AN36" s="53" t="s">
        <v>709</v>
      </c>
      <c r="AO36" s="54">
        <f>LINEST(BE4:BE23,BD4:BD23,TRUE,FALSE)</f>
        <v>-0.31960967616442937</v>
      </c>
      <c r="AR36" s="4"/>
    </row>
    <row r="37" spans="1:44" ht="13.5" thickBot="1" x14ac:dyDescent="0.25">
      <c r="A37" t="s">
        <v>55</v>
      </c>
      <c r="B37">
        <v>-0.6</v>
      </c>
      <c r="C37">
        <v>-1.5</v>
      </c>
      <c r="D37">
        <v>-5</v>
      </c>
      <c r="E37">
        <v>-5.0999999999999996</v>
      </c>
      <c r="G37" t="s">
        <v>1</v>
      </c>
      <c r="H37">
        <v>-9.1999999999999993</v>
      </c>
      <c r="I37">
        <v>-10.3</v>
      </c>
      <c r="J37">
        <v>-8.6</v>
      </c>
      <c r="L37" t="s">
        <v>21</v>
      </c>
      <c r="M37">
        <v>4</v>
      </c>
      <c r="N37">
        <v>7.7</v>
      </c>
      <c r="O37">
        <v>-0.3</v>
      </c>
      <c r="P37">
        <v>-3.3</v>
      </c>
      <c r="Q37">
        <v>-1.4</v>
      </c>
      <c r="S37" t="s">
        <v>17</v>
      </c>
      <c r="T37">
        <v>-1.4</v>
      </c>
      <c r="U37">
        <v>-3.5</v>
      </c>
      <c r="V37">
        <v>-10.199999999999999</v>
      </c>
      <c r="W37">
        <v>-10.5</v>
      </c>
      <c r="Y37" t="s">
        <v>130</v>
      </c>
      <c r="Z37">
        <v>-1.4</v>
      </c>
      <c r="AA37">
        <v>-4.2</v>
      </c>
      <c r="AB37">
        <v>-14.4</v>
      </c>
      <c r="AC37">
        <v>-6.8</v>
      </c>
      <c r="AN37" s="55" t="s">
        <v>315</v>
      </c>
      <c r="AO37" s="56">
        <f>INTERCEPT(BE4:BE23,BD4:BD23)</f>
        <v>-7.07699732186923E-2</v>
      </c>
      <c r="AR37" s="4"/>
    </row>
    <row r="38" spans="1:44" x14ac:dyDescent="0.2">
      <c r="A38" t="s">
        <v>38</v>
      </c>
      <c r="B38">
        <v>4.9000000000000004</v>
      </c>
      <c r="C38">
        <v>2.9</v>
      </c>
      <c r="D38">
        <v>-2.1</v>
      </c>
      <c r="E38">
        <v>-3.8</v>
      </c>
      <c r="G38" t="s">
        <v>6</v>
      </c>
      <c r="H38">
        <v>1.2</v>
      </c>
      <c r="I38">
        <v>-2.5</v>
      </c>
      <c r="J38">
        <v>-1.9</v>
      </c>
      <c r="L38" t="s">
        <v>1</v>
      </c>
      <c r="M38">
        <v>-5.6</v>
      </c>
      <c r="N38">
        <v>-5.2</v>
      </c>
      <c r="O38">
        <v>-10.1</v>
      </c>
      <c r="P38">
        <v>-11.2</v>
      </c>
      <c r="Q38">
        <v>-8.6</v>
      </c>
      <c r="S38" t="s">
        <v>116</v>
      </c>
      <c r="T38">
        <v>7.7</v>
      </c>
      <c r="U38">
        <v>0.1</v>
      </c>
      <c r="V38">
        <v>-4</v>
      </c>
      <c r="W38">
        <v>-1.9</v>
      </c>
      <c r="Y38" t="s">
        <v>63</v>
      </c>
      <c r="Z38">
        <v>17.399999999999999</v>
      </c>
      <c r="AA38">
        <v>20</v>
      </c>
      <c r="AB38">
        <v>14</v>
      </c>
      <c r="AC38">
        <v>11.5</v>
      </c>
      <c r="AR38" s="4"/>
    </row>
    <row r="39" spans="1:44" x14ac:dyDescent="0.2">
      <c r="A39" t="s">
        <v>40</v>
      </c>
      <c r="B39">
        <v>-0.6</v>
      </c>
      <c r="C39">
        <v>-1.9</v>
      </c>
      <c r="D39">
        <v>-5.8</v>
      </c>
      <c r="E39">
        <v>-6.2</v>
      </c>
      <c r="G39" t="s">
        <v>5</v>
      </c>
      <c r="H39">
        <v>-0.9</v>
      </c>
      <c r="I39">
        <v>-4</v>
      </c>
      <c r="J39">
        <v>-1.8</v>
      </c>
      <c r="L39" t="s">
        <v>6</v>
      </c>
      <c r="M39">
        <v>2.1</v>
      </c>
      <c r="N39">
        <v>2.7</v>
      </c>
      <c r="O39">
        <v>0.3</v>
      </c>
      <c r="P39">
        <v>-5</v>
      </c>
      <c r="Q39">
        <v>-2.6</v>
      </c>
      <c r="S39" t="s">
        <v>1</v>
      </c>
      <c r="T39">
        <v>-2.8</v>
      </c>
      <c r="U39">
        <v>-6.3</v>
      </c>
      <c r="V39">
        <v>-7</v>
      </c>
      <c r="W39">
        <v>-6</v>
      </c>
      <c r="Y39" t="s">
        <v>139</v>
      </c>
      <c r="Z39">
        <v>-0.2</v>
      </c>
      <c r="AA39">
        <v>-2.5</v>
      </c>
      <c r="AB39">
        <v>-9.5</v>
      </c>
      <c r="AC39">
        <v>-9.3000000000000007</v>
      </c>
      <c r="AR39" s="4"/>
    </row>
    <row r="40" spans="1:44" x14ac:dyDescent="0.2">
      <c r="A40" t="s">
        <v>41</v>
      </c>
      <c r="B40">
        <v>-2.7</v>
      </c>
      <c r="C40">
        <v>-3.4</v>
      </c>
      <c r="D40">
        <v>-7.1</v>
      </c>
      <c r="E40">
        <v>-7.3</v>
      </c>
      <c r="G40" t="s">
        <v>7</v>
      </c>
      <c r="H40">
        <v>-0.9</v>
      </c>
      <c r="I40">
        <v>-3.9</v>
      </c>
      <c r="J40">
        <v>-4</v>
      </c>
      <c r="L40" t="s">
        <v>62</v>
      </c>
      <c r="M40">
        <v>5.5</v>
      </c>
      <c r="N40">
        <v>-2.2999999999999998</v>
      </c>
      <c r="O40">
        <v>-2.7</v>
      </c>
      <c r="P40">
        <v>-7.2</v>
      </c>
      <c r="Q40">
        <v>-4</v>
      </c>
      <c r="S40" t="s">
        <v>6</v>
      </c>
      <c r="T40">
        <v>3.8</v>
      </c>
      <c r="U40">
        <v>1.2</v>
      </c>
      <c r="V40">
        <v>-4</v>
      </c>
      <c r="W40">
        <v>-1.3</v>
      </c>
      <c r="Y40" t="s">
        <v>4</v>
      </c>
      <c r="Z40">
        <v>-0.2</v>
      </c>
      <c r="AA40">
        <v>-0.9</v>
      </c>
      <c r="AB40">
        <v>-3.8</v>
      </c>
      <c r="AC40">
        <v>-4.3</v>
      </c>
      <c r="AR40" s="4"/>
    </row>
    <row r="41" spans="1:44" x14ac:dyDescent="0.2">
      <c r="A41" t="s">
        <v>42</v>
      </c>
      <c r="B41">
        <v>-0.2</v>
      </c>
      <c r="C41">
        <v>-0.1</v>
      </c>
      <c r="D41">
        <v>-4.9000000000000004</v>
      </c>
      <c r="E41">
        <v>-5.2</v>
      </c>
      <c r="G41" t="s">
        <v>8</v>
      </c>
      <c r="H41">
        <v>-1.1000000000000001</v>
      </c>
      <c r="I41">
        <v>-5.3</v>
      </c>
      <c r="J41">
        <v>-5.8</v>
      </c>
      <c r="L41" t="s">
        <v>84</v>
      </c>
      <c r="M41">
        <v>21</v>
      </c>
      <c r="N41">
        <v>12.3</v>
      </c>
      <c r="O41">
        <v>16.5</v>
      </c>
      <c r="P41">
        <v>5.6</v>
      </c>
      <c r="Q41">
        <v>12.7</v>
      </c>
      <c r="S41" t="s">
        <v>5</v>
      </c>
      <c r="T41">
        <v>1.7</v>
      </c>
      <c r="U41">
        <v>2.7</v>
      </c>
      <c r="V41">
        <v>-3.3</v>
      </c>
      <c r="W41">
        <v>-1.9</v>
      </c>
      <c r="Y41" t="s">
        <v>48</v>
      </c>
      <c r="Z41">
        <v>-1.4</v>
      </c>
      <c r="AA41">
        <v>-1.9</v>
      </c>
      <c r="AB41">
        <v>-3</v>
      </c>
      <c r="AC41">
        <v>-2.9</v>
      </c>
      <c r="AR41" s="4"/>
    </row>
    <row r="42" spans="1:44" x14ac:dyDescent="0.2">
      <c r="A42" t="s">
        <v>21</v>
      </c>
      <c r="B42">
        <v>7.7</v>
      </c>
      <c r="C42">
        <v>0.1</v>
      </c>
      <c r="D42">
        <v>-4</v>
      </c>
      <c r="E42">
        <v>-2.5</v>
      </c>
      <c r="G42" t="s">
        <v>72</v>
      </c>
      <c r="H42">
        <v>-1</v>
      </c>
      <c r="I42">
        <v>-1.4</v>
      </c>
      <c r="J42">
        <v>-1</v>
      </c>
      <c r="L42" t="s">
        <v>5</v>
      </c>
      <c r="M42">
        <v>0</v>
      </c>
      <c r="N42">
        <v>3</v>
      </c>
      <c r="O42">
        <v>-0.8</v>
      </c>
      <c r="P42">
        <v>-1.1000000000000001</v>
      </c>
      <c r="Q42">
        <v>-0.7</v>
      </c>
      <c r="S42" t="s">
        <v>7</v>
      </c>
      <c r="T42">
        <v>-0.2</v>
      </c>
      <c r="U42">
        <v>-0.8</v>
      </c>
      <c r="V42">
        <v>-4.5</v>
      </c>
      <c r="W42">
        <v>-3.5</v>
      </c>
      <c r="Y42" t="s">
        <v>13</v>
      </c>
      <c r="Z42">
        <v>5.4</v>
      </c>
      <c r="AA42">
        <v>4.0999999999999996</v>
      </c>
      <c r="AB42">
        <v>-8.4</v>
      </c>
      <c r="AC42">
        <v>-4.7</v>
      </c>
      <c r="AR42" s="4"/>
    </row>
    <row r="43" spans="1:44" x14ac:dyDescent="0.2">
      <c r="A43" t="s">
        <v>1</v>
      </c>
      <c r="B43">
        <v>-5.8</v>
      </c>
      <c r="C43">
        <v>-10.1</v>
      </c>
      <c r="D43">
        <v>-10.4</v>
      </c>
      <c r="E43">
        <v>-9.6999999999999993</v>
      </c>
      <c r="G43" t="s">
        <v>15</v>
      </c>
      <c r="H43" s="2">
        <v>4.0000000000000001E-3</v>
      </c>
      <c r="I43" s="2">
        <v>-6.4000000000000001E-2</v>
      </c>
      <c r="J43" s="2">
        <v>0.05</v>
      </c>
      <c r="L43" t="s">
        <v>7</v>
      </c>
      <c r="M43">
        <v>-0.6</v>
      </c>
      <c r="N43">
        <v>-0.3</v>
      </c>
      <c r="O43">
        <v>-0.3</v>
      </c>
      <c r="P43">
        <v>-2.6</v>
      </c>
      <c r="Q43">
        <v>-0.9</v>
      </c>
      <c r="S43" t="s">
        <v>8</v>
      </c>
      <c r="T43">
        <v>-2.2999999999999998</v>
      </c>
      <c r="U43">
        <v>-1.1000000000000001</v>
      </c>
      <c r="V43">
        <v>-6.4</v>
      </c>
      <c r="W43">
        <v>-6</v>
      </c>
      <c r="Y43" t="s">
        <v>84</v>
      </c>
      <c r="Z43">
        <v>12.5</v>
      </c>
      <c r="AA43">
        <v>31.7</v>
      </c>
      <c r="AB43">
        <v>-2.5</v>
      </c>
      <c r="AC43">
        <v>-2.1</v>
      </c>
    </row>
    <row r="44" spans="1:44" x14ac:dyDescent="0.2">
      <c r="A44" t="s">
        <v>44</v>
      </c>
      <c r="B44">
        <v>-1.4</v>
      </c>
      <c r="C44">
        <v>-2.6</v>
      </c>
      <c r="D44">
        <v>-4.5</v>
      </c>
      <c r="E44">
        <v>-4.5</v>
      </c>
      <c r="G44" t="s">
        <v>55</v>
      </c>
      <c r="H44">
        <v>-1.5</v>
      </c>
      <c r="I44">
        <v>-5</v>
      </c>
      <c r="J44">
        <v>-5.8</v>
      </c>
      <c r="L44" t="s">
        <v>8</v>
      </c>
      <c r="M44">
        <v>-0.7</v>
      </c>
      <c r="N44">
        <v>-1.6</v>
      </c>
      <c r="O44">
        <v>-0.9</v>
      </c>
      <c r="P44">
        <v>-7</v>
      </c>
      <c r="Q44">
        <v>-4.0999999999999996</v>
      </c>
      <c r="S44" t="s">
        <v>55</v>
      </c>
      <c r="T44">
        <v>-1.9</v>
      </c>
      <c r="U44">
        <v>-0.5</v>
      </c>
      <c r="V44">
        <v>-4.5</v>
      </c>
      <c r="W44">
        <v>-4.4000000000000004</v>
      </c>
      <c r="Y44" t="s">
        <v>5</v>
      </c>
      <c r="Z44">
        <v>0.6</v>
      </c>
      <c r="AA44">
        <v>1.7</v>
      </c>
      <c r="AB44">
        <v>2.7</v>
      </c>
      <c r="AC44">
        <v>-3.3</v>
      </c>
    </row>
    <row r="45" spans="1:44" x14ac:dyDescent="0.2">
      <c r="A45" t="s">
        <v>17</v>
      </c>
      <c r="B45">
        <v>-3</v>
      </c>
      <c r="C45">
        <v>-5.7</v>
      </c>
      <c r="D45">
        <v>-9.4</v>
      </c>
      <c r="E45">
        <v>-9</v>
      </c>
      <c r="G45" t="s">
        <v>73</v>
      </c>
      <c r="H45">
        <v>-3.9</v>
      </c>
      <c r="I45">
        <v>-5</v>
      </c>
      <c r="J45">
        <v>-6</v>
      </c>
      <c r="L45" t="s">
        <v>85</v>
      </c>
      <c r="M45">
        <v>12</v>
      </c>
      <c r="N45">
        <v>9.5</v>
      </c>
      <c r="O45">
        <v>12.1</v>
      </c>
      <c r="P45">
        <v>-5.8</v>
      </c>
      <c r="Q45">
        <v>2.8</v>
      </c>
      <c r="S45" t="s">
        <v>73</v>
      </c>
      <c r="T45">
        <v>-2.5</v>
      </c>
      <c r="U45">
        <v>-5.4</v>
      </c>
      <c r="V45">
        <v>-5.5</v>
      </c>
      <c r="W45">
        <v>-5</v>
      </c>
      <c r="Y45" t="s">
        <v>23</v>
      </c>
      <c r="Z45">
        <v>0.7</v>
      </c>
      <c r="AA45">
        <v>-0.3</v>
      </c>
      <c r="AB45">
        <v>-5.3</v>
      </c>
      <c r="AC45">
        <v>-5.3</v>
      </c>
    </row>
    <row r="46" spans="1:44" x14ac:dyDescent="0.2">
      <c r="A46" t="s">
        <v>46</v>
      </c>
      <c r="B46">
        <v>0.3</v>
      </c>
      <c r="C46">
        <v>1.3</v>
      </c>
      <c r="D46">
        <v>-3.9</v>
      </c>
      <c r="E46">
        <v>-4</v>
      </c>
      <c r="G46" t="s">
        <v>74</v>
      </c>
      <c r="H46">
        <v>-2.2000000000000002</v>
      </c>
      <c r="I46">
        <v>-5.5</v>
      </c>
      <c r="J46">
        <v>-5.8</v>
      </c>
      <c r="Y46" t="s">
        <v>22</v>
      </c>
      <c r="Z46">
        <v>3.8</v>
      </c>
      <c r="AA46">
        <v>1.2</v>
      </c>
      <c r="AB46">
        <v>-4</v>
      </c>
      <c r="AC46">
        <v>-1.3</v>
      </c>
    </row>
    <row r="47" spans="1:44" x14ac:dyDescent="0.2">
      <c r="A47" t="s">
        <v>5</v>
      </c>
      <c r="B47">
        <v>12.4</v>
      </c>
      <c r="C47">
        <v>9.1999999999999993</v>
      </c>
      <c r="D47">
        <v>6.5</v>
      </c>
      <c r="E47">
        <v>6.1</v>
      </c>
      <c r="G47" t="s">
        <v>61</v>
      </c>
      <c r="H47">
        <v>-1.3</v>
      </c>
      <c r="I47">
        <v>-6.3</v>
      </c>
      <c r="J47">
        <v>-4.4000000000000004</v>
      </c>
      <c r="Y47" t="s">
        <v>49</v>
      </c>
      <c r="Z47">
        <v>2.2000000000000002</v>
      </c>
      <c r="AA47">
        <v>-3.8</v>
      </c>
      <c r="AB47">
        <v>-8.4</v>
      </c>
      <c r="AC47">
        <v>-8.4</v>
      </c>
    </row>
    <row r="48" spans="1:44" x14ac:dyDescent="0.2">
      <c r="A48" t="s">
        <v>22</v>
      </c>
      <c r="B48">
        <v>3.5</v>
      </c>
      <c r="C48">
        <v>1.2</v>
      </c>
      <c r="D48">
        <v>-2.2000000000000002</v>
      </c>
      <c r="E48">
        <v>-2.9</v>
      </c>
      <c r="G48" t="s">
        <v>62</v>
      </c>
      <c r="H48">
        <v>-1.2</v>
      </c>
      <c r="I48">
        <v>-3.7</v>
      </c>
      <c r="J48">
        <v>-3.7</v>
      </c>
      <c r="Y48" t="s">
        <v>50</v>
      </c>
      <c r="Z48">
        <v>3.5</v>
      </c>
      <c r="AA48">
        <v>2.8</v>
      </c>
      <c r="AB48">
        <v>0.5</v>
      </c>
      <c r="AC48">
        <v>-0.4</v>
      </c>
    </row>
    <row r="49" spans="1:29" x14ac:dyDescent="0.2">
      <c r="A49" t="s">
        <v>49</v>
      </c>
      <c r="B49">
        <v>2.2000000000000002</v>
      </c>
      <c r="C49">
        <v>-3.8</v>
      </c>
      <c r="D49">
        <v>-10</v>
      </c>
      <c r="E49">
        <v>-9.5</v>
      </c>
      <c r="G49" t="s">
        <v>76</v>
      </c>
      <c r="H49" s="2">
        <v>-7.0000000000000001E-3</v>
      </c>
      <c r="I49" s="2">
        <v>-4.7E-2</v>
      </c>
      <c r="J49" s="2">
        <v>-3.5999999999999997E-2</v>
      </c>
      <c r="Y49" t="s">
        <v>7</v>
      </c>
      <c r="Z49">
        <v>-0.2</v>
      </c>
      <c r="AA49">
        <v>-0.8</v>
      </c>
      <c r="AB49">
        <v>-4.5</v>
      </c>
      <c r="AC49">
        <v>-3.5</v>
      </c>
    </row>
    <row r="50" spans="1:29" x14ac:dyDescent="0.2">
      <c r="A50" t="s">
        <v>50</v>
      </c>
      <c r="B50">
        <v>0.3</v>
      </c>
      <c r="C50">
        <v>2.5</v>
      </c>
      <c r="D50">
        <v>-2.7</v>
      </c>
      <c r="E50">
        <v>-3.8</v>
      </c>
      <c r="H50" s="2"/>
      <c r="I50" s="2"/>
      <c r="J50" s="2"/>
      <c r="Y50" t="s">
        <v>8</v>
      </c>
      <c r="Z50">
        <v>-2.2999999999999998</v>
      </c>
      <c r="AA50">
        <v>-1.1000000000000001</v>
      </c>
      <c r="AB50">
        <v>-6.3</v>
      </c>
      <c r="AC50">
        <v>-6.1</v>
      </c>
    </row>
    <row r="51" spans="1:29" x14ac:dyDescent="0.2">
      <c r="A51" t="s">
        <v>51</v>
      </c>
      <c r="B51">
        <v>0.9</v>
      </c>
      <c r="C51">
        <v>0</v>
      </c>
      <c r="D51">
        <v>-2.2999999999999998</v>
      </c>
      <c r="E51">
        <v>-1.8</v>
      </c>
      <c r="H51" s="2"/>
      <c r="I51" s="2"/>
      <c r="J51" s="2"/>
      <c r="Y51" t="s">
        <v>14</v>
      </c>
      <c r="Z51">
        <v>-1.6</v>
      </c>
      <c r="AA51">
        <v>-1.5</v>
      </c>
      <c r="AB51">
        <v>-7.4</v>
      </c>
      <c r="AC51">
        <v>-5.6</v>
      </c>
    </row>
    <row r="52" spans="1:29" x14ac:dyDescent="0.2">
      <c r="A52" t="s">
        <v>7</v>
      </c>
      <c r="B52">
        <v>-0.2</v>
      </c>
      <c r="C52">
        <v>-0.9</v>
      </c>
      <c r="D52">
        <v>-2.9</v>
      </c>
      <c r="E52">
        <v>-2.2999999999999998</v>
      </c>
      <c r="H52" s="2"/>
      <c r="I52" s="2"/>
      <c r="J52" s="2"/>
      <c r="Y52" t="s">
        <v>126</v>
      </c>
      <c r="Z52">
        <v>11.6</v>
      </c>
      <c r="AA52">
        <v>15.7</v>
      </c>
      <c r="AB52">
        <v>1.9</v>
      </c>
      <c r="AC52">
        <v>2.8</v>
      </c>
    </row>
    <row r="53" spans="1:29" x14ac:dyDescent="0.2">
      <c r="A53" t="s">
        <v>8</v>
      </c>
      <c r="B53">
        <v>-2</v>
      </c>
      <c r="C53">
        <v>-1.1000000000000001</v>
      </c>
      <c r="D53">
        <v>-4.9000000000000004</v>
      </c>
      <c r="E53">
        <v>-3.6</v>
      </c>
      <c r="H53" s="2"/>
      <c r="I53" s="2"/>
      <c r="J53" s="2"/>
      <c r="Y53" t="s">
        <v>52</v>
      </c>
      <c r="Z53">
        <v>-2.4</v>
      </c>
      <c r="AA53">
        <v>-5.4</v>
      </c>
      <c r="AB53">
        <v>-13.2</v>
      </c>
      <c r="AC53">
        <v>-12.6</v>
      </c>
    </row>
    <row r="54" spans="1:29" x14ac:dyDescent="0.2">
      <c r="A54" t="s">
        <v>52</v>
      </c>
      <c r="B54">
        <v>-2.4</v>
      </c>
      <c r="C54">
        <v>-5.3</v>
      </c>
      <c r="D54">
        <v>-10.4</v>
      </c>
      <c r="E54">
        <v>-11.4</v>
      </c>
      <c r="Y54" t="s">
        <v>58</v>
      </c>
      <c r="Z54">
        <v>-1.4</v>
      </c>
      <c r="AA54">
        <v>-1.3</v>
      </c>
      <c r="AB54">
        <v>-5.3</v>
      </c>
      <c r="AC54">
        <v>-4.5999999999999996</v>
      </c>
    </row>
    <row r="55" spans="1:29" x14ac:dyDescent="0.2">
      <c r="A55" t="s">
        <v>53</v>
      </c>
      <c r="B55">
        <v>-2.8</v>
      </c>
      <c r="C55">
        <v>-5.6</v>
      </c>
      <c r="D55">
        <v>-8.6</v>
      </c>
      <c r="E55">
        <v>-9.1999999999999993</v>
      </c>
      <c r="Y55" t="s">
        <v>114</v>
      </c>
      <c r="Z55">
        <v>-1.6</v>
      </c>
      <c r="AA55">
        <v>-4.5999999999999996</v>
      </c>
      <c r="AB55">
        <v>-15.4</v>
      </c>
      <c r="AC55">
        <v>-7.2</v>
      </c>
    </row>
    <row r="56" spans="1:29" x14ac:dyDescent="0.2">
      <c r="A56" t="s">
        <v>56</v>
      </c>
      <c r="B56">
        <v>-1.4</v>
      </c>
      <c r="C56">
        <v>-3.4</v>
      </c>
      <c r="D56">
        <v>-6.9</v>
      </c>
      <c r="E56">
        <v>-7.2</v>
      </c>
      <c r="Y56" t="s">
        <v>64</v>
      </c>
      <c r="Z56">
        <v>-5</v>
      </c>
      <c r="AA56">
        <v>-5</v>
      </c>
      <c r="AB56">
        <v>-8</v>
      </c>
      <c r="AC56">
        <v>-7</v>
      </c>
    </row>
    <row r="57" spans="1:29" x14ac:dyDescent="0.2">
      <c r="Y57" t="s">
        <v>131</v>
      </c>
      <c r="Z57">
        <v>-0.5</v>
      </c>
      <c r="AA57">
        <v>-1.6</v>
      </c>
      <c r="AB57">
        <v>-6.6</v>
      </c>
      <c r="AC57">
        <v>-7.2</v>
      </c>
    </row>
    <row r="58" spans="1:29" x14ac:dyDescent="0.2">
      <c r="A58" t="s">
        <v>54</v>
      </c>
      <c r="B58">
        <v>-1</v>
      </c>
      <c r="C58">
        <v>-2.6</v>
      </c>
      <c r="D58">
        <v>-5.9</v>
      </c>
      <c r="E58">
        <v>-5.9</v>
      </c>
    </row>
  </sheetData>
  <phoneticPr fontId="3" type="noConversion"/>
  <pageMargins left="0.75" right="0.75" top="1" bottom="1" header="0.5" footer="0.5"/>
  <pageSetup scale="24"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AC41"/>
  <sheetViews>
    <sheetView topLeftCell="M1" workbookViewId="0">
      <selection activeCell="AB3" sqref="AB3"/>
    </sheetView>
  </sheetViews>
  <sheetFormatPr defaultRowHeight="12.75" x14ac:dyDescent="0.2"/>
  <cols>
    <col min="1" max="1" width="11" customWidth="1"/>
    <col min="2" max="3" width="7.85546875" customWidth="1"/>
    <col min="5" max="5" width="10.7109375" customWidth="1"/>
    <col min="12" max="12" width="10.7109375" bestFit="1" customWidth="1"/>
    <col min="27" max="27" width="15.7109375" customWidth="1"/>
    <col min="28" max="28" width="16" customWidth="1"/>
    <col min="29" max="29" width="9.140625" customWidth="1"/>
  </cols>
  <sheetData>
    <row r="1" spans="1:29" x14ac:dyDescent="0.2">
      <c r="B1" s="5" t="s">
        <v>175</v>
      </c>
      <c r="F1" s="5" t="s">
        <v>176</v>
      </c>
      <c r="J1" s="10" t="s">
        <v>177</v>
      </c>
    </row>
    <row r="2" spans="1:29" x14ac:dyDescent="0.2">
      <c r="B2">
        <v>2009</v>
      </c>
      <c r="C2" s="5">
        <v>2010</v>
      </c>
      <c r="F2">
        <v>2009</v>
      </c>
      <c r="G2" s="5">
        <v>2010</v>
      </c>
      <c r="J2">
        <v>2009</v>
      </c>
      <c r="K2" s="10">
        <v>2010</v>
      </c>
      <c r="L2" s="10">
        <v>2011</v>
      </c>
      <c r="M2" s="10">
        <v>2012</v>
      </c>
      <c r="N2" s="6" t="s">
        <v>331</v>
      </c>
      <c r="Q2" t="str">
        <f>Inflation!$AY$3</f>
        <v>Stripped Spread Z stat</v>
      </c>
      <c r="AA2" s="6" t="s">
        <v>322</v>
      </c>
      <c r="AB2" s="6" t="s">
        <v>323</v>
      </c>
      <c r="AC2" t="str">
        <f>Inflation!$AY$3</f>
        <v>Stripped Spread Z stat</v>
      </c>
    </row>
    <row r="3" spans="1:29" x14ac:dyDescent="0.2">
      <c r="A3" t="s">
        <v>10</v>
      </c>
      <c r="B3">
        <v>22</v>
      </c>
      <c r="C3">
        <v>22</v>
      </c>
      <c r="E3" t="s">
        <v>10</v>
      </c>
      <c r="F3">
        <v>27.7</v>
      </c>
      <c r="G3">
        <v>27.7</v>
      </c>
      <c r="I3" t="s">
        <v>10</v>
      </c>
      <c r="J3" s="4">
        <v>22.721</v>
      </c>
      <c r="K3" s="4">
        <v>22.893999999999998</v>
      </c>
      <c r="L3" s="4">
        <v>22.861000000000001</v>
      </c>
      <c r="M3" s="4">
        <v>21.366</v>
      </c>
      <c r="N3" s="4">
        <f>(L3-L$33)/L$34</f>
        <v>-0.17588516575445234</v>
      </c>
      <c r="P3" t="s">
        <v>10</v>
      </c>
      <c r="Q3" s="4">
        <f>VLOOKUP(P3,'Stripped Spread'!$C$18:$E$60,3,FALSE)</f>
        <v>1.4255405250063531</v>
      </c>
      <c r="AA3" t="s">
        <v>10</v>
      </c>
      <c r="AB3" s="4">
        <f>VLOOKUP(AA3,$I$3:$N$27,6,FALSE)</f>
        <v>-0.17588516575445234</v>
      </c>
      <c r="AC3" s="4">
        <f>VLOOKUP(AA3,$P$3:$Q$27,2,FALSE)</f>
        <v>1.4255405250063531</v>
      </c>
    </row>
    <row r="4" spans="1:29" x14ac:dyDescent="0.2">
      <c r="A4" t="s">
        <v>9</v>
      </c>
      <c r="B4">
        <v>15</v>
      </c>
      <c r="C4">
        <v>15</v>
      </c>
      <c r="E4" t="s">
        <v>9</v>
      </c>
      <c r="F4">
        <v>17</v>
      </c>
      <c r="G4">
        <v>17.2</v>
      </c>
      <c r="I4" t="s">
        <v>9</v>
      </c>
      <c r="J4" s="4">
        <v>14.984999999999999</v>
      </c>
      <c r="K4" s="4">
        <v>16.975000000000001</v>
      </c>
      <c r="L4" s="4">
        <v>17.103999999999999</v>
      </c>
      <c r="M4" s="4">
        <v>17.36</v>
      </c>
      <c r="N4" s="4">
        <f t="shared" ref="N4:N27" si="0">(L4-L$33)/L$34</f>
        <v>-0.80669185604126203</v>
      </c>
      <c r="P4" t="s">
        <v>9</v>
      </c>
      <c r="Q4" s="4">
        <f>VLOOKUP(P4,'Stripped Spread'!$C$18:$E$60,3,FALSE)</f>
        <v>-0.49043451301485325</v>
      </c>
      <c r="AA4" t="s">
        <v>9</v>
      </c>
      <c r="AB4" s="4">
        <f t="shared" ref="AB4:AB25" si="1">VLOOKUP(AA4,$I$3:$N$27,6,FALSE)</f>
        <v>-0.80669185604126203</v>
      </c>
      <c r="AC4" s="4">
        <f t="shared" ref="AC4:AC25" si="2">VLOOKUP(AA4,$P$3:$Q$27,2,FALSE)</f>
        <v>-0.49043451301485325</v>
      </c>
    </row>
    <row r="5" spans="1:29" x14ac:dyDescent="0.2">
      <c r="A5" t="s">
        <v>36</v>
      </c>
      <c r="B5">
        <v>18</v>
      </c>
      <c r="C5">
        <v>18</v>
      </c>
      <c r="E5" t="s">
        <v>36</v>
      </c>
      <c r="F5">
        <v>18.7</v>
      </c>
      <c r="G5">
        <v>18.600000000000001</v>
      </c>
      <c r="I5" t="s">
        <v>36</v>
      </c>
      <c r="J5" s="4">
        <v>25.132000000000001</v>
      </c>
      <c r="K5" s="4">
        <v>28.164000000000001</v>
      </c>
      <c r="L5" s="4">
        <v>28.489000000000001</v>
      </c>
      <c r="M5" s="4">
        <v>27.99</v>
      </c>
      <c r="N5" s="4">
        <f t="shared" si="0"/>
        <v>0.44078672115438283</v>
      </c>
      <c r="P5" t="s">
        <v>36</v>
      </c>
      <c r="Q5" s="4">
        <f>VLOOKUP(P5,'Stripped Spread'!$C$18:$E$60,3,FALSE)</f>
        <v>-0.6767951584626779</v>
      </c>
      <c r="AA5" t="s">
        <v>36</v>
      </c>
      <c r="AB5" s="4">
        <f t="shared" si="1"/>
        <v>0.44078672115438283</v>
      </c>
      <c r="AC5" s="4">
        <f t="shared" si="2"/>
        <v>-0.6767951584626779</v>
      </c>
    </row>
    <row r="6" spans="1:29" x14ac:dyDescent="0.2">
      <c r="A6" t="s">
        <v>0</v>
      </c>
      <c r="B6">
        <v>52</v>
      </c>
      <c r="C6">
        <v>52</v>
      </c>
      <c r="E6" t="s">
        <v>0</v>
      </c>
      <c r="F6">
        <v>50</v>
      </c>
      <c r="G6">
        <v>51</v>
      </c>
      <c r="I6" t="s">
        <v>0</v>
      </c>
      <c r="J6" s="4">
        <v>54.198</v>
      </c>
      <c r="K6" s="4">
        <v>53.982999999999997</v>
      </c>
      <c r="L6" s="4">
        <v>54.277999999999999</v>
      </c>
      <c r="M6" s="4">
        <v>54.268999999999998</v>
      </c>
      <c r="N6" s="4">
        <f t="shared" si="0"/>
        <v>3.2665421034379558</v>
      </c>
      <c r="P6" t="s">
        <v>0</v>
      </c>
      <c r="Q6" s="4">
        <f>VLOOKUP(P6,'Stripped Spread'!$C$18:$E$60,3,FALSE)</f>
        <v>-0.36041566053529961</v>
      </c>
      <c r="AA6" t="s">
        <v>0</v>
      </c>
      <c r="AB6" s="4">
        <f t="shared" si="1"/>
        <v>3.2665421034379558</v>
      </c>
      <c r="AC6" s="4">
        <f t="shared" si="2"/>
        <v>-0.36041566053529961</v>
      </c>
    </row>
    <row r="7" spans="1:29" x14ac:dyDescent="0.2">
      <c r="A7" t="s">
        <v>37</v>
      </c>
      <c r="B7">
        <v>21</v>
      </c>
      <c r="C7">
        <v>21</v>
      </c>
      <c r="E7" t="s">
        <v>37</v>
      </c>
      <c r="F7">
        <v>20.9</v>
      </c>
      <c r="G7">
        <v>20.399999999999999</v>
      </c>
      <c r="I7" t="s">
        <v>37</v>
      </c>
      <c r="J7" s="4">
        <v>19.786000000000001</v>
      </c>
      <c r="K7" s="4">
        <v>19.263999999999999</v>
      </c>
      <c r="L7" s="4">
        <v>20.744</v>
      </c>
      <c r="M7" s="4">
        <v>21.187000000000001</v>
      </c>
      <c r="N7" s="4">
        <f t="shared" si="0"/>
        <v>-0.4078493421201248</v>
      </c>
      <c r="P7" t="s">
        <v>37</v>
      </c>
      <c r="Q7" s="4">
        <f>VLOOKUP(P7,'Stripped Spread'!$C$18:$E$60,3,FALSE)</f>
        <v>-0.58302567466255073</v>
      </c>
      <c r="AA7" t="s">
        <v>37</v>
      </c>
      <c r="AB7" s="4">
        <f t="shared" si="1"/>
        <v>-0.4078493421201248</v>
      </c>
      <c r="AC7" s="4">
        <f t="shared" si="2"/>
        <v>-0.58302567466255073</v>
      </c>
    </row>
    <row r="8" spans="1:29" x14ac:dyDescent="0.2">
      <c r="A8" t="s">
        <v>39</v>
      </c>
      <c r="E8" t="s">
        <v>39</v>
      </c>
      <c r="I8" t="s">
        <v>39</v>
      </c>
      <c r="J8" s="4">
        <v>22.63</v>
      </c>
      <c r="K8" s="4">
        <v>20.876999999999999</v>
      </c>
      <c r="L8" s="4">
        <v>22.175000000000001</v>
      </c>
      <c r="M8" s="4">
        <v>22.271000000000001</v>
      </c>
      <c r="N8" s="4">
        <f t="shared" si="0"/>
        <v>-0.25105163953189741</v>
      </c>
      <c r="P8" t="s">
        <v>39</v>
      </c>
      <c r="Q8" s="4">
        <f>VLOOKUP(P8,'Stripped Spread'!$C$18:$E$60,3,FALSE)</f>
        <v>1.4223422220211868</v>
      </c>
      <c r="AA8" t="s">
        <v>39</v>
      </c>
      <c r="AB8" s="4">
        <f t="shared" si="1"/>
        <v>-0.25105163953189741</v>
      </c>
      <c r="AC8" s="4">
        <f t="shared" si="2"/>
        <v>1.4223422220211868</v>
      </c>
    </row>
    <row r="9" spans="1:29" x14ac:dyDescent="0.2">
      <c r="A9" t="s">
        <v>65</v>
      </c>
      <c r="E9" t="s">
        <v>65</v>
      </c>
      <c r="F9">
        <v>19.899999999999999</v>
      </c>
      <c r="G9">
        <v>19.2</v>
      </c>
      <c r="I9" t="s">
        <v>65</v>
      </c>
      <c r="J9" s="34">
        <v>16.844000000000001</v>
      </c>
      <c r="K9" s="34">
        <v>16.911000000000001</v>
      </c>
      <c r="L9" s="34">
        <v>15.273</v>
      </c>
      <c r="M9" s="34">
        <v>16.143999999999998</v>
      </c>
      <c r="N9" s="4">
        <f t="shared" si="0"/>
        <v>-1.0073184063131306</v>
      </c>
      <c r="P9" t="s">
        <v>65</v>
      </c>
      <c r="Q9" s="4">
        <f>VLOOKUP(P9,'Stripped Spread'!$C$18:$E$60,3,FALSE)</f>
        <v>5.2153815465916083E-2</v>
      </c>
      <c r="AA9" t="s">
        <v>65</v>
      </c>
      <c r="AB9" s="4">
        <f t="shared" si="1"/>
        <v>-1.0073184063131306</v>
      </c>
      <c r="AC9" s="4">
        <f t="shared" si="2"/>
        <v>5.2153815465916083E-2</v>
      </c>
    </row>
    <row r="10" spans="1:29" x14ac:dyDescent="0.2">
      <c r="A10" t="s">
        <v>43</v>
      </c>
      <c r="B10">
        <v>19</v>
      </c>
      <c r="C10">
        <v>19</v>
      </c>
      <c r="E10" t="s">
        <v>43</v>
      </c>
      <c r="F10">
        <v>16.5</v>
      </c>
      <c r="G10">
        <v>16</v>
      </c>
      <c r="I10" t="s">
        <v>43</v>
      </c>
      <c r="J10" s="34">
        <v>18.734999999999999</v>
      </c>
      <c r="K10" s="34">
        <v>19.356000000000002</v>
      </c>
      <c r="L10" s="34">
        <v>19.395</v>
      </c>
      <c r="M10" s="34">
        <v>19.106999999999999</v>
      </c>
      <c r="N10" s="4">
        <f t="shared" si="0"/>
        <v>-0.5556621309332056</v>
      </c>
      <c r="P10" t="s">
        <v>43</v>
      </c>
      <c r="Q10" s="4">
        <f>VLOOKUP(P10,'Stripped Spread'!$C$18:$E$60,3,FALSE)</f>
        <v>0.23579793496626733</v>
      </c>
      <c r="AA10" t="s">
        <v>43</v>
      </c>
      <c r="AB10" s="4">
        <f t="shared" si="1"/>
        <v>-0.5556621309332056</v>
      </c>
      <c r="AC10" s="4">
        <f t="shared" si="2"/>
        <v>0.23579793496626733</v>
      </c>
    </row>
    <row r="11" spans="1:29" x14ac:dyDescent="0.2">
      <c r="A11" t="s">
        <v>2</v>
      </c>
      <c r="B11">
        <v>31</v>
      </c>
      <c r="C11">
        <v>31</v>
      </c>
      <c r="E11" t="s">
        <v>2</v>
      </c>
      <c r="F11">
        <v>29.8</v>
      </c>
      <c r="G11">
        <v>30.4</v>
      </c>
      <c r="I11" t="s">
        <v>2</v>
      </c>
      <c r="J11" s="34">
        <v>33.576999999999998</v>
      </c>
      <c r="K11" s="34">
        <v>33.378</v>
      </c>
      <c r="L11" s="34">
        <v>34.338999999999999</v>
      </c>
      <c r="M11" s="34">
        <v>35.506</v>
      </c>
      <c r="N11" s="4">
        <f t="shared" si="0"/>
        <v>1.0817836185276388</v>
      </c>
      <c r="P11" t="s">
        <v>2</v>
      </c>
      <c r="Q11" s="4">
        <f>VLOOKUP(P11,'Stripped Spread'!$C$18:$E$60,3,FALSE)</f>
        <v>-0.35838987515994025</v>
      </c>
      <c r="AA11" t="s">
        <v>2</v>
      </c>
      <c r="AB11" s="4">
        <f t="shared" si="1"/>
        <v>1.0817836185276388</v>
      </c>
      <c r="AC11" s="4">
        <f t="shared" si="2"/>
        <v>-0.35838987515994025</v>
      </c>
    </row>
    <row r="12" spans="1:29" x14ac:dyDescent="0.2">
      <c r="A12" t="s">
        <v>45</v>
      </c>
      <c r="B12">
        <v>33</v>
      </c>
      <c r="C12">
        <v>33</v>
      </c>
      <c r="E12" t="s">
        <v>45</v>
      </c>
      <c r="F12">
        <v>31</v>
      </c>
      <c r="G12">
        <v>33</v>
      </c>
      <c r="I12" t="s">
        <v>45</v>
      </c>
      <c r="J12" s="34">
        <v>26.709</v>
      </c>
      <c r="K12" s="34">
        <v>35.335999999999999</v>
      </c>
      <c r="L12" s="34">
        <v>39.347000000000001</v>
      </c>
      <c r="M12" s="34">
        <v>37.231999999999999</v>
      </c>
      <c r="N12" s="4">
        <f t="shared" si="0"/>
        <v>1.63052079152683</v>
      </c>
      <c r="P12" t="s">
        <v>45</v>
      </c>
      <c r="Q12" s="4">
        <f>VLOOKUP(P12,'Stripped Spread'!$C$18:$E$60,3,FALSE)</f>
        <v>0.12883472578450098</v>
      </c>
      <c r="AA12" t="s">
        <v>45</v>
      </c>
      <c r="AB12" s="4">
        <f t="shared" si="1"/>
        <v>1.63052079152683</v>
      </c>
      <c r="AC12" s="4">
        <f t="shared" si="2"/>
        <v>0.12883472578450098</v>
      </c>
    </row>
    <row r="13" spans="1:29" x14ac:dyDescent="0.2">
      <c r="A13" t="s">
        <v>3</v>
      </c>
      <c r="B13">
        <v>36</v>
      </c>
      <c r="C13">
        <v>36</v>
      </c>
      <c r="E13" t="s">
        <v>3</v>
      </c>
      <c r="F13">
        <v>44.3</v>
      </c>
      <c r="G13">
        <v>47.1</v>
      </c>
      <c r="I13" t="s">
        <v>3</v>
      </c>
      <c r="J13" s="34">
        <v>30.986000000000001</v>
      </c>
      <c r="K13" s="34">
        <v>33.113</v>
      </c>
      <c r="L13" s="34">
        <v>33.226999999999997</v>
      </c>
      <c r="M13" s="34">
        <v>32.627000000000002</v>
      </c>
      <c r="N13" s="4">
        <f t="shared" si="0"/>
        <v>0.95993942196711535</v>
      </c>
      <c r="P13" t="s">
        <v>3</v>
      </c>
      <c r="Q13" s="4">
        <f>VLOOKUP(P13,'Stripped Spread'!$C$18:$E$60,3,FALSE)</f>
        <v>-0.61809672118954739</v>
      </c>
      <c r="AA13" t="s">
        <v>3</v>
      </c>
      <c r="AB13" s="4">
        <f t="shared" si="1"/>
        <v>0.95993942196711535</v>
      </c>
      <c r="AC13" s="4">
        <f t="shared" si="2"/>
        <v>-0.61809672118954739</v>
      </c>
    </row>
    <row r="14" spans="1:29" x14ac:dyDescent="0.2">
      <c r="A14" t="s">
        <v>11</v>
      </c>
      <c r="B14">
        <v>24</v>
      </c>
      <c r="C14">
        <v>24</v>
      </c>
      <c r="E14" t="s">
        <v>11</v>
      </c>
      <c r="F14">
        <v>18.8</v>
      </c>
      <c r="G14">
        <v>18.8</v>
      </c>
      <c r="I14" t="s">
        <v>11</v>
      </c>
      <c r="J14" s="34">
        <v>23.198</v>
      </c>
      <c r="K14" s="34">
        <v>25.077000000000002</v>
      </c>
      <c r="L14" s="34">
        <v>25.593</v>
      </c>
      <c r="M14" s="34">
        <v>28.846</v>
      </c>
      <c r="N14" s="4">
        <f t="shared" si="0"/>
        <v>0.12346586392481866</v>
      </c>
      <c r="P14" t="s">
        <v>11</v>
      </c>
      <c r="Q14" s="4">
        <f>VLOOKUP(P14,'Stripped Spread'!$C$18:$E$60,3,FALSE)</f>
        <v>-0.48422075013713889</v>
      </c>
      <c r="AA14" t="s">
        <v>11</v>
      </c>
      <c r="AB14" s="4">
        <f t="shared" si="1"/>
        <v>0.12346586392481866</v>
      </c>
      <c r="AC14" s="4">
        <f t="shared" si="2"/>
        <v>-0.48422075013713889</v>
      </c>
    </row>
    <row r="15" spans="1:29" x14ac:dyDescent="0.2">
      <c r="A15" t="s">
        <v>70</v>
      </c>
      <c r="E15" t="s">
        <v>70</v>
      </c>
      <c r="F15">
        <v>17.8</v>
      </c>
      <c r="G15">
        <v>18.8</v>
      </c>
      <c r="I15" t="s">
        <v>70</v>
      </c>
      <c r="J15" s="34">
        <v>13.239000000000001</v>
      </c>
      <c r="K15" s="34">
        <v>14.321</v>
      </c>
      <c r="L15" s="34">
        <v>17.347000000000001</v>
      </c>
      <c r="M15" s="34">
        <v>19.178999999999998</v>
      </c>
      <c r="N15" s="4">
        <f t="shared" si="0"/>
        <v>-0.78006583107344962</v>
      </c>
      <c r="P15" t="s">
        <v>70</v>
      </c>
      <c r="Q15" s="4">
        <f>VLOOKUP(P15,'Stripped Spread'!$C$18:$E$60,3,FALSE)</f>
        <v>2.1692475485534328</v>
      </c>
      <c r="AA15" t="s">
        <v>70</v>
      </c>
      <c r="AB15" s="4">
        <f t="shared" si="1"/>
        <v>-0.78006583107344962</v>
      </c>
      <c r="AC15" s="4">
        <f t="shared" si="2"/>
        <v>2.1692475485534328</v>
      </c>
    </row>
    <row r="16" spans="1:29" x14ac:dyDescent="0.2">
      <c r="A16" t="s">
        <v>71</v>
      </c>
      <c r="E16" t="s">
        <v>71</v>
      </c>
      <c r="I16" t="s">
        <v>71</v>
      </c>
      <c r="J16" s="34">
        <v>23.646999999999998</v>
      </c>
      <c r="K16" s="34">
        <v>16.324999999999999</v>
      </c>
      <c r="L16" s="34">
        <v>15.861000000000001</v>
      </c>
      <c r="M16" s="34">
        <v>15.666</v>
      </c>
      <c r="N16" s="4">
        <f t="shared" si="0"/>
        <v>-0.9428900002181777</v>
      </c>
      <c r="P16" t="s">
        <v>71</v>
      </c>
      <c r="Q16" s="4">
        <f>VLOOKUP(P16,'Stripped Spread'!$C$18:$E$60,3,FALSE)</f>
        <v>-0.55505648603455771</v>
      </c>
      <c r="AA16" t="s">
        <v>47</v>
      </c>
      <c r="AB16" s="4">
        <f t="shared" si="1"/>
        <v>7.514455935360409E-2</v>
      </c>
      <c r="AC16" s="4">
        <f t="shared" si="2"/>
        <v>-0.50718932529558414</v>
      </c>
    </row>
    <row r="17" spans="1:29" x14ac:dyDescent="0.2">
      <c r="A17" t="s">
        <v>47</v>
      </c>
      <c r="B17">
        <v>21</v>
      </c>
      <c r="C17">
        <v>21</v>
      </c>
      <c r="E17" t="s">
        <v>47</v>
      </c>
      <c r="I17" t="s">
        <v>47</v>
      </c>
      <c r="J17" s="34">
        <v>20.873999999999999</v>
      </c>
      <c r="K17" s="34">
        <v>23.518999999999998</v>
      </c>
      <c r="L17" s="34">
        <v>25.152000000000001</v>
      </c>
      <c r="M17" s="34">
        <v>24.76</v>
      </c>
      <c r="N17" s="4">
        <f t="shared" si="0"/>
        <v>7.514455935360409E-2</v>
      </c>
      <c r="P17" t="s">
        <v>47</v>
      </c>
      <c r="Q17" s="4">
        <f>VLOOKUP(P17,'Stripped Spread'!$C$18:$E$60,3,FALSE)</f>
        <v>-0.50718932529558414</v>
      </c>
      <c r="AA17" t="s">
        <v>4</v>
      </c>
      <c r="AB17" s="4">
        <f t="shared" si="1"/>
        <v>-0.63608806643268745</v>
      </c>
      <c r="AC17" s="4">
        <f t="shared" si="2"/>
        <v>-0.46284842419996541</v>
      </c>
    </row>
    <row r="18" spans="1:29" x14ac:dyDescent="0.2">
      <c r="A18" t="s">
        <v>4</v>
      </c>
      <c r="B18">
        <v>20</v>
      </c>
      <c r="C18">
        <v>20</v>
      </c>
      <c r="E18" t="s">
        <v>4</v>
      </c>
      <c r="F18">
        <v>13.8</v>
      </c>
      <c r="G18">
        <v>13</v>
      </c>
      <c r="I18" t="s">
        <v>4</v>
      </c>
      <c r="J18" s="34">
        <v>20.451000000000001</v>
      </c>
      <c r="K18" s="34">
        <v>20.106000000000002</v>
      </c>
      <c r="L18" s="34">
        <v>18.661000000000001</v>
      </c>
      <c r="M18" s="34">
        <v>18.59</v>
      </c>
      <c r="N18" s="4">
        <f t="shared" si="0"/>
        <v>-0.63608806643268745</v>
      </c>
      <c r="P18" t="s">
        <v>4</v>
      </c>
      <c r="Q18" s="4">
        <f>VLOOKUP(P18,'Stripped Spread'!$C$18:$E$60,3,FALSE)</f>
        <v>-0.46284842419996541</v>
      </c>
      <c r="AA18" t="s">
        <v>13</v>
      </c>
      <c r="AB18" s="4">
        <f t="shared" si="1"/>
        <v>0.60240559698781049</v>
      </c>
      <c r="AC18" s="4">
        <f t="shared" si="2"/>
        <v>-0.16466036285246269</v>
      </c>
    </row>
    <row r="19" spans="1:29" x14ac:dyDescent="0.2">
      <c r="A19" t="s">
        <v>48</v>
      </c>
      <c r="B19">
        <v>6</v>
      </c>
      <c r="C19">
        <v>6</v>
      </c>
      <c r="E19" t="s">
        <v>48</v>
      </c>
      <c r="F19">
        <v>18.7</v>
      </c>
      <c r="G19">
        <v>17</v>
      </c>
      <c r="I19" t="s">
        <v>48</v>
      </c>
      <c r="J19" s="34">
        <v>18.173999999999999</v>
      </c>
      <c r="K19" s="34">
        <v>17.251000000000001</v>
      </c>
      <c r="L19" s="34">
        <v>16.855</v>
      </c>
      <c r="M19" s="34">
        <v>17.128</v>
      </c>
      <c r="N19" s="4">
        <f t="shared" si="0"/>
        <v>-0.83397531372432876</v>
      </c>
      <c r="P19" t="s">
        <v>48</v>
      </c>
      <c r="Q19" s="4">
        <f>VLOOKUP(P19,'Stripped Spread'!$C$18:$E$60,3,FALSE)</f>
        <v>-0.36315540465326435</v>
      </c>
      <c r="AA19" t="s">
        <v>23</v>
      </c>
      <c r="AB19" s="4">
        <f t="shared" si="1"/>
        <v>-0.6679735531225367</v>
      </c>
      <c r="AC19" s="4">
        <f t="shared" si="2"/>
        <v>-0.49266345738201095</v>
      </c>
    </row>
    <row r="20" spans="1:29" x14ac:dyDescent="0.2">
      <c r="A20" t="s">
        <v>13</v>
      </c>
      <c r="B20">
        <v>22</v>
      </c>
      <c r="C20">
        <v>22</v>
      </c>
      <c r="E20" t="s">
        <v>13</v>
      </c>
      <c r="F20">
        <v>24.9</v>
      </c>
      <c r="G20">
        <v>24.7</v>
      </c>
      <c r="I20" t="s">
        <v>13</v>
      </c>
      <c r="J20" s="34">
        <v>20.94</v>
      </c>
      <c r="K20" s="34">
        <v>24.693999999999999</v>
      </c>
      <c r="L20" s="34">
        <v>29.963999999999999</v>
      </c>
      <c r="M20" s="34">
        <v>29.202000000000002</v>
      </c>
      <c r="N20" s="4">
        <f t="shared" si="0"/>
        <v>0.60240559698781049</v>
      </c>
      <c r="P20" t="s">
        <v>13</v>
      </c>
      <c r="Q20" s="4">
        <f>VLOOKUP(P20,'Stripped Spread'!$C$18:$E$60,3,FALSE)</f>
        <v>-0.16466036285246269</v>
      </c>
      <c r="AA20" t="s">
        <v>77</v>
      </c>
      <c r="AB20" s="4">
        <f t="shared" si="1"/>
        <v>-0.12734471694481969</v>
      </c>
      <c r="AC20" s="4">
        <f t="shared" si="2"/>
        <v>0.16739140015649304</v>
      </c>
    </row>
    <row r="21" spans="1:29" x14ac:dyDescent="0.2">
      <c r="A21" t="s">
        <v>23</v>
      </c>
      <c r="B21">
        <v>16</v>
      </c>
      <c r="C21">
        <v>16</v>
      </c>
      <c r="E21" t="s">
        <v>23</v>
      </c>
      <c r="F21">
        <v>18</v>
      </c>
      <c r="G21">
        <v>17</v>
      </c>
      <c r="I21" t="s">
        <v>23</v>
      </c>
      <c r="J21" s="34">
        <v>15.561</v>
      </c>
      <c r="K21" s="34">
        <v>19.956</v>
      </c>
      <c r="L21" s="34">
        <v>18.37</v>
      </c>
      <c r="M21" s="34">
        <v>17.491</v>
      </c>
      <c r="N21" s="4">
        <f t="shared" si="0"/>
        <v>-0.6679735531225367</v>
      </c>
      <c r="P21" t="s">
        <v>23</v>
      </c>
      <c r="Q21" s="4">
        <f>VLOOKUP(P21,'Stripped Spread'!$C$18:$E$60,3,FALSE)</f>
        <v>-0.49266345738201095</v>
      </c>
      <c r="AA21" t="s">
        <v>14</v>
      </c>
      <c r="AB21" s="4">
        <f t="shared" si="1"/>
        <v>-1.0736095384346385</v>
      </c>
      <c r="AC21" s="4">
        <f t="shared" si="2"/>
        <v>-0.24455989205539388</v>
      </c>
    </row>
    <row r="22" spans="1:29" x14ac:dyDescent="0.2">
      <c r="A22" t="s">
        <v>77</v>
      </c>
      <c r="E22" t="s">
        <v>77</v>
      </c>
      <c r="F22">
        <v>26</v>
      </c>
      <c r="G22">
        <v>27</v>
      </c>
      <c r="I22" t="s">
        <v>77</v>
      </c>
      <c r="J22" s="34">
        <v>24.771000000000001</v>
      </c>
      <c r="K22" s="34">
        <v>22.324000000000002</v>
      </c>
      <c r="L22" s="34">
        <v>23.303999999999998</v>
      </c>
      <c r="M22" s="34">
        <v>23.888000000000002</v>
      </c>
      <c r="N22" s="4">
        <f t="shared" si="0"/>
        <v>-0.12734471694481969</v>
      </c>
      <c r="P22" t="s">
        <v>77</v>
      </c>
      <c r="Q22" s="4">
        <f>VLOOKUP(P22,'Stripped Spread'!$C$18:$E$60,3,FALSE)</f>
        <v>0.16739140015649304</v>
      </c>
      <c r="AA22" t="s">
        <v>58</v>
      </c>
      <c r="AB22" s="4">
        <f t="shared" si="1"/>
        <v>-0.71114496809092365</v>
      </c>
      <c r="AC22" s="4">
        <f t="shared" si="2"/>
        <v>1.5328752249159792</v>
      </c>
    </row>
    <row r="23" spans="1:29" x14ac:dyDescent="0.2">
      <c r="A23" t="s">
        <v>14</v>
      </c>
      <c r="B23">
        <v>18</v>
      </c>
      <c r="C23">
        <v>18</v>
      </c>
      <c r="E23" t="s">
        <v>14</v>
      </c>
      <c r="F23">
        <v>22</v>
      </c>
      <c r="G23">
        <v>21</v>
      </c>
      <c r="I23" t="s">
        <v>14</v>
      </c>
      <c r="J23" s="34">
        <v>12.598000000000001</v>
      </c>
      <c r="K23" s="34">
        <v>13.819000000000001</v>
      </c>
      <c r="L23" s="34">
        <v>14.667999999999999</v>
      </c>
      <c r="M23" s="34">
        <v>13.968999999999999</v>
      </c>
      <c r="N23" s="4">
        <f t="shared" si="0"/>
        <v>-1.0736095384346385</v>
      </c>
      <c r="P23" t="s">
        <v>14</v>
      </c>
      <c r="Q23" s="4">
        <f>VLOOKUP(P23,'Stripped Spread'!$C$18:$E$60,3,FALSE)</f>
        <v>-0.24455989205539388</v>
      </c>
      <c r="AA23" t="s">
        <v>72</v>
      </c>
      <c r="AB23" s="4">
        <f t="shared" si="1"/>
        <v>-0.4195735588754988</v>
      </c>
      <c r="AC23" s="4">
        <f t="shared" si="2"/>
        <v>-0.34765727585037098</v>
      </c>
    </row>
    <row r="24" spans="1:29" x14ac:dyDescent="0.2">
      <c r="A24" t="s">
        <v>58</v>
      </c>
      <c r="B24">
        <v>17</v>
      </c>
      <c r="C24">
        <v>17</v>
      </c>
      <c r="E24" t="s">
        <v>58</v>
      </c>
      <c r="F24">
        <v>19</v>
      </c>
      <c r="G24">
        <v>18</v>
      </c>
      <c r="I24" t="s">
        <v>58</v>
      </c>
      <c r="J24" s="34">
        <v>15.632</v>
      </c>
      <c r="K24" s="34">
        <v>17.753</v>
      </c>
      <c r="L24" s="34">
        <v>17.975999999999999</v>
      </c>
      <c r="M24" s="34">
        <v>18.79</v>
      </c>
      <c r="N24" s="4">
        <f t="shared" si="0"/>
        <v>-0.71114496809092365</v>
      </c>
      <c r="P24" t="s">
        <v>58</v>
      </c>
      <c r="Q24" s="4">
        <f>VLOOKUP(P24,'Stripped Spread'!$C$18:$E$60,3,FALSE)</f>
        <v>1.5328752249159792</v>
      </c>
      <c r="AA24" t="s">
        <v>12</v>
      </c>
      <c r="AB24" s="4">
        <f t="shared" si="1"/>
        <v>0.35104715552212706</v>
      </c>
      <c r="AC24" s="4">
        <f t="shared" si="2"/>
        <v>2.7898082980863612</v>
      </c>
    </row>
    <row r="25" spans="1:29" x14ac:dyDescent="0.2">
      <c r="A25" t="s">
        <v>72</v>
      </c>
      <c r="B25">
        <v>18</v>
      </c>
      <c r="C25">
        <v>18</v>
      </c>
      <c r="E25" t="s">
        <v>72</v>
      </c>
      <c r="I25" t="s">
        <v>72</v>
      </c>
      <c r="J25" s="34">
        <v>17.773</v>
      </c>
      <c r="K25" s="34">
        <v>18.353000000000002</v>
      </c>
      <c r="L25" s="34">
        <v>20.637</v>
      </c>
      <c r="M25" s="34">
        <v>20.550999999999998</v>
      </c>
      <c r="N25" s="4">
        <f t="shared" si="0"/>
        <v>-0.4195735588754988</v>
      </c>
      <c r="P25" t="s">
        <v>72</v>
      </c>
      <c r="Q25" s="4">
        <f>VLOOKUP(P25,'Stripped Spread'!$C$18:$E$60,3,FALSE)</f>
        <v>-0.34765727585037098</v>
      </c>
      <c r="AA25" t="s">
        <v>64</v>
      </c>
      <c r="AB25" s="4">
        <f t="shared" si="1"/>
        <v>0.86548825520886863</v>
      </c>
      <c r="AC25" s="4">
        <f t="shared" si="2"/>
        <v>0.45654469091159733</v>
      </c>
    </row>
    <row r="26" spans="1:29" x14ac:dyDescent="0.2">
      <c r="A26" t="s">
        <v>12</v>
      </c>
      <c r="B26">
        <v>12</v>
      </c>
      <c r="C26">
        <v>12</v>
      </c>
      <c r="E26" t="s">
        <v>12</v>
      </c>
      <c r="F26">
        <v>29</v>
      </c>
      <c r="G26">
        <v>27</v>
      </c>
      <c r="I26" t="s">
        <v>12</v>
      </c>
      <c r="J26" s="34">
        <v>27.393000000000001</v>
      </c>
      <c r="K26" s="34">
        <v>25.629000000000001</v>
      </c>
      <c r="L26" s="34">
        <v>27.67</v>
      </c>
      <c r="M26" s="34">
        <v>27.501000000000001</v>
      </c>
      <c r="N26" s="4">
        <f t="shared" si="0"/>
        <v>0.35104715552212706</v>
      </c>
      <c r="P26" t="s">
        <v>12</v>
      </c>
      <c r="Q26" s="4">
        <f>VLOOKUP(P26,'Stripped Spread'!$C$18:$E$60,3,FALSE)</f>
        <v>2.7898082980863612</v>
      </c>
      <c r="AB26" s="4"/>
      <c r="AC26" s="4"/>
    </row>
    <row r="27" spans="1:29" x14ac:dyDescent="0.2">
      <c r="A27" t="s">
        <v>64</v>
      </c>
      <c r="B27">
        <v>29</v>
      </c>
      <c r="C27">
        <v>29</v>
      </c>
      <c r="E27" t="s">
        <v>64</v>
      </c>
      <c r="F27">
        <v>34</v>
      </c>
      <c r="G27">
        <v>33</v>
      </c>
      <c r="I27" t="s">
        <v>64</v>
      </c>
      <c r="J27" s="34">
        <v>31.564</v>
      </c>
      <c r="K27" s="34">
        <v>34.284999999999997</v>
      </c>
      <c r="L27" s="34">
        <v>32.365000000000002</v>
      </c>
      <c r="M27" s="34">
        <v>33.183999999999997</v>
      </c>
      <c r="N27" s="4">
        <f t="shared" si="0"/>
        <v>0.86548825520886863</v>
      </c>
      <c r="P27" t="s">
        <v>64</v>
      </c>
      <c r="Q27" s="4">
        <f>VLOOKUP(P27,'Stripped Spread'!$C$18:$E$60,3,FALSE)</f>
        <v>0.45654469091159733</v>
      </c>
      <c r="AB27" s="4"/>
      <c r="AC27" s="4"/>
    </row>
    <row r="28" spans="1:29" x14ac:dyDescent="0.2">
      <c r="Q28" s="4"/>
    </row>
    <row r="29" spans="1:29" x14ac:dyDescent="0.2">
      <c r="A29" t="s">
        <v>144</v>
      </c>
      <c r="E29" t="s">
        <v>144</v>
      </c>
      <c r="I29" t="s">
        <v>144</v>
      </c>
      <c r="Q29" s="4"/>
    </row>
    <row r="30" spans="1:29" x14ac:dyDescent="0.2">
      <c r="A30" t="s">
        <v>124</v>
      </c>
      <c r="E30" t="s">
        <v>124</v>
      </c>
      <c r="I30" t="s">
        <v>124</v>
      </c>
      <c r="Q30" s="4"/>
    </row>
    <row r="31" spans="1:29" x14ac:dyDescent="0.2">
      <c r="A31" t="s">
        <v>169</v>
      </c>
      <c r="E31" t="s">
        <v>169</v>
      </c>
      <c r="I31" t="s">
        <v>169</v>
      </c>
      <c r="Q31" s="4"/>
    </row>
    <row r="32" spans="1:29" x14ac:dyDescent="0.2">
      <c r="Q32" s="4"/>
    </row>
    <row r="33" spans="1:17" x14ac:dyDescent="0.2">
      <c r="A33" t="s">
        <v>68</v>
      </c>
      <c r="E33" t="s">
        <v>68</v>
      </c>
      <c r="I33" t="s">
        <v>68</v>
      </c>
      <c r="K33" s="4">
        <f>AVERAGE(K3:K27)</f>
        <v>23.74652</v>
      </c>
      <c r="L33" s="4">
        <f>AVERAGE(L3:L27)</f>
        <v>24.466199999999994</v>
      </c>
      <c r="Q33" s="4"/>
    </row>
    <row r="34" spans="1:17" x14ac:dyDescent="0.2">
      <c r="K34" s="4">
        <f>STDEV(K3:K27)</f>
        <v>8.8650219971526223</v>
      </c>
      <c r="L34" s="4">
        <f>STDEV(L3:L27)</f>
        <v>9.1264092290816681</v>
      </c>
      <c r="Q34" s="4"/>
    </row>
    <row r="35" spans="1:17" x14ac:dyDescent="0.2">
      <c r="Q35" s="4"/>
    </row>
    <row r="36" spans="1:17" x14ac:dyDescent="0.2">
      <c r="Q36" s="4"/>
    </row>
    <row r="37" spans="1:17" ht="13.5" thickBot="1" x14ac:dyDescent="0.25">
      <c r="Q37" s="4"/>
    </row>
    <row r="38" spans="1:17" x14ac:dyDescent="0.2">
      <c r="L38" s="53" t="s">
        <v>709</v>
      </c>
      <c r="M38" s="54">
        <f>LINEST(AC3:AC25,AB3:AB25,TRUE,FALSE)</f>
        <v>-0.1505226403959298</v>
      </c>
      <c r="Q38" s="4"/>
    </row>
    <row r="39" spans="1:17" ht="13.5" thickBot="1" x14ac:dyDescent="0.25">
      <c r="L39" s="55" t="s">
        <v>315</v>
      </c>
      <c r="M39" s="56">
        <f>INTERCEPT(AC3:AC25,AB3:AB25)</f>
        <v>0.21117555451099407</v>
      </c>
      <c r="Q39" s="4"/>
    </row>
    <row r="40" spans="1:17" x14ac:dyDescent="0.2">
      <c r="Q40" s="4"/>
    </row>
    <row r="41" spans="1:17" x14ac:dyDescent="0.2">
      <c r="Q41" s="4"/>
    </row>
  </sheetData>
  <phoneticPr fontId="3" type="noConversion"/>
  <pageMargins left="0.75" right="0.75" top="1" bottom="1" header="0.5" footer="0.5"/>
  <headerFooter alignWithMargins="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pageSetUpPr fitToPage="1"/>
  </sheetPr>
  <dimension ref="A1:AT41"/>
  <sheetViews>
    <sheetView topLeftCell="Y1" workbookViewId="0">
      <selection activeCell="Z3" sqref="Z3"/>
    </sheetView>
  </sheetViews>
  <sheetFormatPr defaultRowHeight="12.75" x14ac:dyDescent="0.2"/>
  <cols>
    <col min="1" max="1" width="11.5703125" customWidth="1"/>
    <col min="2" max="4" width="6" customWidth="1"/>
    <col min="5" max="5" width="7.42578125" customWidth="1"/>
    <col min="6" max="6" width="11" customWidth="1"/>
    <col min="7" max="9" width="6.140625" customWidth="1"/>
    <col min="10" max="10" width="6.7109375" customWidth="1"/>
    <col min="11" max="11" width="10.42578125" customWidth="1"/>
    <col min="12" max="15" width="6.42578125" customWidth="1"/>
    <col min="16" max="16" width="11.5703125" customWidth="1"/>
    <col min="17" max="19" width="6.85546875" customWidth="1"/>
    <col min="21" max="21" width="9.85546875" customWidth="1"/>
    <col min="22" max="24" width="6.5703125" customWidth="1"/>
    <col min="26" max="26" width="10.7109375" customWidth="1"/>
    <col min="27" max="29" width="7.42578125" customWidth="1"/>
    <col min="30" max="30" width="10.7109375" bestFit="1" customWidth="1"/>
    <col min="43" max="43" width="9" customWidth="1"/>
    <col min="44" max="45" width="16" customWidth="1"/>
    <col min="46" max="46" width="9.140625" customWidth="1"/>
  </cols>
  <sheetData>
    <row r="1" spans="1:46" x14ac:dyDescent="0.2">
      <c r="B1" s="5" t="s">
        <v>170</v>
      </c>
      <c r="C1" s="3"/>
      <c r="G1" s="5" t="s">
        <v>171</v>
      </c>
      <c r="H1" s="12"/>
      <c r="L1" s="5" t="s">
        <v>172</v>
      </c>
      <c r="Q1" s="5" t="s">
        <v>173</v>
      </c>
      <c r="V1" s="5" t="s">
        <v>174</v>
      </c>
      <c r="Z1" s="10" t="s">
        <v>168</v>
      </c>
    </row>
    <row r="2" spans="1:46" x14ac:dyDescent="0.2">
      <c r="B2">
        <v>2008</v>
      </c>
      <c r="C2">
        <v>2009</v>
      </c>
      <c r="D2" s="5">
        <v>2010</v>
      </c>
      <c r="G2">
        <v>2008</v>
      </c>
      <c r="H2">
        <v>2009</v>
      </c>
      <c r="I2" s="5">
        <v>2010</v>
      </c>
      <c r="J2" s="13"/>
      <c r="L2">
        <v>2008</v>
      </c>
      <c r="M2">
        <v>2009</v>
      </c>
      <c r="N2" s="5">
        <v>2010</v>
      </c>
      <c r="O2" s="13"/>
      <c r="Q2">
        <v>2008</v>
      </c>
      <c r="R2">
        <v>2009</v>
      </c>
      <c r="S2" s="5">
        <v>2010</v>
      </c>
      <c r="V2">
        <v>2008</v>
      </c>
      <c r="W2">
        <v>2009</v>
      </c>
      <c r="X2" s="5">
        <v>2010</v>
      </c>
      <c r="AA2">
        <v>2008</v>
      </c>
      <c r="AB2">
        <v>2009</v>
      </c>
      <c r="AC2" s="10">
        <v>2010</v>
      </c>
      <c r="AD2" s="10">
        <v>2011</v>
      </c>
      <c r="AE2" s="6" t="s">
        <v>332</v>
      </c>
      <c r="AH2" t="str">
        <f>Inflation!$AY$3</f>
        <v>Stripped Spread Z stat</v>
      </c>
      <c r="AR2" s="6" t="s">
        <v>324</v>
      </c>
      <c r="AS2" s="6" t="s">
        <v>325</v>
      </c>
      <c r="AT2" t="str">
        <f>Inflation!$AY$3</f>
        <v>Stripped Spread Z stat</v>
      </c>
    </row>
    <row r="3" spans="1:46" x14ac:dyDescent="0.2">
      <c r="A3" t="s">
        <v>10</v>
      </c>
      <c r="B3">
        <v>2.4</v>
      </c>
      <c r="C3">
        <v>0.3</v>
      </c>
      <c r="D3">
        <v>0.6</v>
      </c>
      <c r="F3" t="s">
        <v>10</v>
      </c>
      <c r="G3">
        <v>2.9</v>
      </c>
      <c r="H3">
        <v>0.3</v>
      </c>
      <c r="I3">
        <v>0.4</v>
      </c>
      <c r="K3" t="s">
        <v>10</v>
      </c>
      <c r="L3">
        <v>0.9</v>
      </c>
      <c r="M3">
        <v>0.4</v>
      </c>
      <c r="N3">
        <v>0.5</v>
      </c>
      <c r="P3" t="s">
        <v>10</v>
      </c>
      <c r="Q3">
        <v>2</v>
      </c>
      <c r="R3">
        <v>1.3</v>
      </c>
      <c r="S3">
        <v>1.3</v>
      </c>
      <c r="U3" t="s">
        <v>10</v>
      </c>
      <c r="V3">
        <v>1.4</v>
      </c>
      <c r="W3">
        <v>1.4</v>
      </c>
      <c r="X3">
        <v>1.4</v>
      </c>
      <c r="Z3" t="s">
        <v>10</v>
      </c>
      <c r="AA3" s="4">
        <f t="shared" ref="AA3:AA27" si="0">AVERAGE(B3,G3,L3,Q3,V3)</f>
        <v>1.92</v>
      </c>
      <c r="AB3" s="4">
        <f t="shared" ref="AB3:AB27" si="1">AVERAGE(C3,H3,M3,R3,W3)</f>
        <v>0.74</v>
      </c>
      <c r="AC3" s="4">
        <v>1.4</v>
      </c>
      <c r="AD3">
        <v>1.2</v>
      </c>
      <c r="AE3" s="4">
        <f>(AD3-AD$33)/AD$34</f>
        <v>-0.24891911442958042</v>
      </c>
      <c r="AG3" t="s">
        <v>10</v>
      </c>
      <c r="AH3" s="4">
        <f>VLOOKUP(AG3,'Stripped Spread'!$C$18:$E$60,3,FALSE)</f>
        <v>1.4255405250063531</v>
      </c>
      <c r="AR3" t="s">
        <v>10</v>
      </c>
      <c r="AS3" s="4">
        <f>VLOOKUP(AR3,$Z$3:$AE$27,6,FALSE)</f>
        <v>-0.24891911442958042</v>
      </c>
      <c r="AT3" s="4">
        <f>VLOOKUP(AR3,$AG$3:$AH$27,2,FALSE)</f>
        <v>1.4255405250063531</v>
      </c>
    </row>
    <row r="4" spans="1:46" x14ac:dyDescent="0.2">
      <c r="A4" t="s">
        <v>9</v>
      </c>
      <c r="B4">
        <v>2.4</v>
      </c>
      <c r="C4">
        <v>1.3</v>
      </c>
      <c r="D4">
        <v>1.5</v>
      </c>
      <c r="F4" t="s">
        <v>9</v>
      </c>
      <c r="G4">
        <v>2.8</v>
      </c>
      <c r="H4">
        <v>1.7</v>
      </c>
      <c r="I4">
        <v>1.7</v>
      </c>
      <c r="K4" t="s">
        <v>9</v>
      </c>
      <c r="L4">
        <v>1.5</v>
      </c>
      <c r="M4">
        <v>1.7</v>
      </c>
      <c r="N4">
        <v>1.2</v>
      </c>
      <c r="P4" t="s">
        <v>9</v>
      </c>
      <c r="Q4">
        <v>1.5</v>
      </c>
      <c r="R4">
        <v>2.2999999999999998</v>
      </c>
      <c r="S4">
        <v>2.1</v>
      </c>
      <c r="U4" t="s">
        <v>9</v>
      </c>
      <c r="V4">
        <v>1.6</v>
      </c>
      <c r="W4">
        <v>1.7</v>
      </c>
      <c r="X4">
        <v>1.1000000000000001</v>
      </c>
      <c r="Z4" t="s">
        <v>9</v>
      </c>
      <c r="AA4" s="4">
        <f t="shared" si="0"/>
        <v>1.9599999999999997</v>
      </c>
      <c r="AB4" s="4">
        <f t="shared" si="1"/>
        <v>1.7399999999999998</v>
      </c>
      <c r="AC4" s="4">
        <v>1.8</v>
      </c>
      <c r="AD4">
        <v>2.9</v>
      </c>
      <c r="AE4" s="4">
        <f t="shared" ref="AE4:AE27" si="2">(AD4-AD$33)/AD$34</f>
        <v>0.38837379901964642</v>
      </c>
      <c r="AG4" t="s">
        <v>9</v>
      </c>
      <c r="AH4" s="4">
        <f>VLOOKUP(AG4,'Stripped Spread'!$C$18:$E$60,3,FALSE)</f>
        <v>-0.49043451301485325</v>
      </c>
      <c r="AR4" t="s">
        <v>9</v>
      </c>
      <c r="AS4" s="4">
        <f t="shared" ref="AS4:AS25" si="3">VLOOKUP(AR4,$Z$3:$AE$27,6,FALSE)</f>
        <v>0.38837379901964642</v>
      </c>
      <c r="AT4" s="4">
        <f t="shared" ref="AT4:AT25" si="4">VLOOKUP(AR4,$AG$3:$AH$27,2,FALSE)</f>
        <v>-0.49043451301485325</v>
      </c>
    </row>
    <row r="5" spans="1:46" x14ac:dyDescent="0.2">
      <c r="A5" t="s">
        <v>36</v>
      </c>
      <c r="B5">
        <v>9.9</v>
      </c>
      <c r="C5">
        <v>5.2</v>
      </c>
      <c r="D5">
        <v>6.3</v>
      </c>
      <c r="F5" t="s">
        <v>36</v>
      </c>
      <c r="G5">
        <v>10</v>
      </c>
      <c r="H5">
        <v>3.8</v>
      </c>
      <c r="I5">
        <v>4.2</v>
      </c>
      <c r="K5" t="s">
        <v>36</v>
      </c>
      <c r="L5">
        <v>5.9</v>
      </c>
      <c r="M5">
        <v>2.5</v>
      </c>
      <c r="N5">
        <v>4.2</v>
      </c>
      <c r="P5" t="s">
        <v>36</v>
      </c>
      <c r="Q5">
        <v>5.9</v>
      </c>
      <c r="R5">
        <v>3.9</v>
      </c>
      <c r="S5">
        <v>4</v>
      </c>
      <c r="U5" t="s">
        <v>36</v>
      </c>
      <c r="V5">
        <v>5.8</v>
      </c>
      <c r="W5">
        <v>0.8</v>
      </c>
      <c r="X5">
        <v>2.5</v>
      </c>
      <c r="Z5" t="s">
        <v>36</v>
      </c>
      <c r="AA5" s="4">
        <f t="shared" si="0"/>
        <v>7.4999999999999982</v>
      </c>
      <c r="AB5" s="4">
        <f t="shared" si="1"/>
        <v>3.2399999999999998</v>
      </c>
      <c r="AC5" s="4">
        <v>3.1</v>
      </c>
      <c r="AD5">
        <v>3.2</v>
      </c>
      <c r="AE5" s="4">
        <f t="shared" si="2"/>
        <v>0.500837254334216</v>
      </c>
      <c r="AG5" t="s">
        <v>36</v>
      </c>
      <c r="AH5" s="4">
        <f>VLOOKUP(AG5,'Stripped Spread'!$C$18:$E$60,3,FALSE)</f>
        <v>-0.6767951584626779</v>
      </c>
      <c r="AR5" t="s">
        <v>36</v>
      </c>
      <c r="AS5" s="4">
        <f t="shared" si="3"/>
        <v>0.500837254334216</v>
      </c>
      <c r="AT5" s="4">
        <f t="shared" si="4"/>
        <v>-0.6767951584626779</v>
      </c>
    </row>
    <row r="6" spans="1:46" x14ac:dyDescent="0.2">
      <c r="A6" t="s">
        <v>0</v>
      </c>
      <c r="B6">
        <v>2.2000000000000002</v>
      </c>
      <c r="C6">
        <v>1.3</v>
      </c>
      <c r="D6">
        <v>1.5</v>
      </c>
      <c r="F6" t="s">
        <v>0</v>
      </c>
      <c r="G6">
        <v>2.1</v>
      </c>
      <c r="H6">
        <v>1.1000000000000001</v>
      </c>
      <c r="I6">
        <v>0.9</v>
      </c>
      <c r="K6" t="s">
        <v>0</v>
      </c>
      <c r="L6">
        <v>2.1</v>
      </c>
      <c r="M6">
        <v>0.7</v>
      </c>
      <c r="N6">
        <v>0.8</v>
      </c>
      <c r="P6" t="s">
        <v>0</v>
      </c>
      <c r="Q6">
        <v>2.2999999999999998</v>
      </c>
      <c r="R6">
        <v>1.8</v>
      </c>
      <c r="S6">
        <v>2.1</v>
      </c>
      <c r="U6" t="s">
        <v>0</v>
      </c>
      <c r="V6">
        <v>2.5</v>
      </c>
      <c r="W6">
        <v>1.8</v>
      </c>
      <c r="X6">
        <v>1.6</v>
      </c>
      <c r="Z6" t="s">
        <v>0</v>
      </c>
      <c r="AA6" s="4">
        <f t="shared" si="0"/>
        <v>2.2399999999999998</v>
      </c>
      <c r="AB6" s="4">
        <f t="shared" si="1"/>
        <v>1.34</v>
      </c>
      <c r="AC6" s="4">
        <v>2.1</v>
      </c>
      <c r="AD6">
        <v>2</v>
      </c>
      <c r="AE6" s="4">
        <f t="shared" si="2"/>
        <v>5.0983433075938112E-2</v>
      </c>
      <c r="AG6" t="s">
        <v>0</v>
      </c>
      <c r="AH6" s="4">
        <f>VLOOKUP(AG6,'Stripped Spread'!$C$18:$E$60,3,FALSE)</f>
        <v>-0.36041566053529961</v>
      </c>
      <c r="AR6" t="s">
        <v>0</v>
      </c>
      <c r="AS6" s="4">
        <f t="shared" si="3"/>
        <v>5.0983433075938112E-2</v>
      </c>
      <c r="AT6" s="4">
        <f t="shared" si="4"/>
        <v>-0.36041566053529961</v>
      </c>
    </row>
    <row r="7" spans="1:46" x14ac:dyDescent="0.2">
      <c r="A7" t="s">
        <v>37</v>
      </c>
      <c r="B7">
        <v>4.4000000000000004</v>
      </c>
      <c r="C7">
        <v>3.7</v>
      </c>
      <c r="D7">
        <v>2.8</v>
      </c>
      <c r="F7" t="s">
        <v>37</v>
      </c>
      <c r="G7">
        <v>4.4000000000000004</v>
      </c>
      <c r="H7">
        <v>3.8</v>
      </c>
      <c r="I7">
        <v>4</v>
      </c>
      <c r="K7" t="s">
        <v>37</v>
      </c>
      <c r="L7">
        <v>3.4</v>
      </c>
      <c r="M7">
        <v>2.6</v>
      </c>
      <c r="N7">
        <v>2.5</v>
      </c>
      <c r="P7" t="s">
        <v>37</v>
      </c>
      <c r="Q7">
        <v>3.4</v>
      </c>
      <c r="R7">
        <v>3</v>
      </c>
      <c r="S7">
        <v>3.3</v>
      </c>
      <c r="U7" t="s">
        <v>37</v>
      </c>
      <c r="V7">
        <v>4.4000000000000004</v>
      </c>
      <c r="W7">
        <v>4.2</v>
      </c>
      <c r="X7">
        <v>3.2</v>
      </c>
      <c r="Z7" t="s">
        <v>37</v>
      </c>
      <c r="AA7" s="4">
        <f t="shared" si="0"/>
        <v>4</v>
      </c>
      <c r="AB7" s="4">
        <f t="shared" si="1"/>
        <v>3.46</v>
      </c>
      <c r="AC7" s="4">
        <v>0.1</v>
      </c>
      <c r="AD7">
        <v>-0.8</v>
      </c>
      <c r="AE7" s="4">
        <f t="shared" si="2"/>
        <v>-0.99867548319337673</v>
      </c>
      <c r="AG7" t="s">
        <v>37</v>
      </c>
      <c r="AH7" s="4">
        <f>VLOOKUP(AG7,'Stripped Spread'!$C$18:$E$60,3,FALSE)</f>
        <v>-0.58302567466255073</v>
      </c>
      <c r="AR7" t="s">
        <v>37</v>
      </c>
      <c r="AS7" s="4">
        <f t="shared" si="3"/>
        <v>-0.99867548319337673</v>
      </c>
      <c r="AT7" s="4">
        <f t="shared" si="4"/>
        <v>-0.58302567466255073</v>
      </c>
    </row>
    <row r="8" spans="1:46" x14ac:dyDescent="0.2">
      <c r="A8" t="s">
        <v>39</v>
      </c>
      <c r="B8">
        <v>1.8</v>
      </c>
      <c r="C8">
        <v>0.4</v>
      </c>
      <c r="D8">
        <v>0.8</v>
      </c>
      <c r="F8" t="s">
        <v>39</v>
      </c>
      <c r="K8" t="s">
        <v>39</v>
      </c>
      <c r="L8">
        <v>3.4</v>
      </c>
      <c r="M8">
        <v>0</v>
      </c>
      <c r="N8">
        <v>0</v>
      </c>
      <c r="P8" t="s">
        <v>39</v>
      </c>
      <c r="U8" t="s">
        <v>39</v>
      </c>
      <c r="V8">
        <v>1.8</v>
      </c>
      <c r="W8">
        <v>0.8</v>
      </c>
      <c r="X8">
        <v>0.8</v>
      </c>
      <c r="Z8" t="s">
        <v>39</v>
      </c>
      <c r="AA8" s="4">
        <f t="shared" si="0"/>
        <v>2.3333333333333335</v>
      </c>
      <c r="AB8" s="4">
        <f t="shared" si="1"/>
        <v>0.40000000000000008</v>
      </c>
      <c r="AC8" s="4">
        <v>0.3</v>
      </c>
      <c r="AD8">
        <v>0.9</v>
      </c>
      <c r="AE8" s="4">
        <f t="shared" si="2"/>
        <v>-0.36138256974414984</v>
      </c>
      <c r="AG8" t="s">
        <v>39</v>
      </c>
      <c r="AH8" s="4">
        <f>VLOOKUP(AG8,'Stripped Spread'!$C$18:$E$60,3,FALSE)</f>
        <v>1.4223422220211868</v>
      </c>
      <c r="AR8" t="s">
        <v>39</v>
      </c>
      <c r="AS8" s="4">
        <f t="shared" si="3"/>
        <v>-0.36138256974414984</v>
      </c>
      <c r="AT8" s="4">
        <f t="shared" si="4"/>
        <v>1.4223422220211868</v>
      </c>
    </row>
    <row r="9" spans="1:46" x14ac:dyDescent="0.2">
      <c r="A9" t="s">
        <v>65</v>
      </c>
      <c r="F9" t="s">
        <v>65</v>
      </c>
      <c r="G9">
        <v>5.8</v>
      </c>
      <c r="H9">
        <v>4.0999999999999996</v>
      </c>
      <c r="I9">
        <v>3.4</v>
      </c>
      <c r="K9" t="s">
        <v>65</v>
      </c>
      <c r="P9" t="s">
        <v>65</v>
      </c>
      <c r="Q9">
        <v>7.4</v>
      </c>
      <c r="R9">
        <v>3.6</v>
      </c>
      <c r="S9">
        <v>3.2</v>
      </c>
      <c r="U9" t="s">
        <v>65</v>
      </c>
      <c r="V9">
        <v>8.1</v>
      </c>
      <c r="W9">
        <v>3.3</v>
      </c>
      <c r="X9">
        <v>3.4</v>
      </c>
      <c r="Z9" t="s">
        <v>65</v>
      </c>
      <c r="AA9" s="4">
        <f t="shared" si="0"/>
        <v>7.0999999999999988</v>
      </c>
      <c r="AB9" s="4">
        <f t="shared" si="1"/>
        <v>3.6666666666666665</v>
      </c>
      <c r="AC9" s="4">
        <v>2.4</v>
      </c>
      <c r="AD9">
        <v>1.6</v>
      </c>
      <c r="AE9" s="4">
        <f t="shared" si="2"/>
        <v>-9.8967840676821114E-2</v>
      </c>
      <c r="AG9" t="s">
        <v>65</v>
      </c>
      <c r="AH9" s="4">
        <f>VLOOKUP(AG9,'Stripped Spread'!$C$18:$E$60,3,FALSE)</f>
        <v>5.2153815465916083E-2</v>
      </c>
      <c r="AR9" t="s">
        <v>65</v>
      </c>
      <c r="AS9" s="4">
        <f t="shared" si="3"/>
        <v>-9.8967840676821114E-2</v>
      </c>
      <c r="AT9" s="4">
        <f t="shared" si="4"/>
        <v>5.2153815465916083E-2</v>
      </c>
    </row>
    <row r="10" spans="1:46" x14ac:dyDescent="0.2">
      <c r="A10" t="s">
        <v>43</v>
      </c>
      <c r="B10">
        <v>2.4</v>
      </c>
      <c r="C10">
        <v>1.2</v>
      </c>
      <c r="D10">
        <v>1.6</v>
      </c>
      <c r="F10" t="s">
        <v>43</v>
      </c>
      <c r="K10" t="s">
        <v>43</v>
      </c>
      <c r="L10">
        <v>2.4</v>
      </c>
      <c r="M10">
        <v>-1.3</v>
      </c>
      <c r="N10">
        <v>0.5</v>
      </c>
      <c r="P10" t="s">
        <v>43</v>
      </c>
      <c r="Q10">
        <v>2.4</v>
      </c>
      <c r="R10">
        <v>-1</v>
      </c>
      <c r="S10">
        <v>0.4</v>
      </c>
      <c r="U10" t="s">
        <v>43</v>
      </c>
      <c r="V10">
        <v>3.4</v>
      </c>
      <c r="W10">
        <v>2.1</v>
      </c>
      <c r="X10">
        <v>2.4</v>
      </c>
      <c r="Z10" t="s">
        <v>43</v>
      </c>
      <c r="AA10" s="4">
        <f t="shared" si="0"/>
        <v>2.65</v>
      </c>
      <c r="AB10" s="4">
        <f t="shared" si="1"/>
        <v>0.25</v>
      </c>
      <c r="AC10" s="4">
        <v>2.2999999999999998</v>
      </c>
      <c r="AD10">
        <v>4.9000000000000004</v>
      </c>
      <c r="AE10" s="4">
        <f t="shared" si="2"/>
        <v>1.138130167783443</v>
      </c>
      <c r="AG10" t="s">
        <v>43</v>
      </c>
      <c r="AH10" s="4">
        <f>VLOOKUP(AG10,'Stripped Spread'!$C$18:$E$60,3,FALSE)</f>
        <v>0.23579793496626733</v>
      </c>
      <c r="AR10" t="s">
        <v>43</v>
      </c>
      <c r="AS10" s="4">
        <f t="shared" si="3"/>
        <v>1.138130167783443</v>
      </c>
      <c r="AT10" s="4">
        <f t="shared" si="4"/>
        <v>0.23579793496626733</v>
      </c>
    </row>
    <row r="11" spans="1:46" x14ac:dyDescent="0.2">
      <c r="A11" t="s">
        <v>2</v>
      </c>
      <c r="B11">
        <v>0.5</v>
      </c>
      <c r="C11">
        <v>1</v>
      </c>
      <c r="D11">
        <v>2</v>
      </c>
      <c r="F11" t="s">
        <v>2</v>
      </c>
      <c r="G11">
        <v>0.5</v>
      </c>
      <c r="H11">
        <v>0.4</v>
      </c>
      <c r="I11">
        <v>0.5</v>
      </c>
      <c r="K11" t="s">
        <v>2</v>
      </c>
      <c r="L11">
        <v>0.7</v>
      </c>
      <c r="M11">
        <v>0.4</v>
      </c>
      <c r="N11">
        <v>0.6</v>
      </c>
      <c r="P11" t="s">
        <v>2</v>
      </c>
      <c r="Q11">
        <v>0.7</v>
      </c>
      <c r="R11">
        <v>0.4</v>
      </c>
      <c r="S11">
        <v>0.6</v>
      </c>
      <c r="U11" t="s">
        <v>2</v>
      </c>
      <c r="V11">
        <v>2.8</v>
      </c>
      <c r="W11">
        <v>1.5</v>
      </c>
      <c r="X11">
        <v>2.5</v>
      </c>
      <c r="Z11" t="s">
        <v>2</v>
      </c>
      <c r="AA11" s="4">
        <f t="shared" si="0"/>
        <v>1.0399999999999998</v>
      </c>
      <c r="AB11" s="4">
        <f t="shared" si="1"/>
        <v>0.74</v>
      </c>
      <c r="AC11" s="4">
        <v>1.4</v>
      </c>
      <c r="AD11">
        <v>1.4</v>
      </c>
      <c r="AE11" s="4">
        <f t="shared" si="2"/>
        <v>-0.1739434775532008</v>
      </c>
      <c r="AG11" t="s">
        <v>2</v>
      </c>
      <c r="AH11" s="4">
        <f>VLOOKUP(AG11,'Stripped Spread'!$C$18:$E$60,3,FALSE)</f>
        <v>-0.35838987515994025</v>
      </c>
      <c r="AR11" t="s">
        <v>2</v>
      </c>
      <c r="AS11" s="4">
        <f t="shared" si="3"/>
        <v>-0.1739434775532008</v>
      </c>
      <c r="AT11" s="4">
        <f t="shared" si="4"/>
        <v>-0.35838987515994025</v>
      </c>
    </row>
    <row r="12" spans="1:46" x14ac:dyDescent="0.2">
      <c r="A12" t="s">
        <v>45</v>
      </c>
      <c r="B12">
        <v>2.5</v>
      </c>
      <c r="C12">
        <v>3.5</v>
      </c>
      <c r="D12">
        <v>2.8</v>
      </c>
      <c r="F12" t="s">
        <v>45</v>
      </c>
      <c r="G12">
        <v>7.9</v>
      </c>
      <c r="H12">
        <v>4.3</v>
      </c>
      <c r="I12">
        <v>2.9</v>
      </c>
      <c r="K12" t="s">
        <v>45</v>
      </c>
      <c r="P12" t="s">
        <v>45</v>
      </c>
      <c r="Q12">
        <v>7.9</v>
      </c>
      <c r="R12">
        <v>6.7</v>
      </c>
      <c r="S12">
        <v>5.7</v>
      </c>
      <c r="U12" t="s">
        <v>45</v>
      </c>
      <c r="V12">
        <v>8.1999999999999993</v>
      </c>
      <c r="W12">
        <v>8.3000000000000007</v>
      </c>
      <c r="X12">
        <v>9.4</v>
      </c>
      <c r="Z12" t="s">
        <v>45</v>
      </c>
      <c r="AA12" s="4">
        <f t="shared" si="0"/>
        <v>6.625</v>
      </c>
      <c r="AB12" s="4">
        <f t="shared" si="1"/>
        <v>5.7</v>
      </c>
      <c r="AC12" s="4">
        <v>1.5</v>
      </c>
      <c r="AD12">
        <v>-2.2000000000000002</v>
      </c>
      <c r="AE12" s="4">
        <f t="shared" si="2"/>
        <v>-1.5235049413280342</v>
      </c>
      <c r="AG12" t="s">
        <v>45</v>
      </c>
      <c r="AH12" s="4">
        <f>VLOOKUP(AG12,'Stripped Spread'!$C$18:$E$60,3,FALSE)</f>
        <v>0.12883472578450098</v>
      </c>
      <c r="AR12" t="s">
        <v>45</v>
      </c>
      <c r="AS12" s="4">
        <f t="shared" si="3"/>
        <v>-1.5235049413280342</v>
      </c>
      <c r="AT12" s="4">
        <f t="shared" si="4"/>
        <v>0.12883472578450098</v>
      </c>
    </row>
    <row r="13" spans="1:46" x14ac:dyDescent="0.2">
      <c r="A13" t="s">
        <v>3</v>
      </c>
      <c r="B13">
        <v>-3.5</v>
      </c>
      <c r="C13">
        <v>-3</v>
      </c>
      <c r="D13">
        <v>-1</v>
      </c>
      <c r="F13" t="s">
        <v>3</v>
      </c>
      <c r="G13">
        <v>-3.5</v>
      </c>
      <c r="H13">
        <v>-1.6</v>
      </c>
      <c r="I13">
        <v>-0.9</v>
      </c>
      <c r="K13" t="s">
        <v>3</v>
      </c>
      <c r="L13">
        <v>-3.5</v>
      </c>
      <c r="M13">
        <v>-3.2</v>
      </c>
      <c r="N13">
        <v>-1</v>
      </c>
      <c r="P13" t="s">
        <v>3</v>
      </c>
      <c r="Q13">
        <v>-3.5</v>
      </c>
      <c r="R13">
        <v>-1.5</v>
      </c>
      <c r="S13">
        <v>0.4</v>
      </c>
      <c r="U13" t="s">
        <v>3</v>
      </c>
      <c r="V13">
        <v>-3.5</v>
      </c>
      <c r="W13">
        <v>0</v>
      </c>
      <c r="X13">
        <v>0.3</v>
      </c>
      <c r="Z13" t="s">
        <v>3</v>
      </c>
      <c r="AA13" s="4">
        <f t="shared" si="0"/>
        <v>-3.5</v>
      </c>
      <c r="AB13" s="4">
        <f t="shared" si="1"/>
        <v>-1.86</v>
      </c>
      <c r="AC13" s="4">
        <v>-0.8</v>
      </c>
      <c r="AD13">
        <v>-1.2</v>
      </c>
      <c r="AE13" s="4">
        <f t="shared" si="2"/>
        <v>-1.1486267569461359</v>
      </c>
      <c r="AG13" t="s">
        <v>3</v>
      </c>
      <c r="AH13" s="4">
        <f>VLOOKUP(AG13,'Stripped Spread'!$C$18:$E$60,3,FALSE)</f>
        <v>-0.61809672118954739</v>
      </c>
      <c r="AR13" t="s">
        <v>11</v>
      </c>
      <c r="AS13" s="4">
        <f t="shared" si="3"/>
        <v>-0.47384602505871937</v>
      </c>
      <c r="AT13" s="4">
        <f t="shared" si="4"/>
        <v>-0.48422075013713889</v>
      </c>
    </row>
    <row r="14" spans="1:46" x14ac:dyDescent="0.2">
      <c r="A14" t="s">
        <v>11</v>
      </c>
      <c r="B14">
        <v>2.1</v>
      </c>
      <c r="C14">
        <v>2.1</v>
      </c>
      <c r="D14">
        <v>2.4</v>
      </c>
      <c r="F14" t="s">
        <v>11</v>
      </c>
      <c r="G14">
        <v>2</v>
      </c>
      <c r="H14">
        <v>1.6</v>
      </c>
      <c r="I14">
        <v>1.8</v>
      </c>
      <c r="K14" t="s">
        <v>11</v>
      </c>
      <c r="L14">
        <v>2</v>
      </c>
      <c r="M14">
        <v>0.4</v>
      </c>
      <c r="N14">
        <v>1.5</v>
      </c>
      <c r="P14" t="s">
        <v>11</v>
      </c>
      <c r="Q14">
        <v>2</v>
      </c>
      <c r="R14">
        <v>0.4</v>
      </c>
      <c r="S14">
        <v>1.4</v>
      </c>
      <c r="U14" t="s">
        <v>11</v>
      </c>
      <c r="V14">
        <v>2</v>
      </c>
      <c r="W14">
        <v>1.5</v>
      </c>
      <c r="X14">
        <v>2</v>
      </c>
      <c r="Z14" t="s">
        <v>11</v>
      </c>
      <c r="AA14" s="4">
        <f t="shared" si="0"/>
        <v>2.02</v>
      </c>
      <c r="AB14" s="4">
        <f t="shared" si="1"/>
        <v>1.2000000000000002</v>
      </c>
      <c r="AC14" s="4">
        <v>0.4</v>
      </c>
      <c r="AD14">
        <v>0.6</v>
      </c>
      <c r="AE14" s="4">
        <f t="shared" si="2"/>
        <v>-0.47384602505871937</v>
      </c>
      <c r="AG14" t="s">
        <v>11</v>
      </c>
      <c r="AH14" s="4">
        <f>VLOOKUP(AG14,'Stripped Spread'!$C$18:$E$60,3,FALSE)</f>
        <v>-0.48422075013713889</v>
      </c>
      <c r="AR14" t="s">
        <v>70</v>
      </c>
      <c r="AS14" s="4">
        <f t="shared" si="3"/>
        <v>-0.32389475130596007</v>
      </c>
      <c r="AT14" s="4">
        <f t="shared" si="4"/>
        <v>2.1692475485534328</v>
      </c>
    </row>
    <row r="15" spans="1:46" x14ac:dyDescent="0.2">
      <c r="A15" t="s">
        <v>70</v>
      </c>
      <c r="F15" t="s">
        <v>70</v>
      </c>
      <c r="G15">
        <v>3.6</v>
      </c>
      <c r="H15">
        <v>1.4</v>
      </c>
      <c r="I15">
        <v>1.5</v>
      </c>
      <c r="K15" t="s">
        <v>70</v>
      </c>
      <c r="P15" t="s">
        <v>70</v>
      </c>
      <c r="U15" t="s">
        <v>70</v>
      </c>
      <c r="V15">
        <v>2</v>
      </c>
      <c r="W15">
        <v>1.8</v>
      </c>
      <c r="X15">
        <v>1.8</v>
      </c>
      <c r="Z15" t="s">
        <v>70</v>
      </c>
      <c r="AA15" s="4">
        <f t="shared" si="0"/>
        <v>2.8</v>
      </c>
      <c r="AB15" s="4">
        <f t="shared" si="1"/>
        <v>1.6</v>
      </c>
      <c r="AC15" s="4">
        <v>1.1000000000000001</v>
      </c>
      <c r="AD15">
        <v>1</v>
      </c>
      <c r="AE15" s="4">
        <f t="shared" si="2"/>
        <v>-0.32389475130596007</v>
      </c>
      <c r="AG15" t="s">
        <v>70</v>
      </c>
      <c r="AH15" s="4">
        <f>VLOOKUP(AG15,'Stripped Spread'!$C$18:$E$60,3,FALSE)</f>
        <v>2.1692475485534328</v>
      </c>
      <c r="AR15" t="s">
        <v>71</v>
      </c>
      <c r="AS15" s="4">
        <f t="shared" si="3"/>
        <v>2.4876916315582762</v>
      </c>
      <c r="AT15" s="4">
        <f t="shared" si="4"/>
        <v>-0.55505648603455771</v>
      </c>
    </row>
    <row r="16" spans="1:46" x14ac:dyDescent="0.2">
      <c r="A16" t="s">
        <v>71</v>
      </c>
      <c r="F16" t="s">
        <v>71</v>
      </c>
      <c r="G16">
        <v>10.8</v>
      </c>
      <c r="H16">
        <v>5.8</v>
      </c>
      <c r="I16">
        <v>8.5</v>
      </c>
      <c r="K16" t="s">
        <v>71</v>
      </c>
      <c r="L16">
        <v>10.199999999999999</v>
      </c>
      <c r="M16">
        <v>6.4</v>
      </c>
      <c r="N16">
        <v>7.1</v>
      </c>
      <c r="P16" t="s">
        <v>71</v>
      </c>
      <c r="U16" t="s">
        <v>71</v>
      </c>
      <c r="V16">
        <v>10.4</v>
      </c>
      <c r="W16">
        <v>6.6</v>
      </c>
      <c r="X16">
        <v>7.3</v>
      </c>
      <c r="Z16" t="s">
        <v>71</v>
      </c>
      <c r="AA16" s="4">
        <f t="shared" si="0"/>
        <v>10.466666666666667</v>
      </c>
      <c r="AB16" s="4">
        <f t="shared" si="1"/>
        <v>6.2666666666666657</v>
      </c>
      <c r="AC16" s="4">
        <v>8.8000000000000007</v>
      </c>
      <c r="AD16">
        <v>8.5</v>
      </c>
      <c r="AE16" s="4">
        <f t="shared" si="2"/>
        <v>2.4876916315582762</v>
      </c>
      <c r="AG16" t="s">
        <v>71</v>
      </c>
      <c r="AH16" s="4">
        <f>VLOOKUP(AG16,'Stripped Spread'!$C$18:$E$60,3,FALSE)</f>
        <v>-0.55505648603455771</v>
      </c>
      <c r="AR16" t="s">
        <v>47</v>
      </c>
      <c r="AS16" s="4">
        <f t="shared" si="3"/>
        <v>0.83822762027792419</v>
      </c>
      <c r="AT16" s="4">
        <f t="shared" si="4"/>
        <v>-0.50718932529558414</v>
      </c>
    </row>
    <row r="17" spans="1:46" x14ac:dyDescent="0.2">
      <c r="A17" t="s">
        <v>47</v>
      </c>
      <c r="B17">
        <v>3.2</v>
      </c>
      <c r="C17">
        <v>3.8</v>
      </c>
      <c r="D17">
        <v>4.5</v>
      </c>
      <c r="F17" t="s">
        <v>47</v>
      </c>
      <c r="G17">
        <v>3.2</v>
      </c>
      <c r="H17">
        <v>4.2</v>
      </c>
      <c r="I17">
        <v>4.5</v>
      </c>
      <c r="K17" t="s">
        <v>47</v>
      </c>
      <c r="L17">
        <v>4.8</v>
      </c>
      <c r="M17">
        <v>3.5</v>
      </c>
      <c r="N17">
        <v>4.3</v>
      </c>
      <c r="P17" t="s">
        <v>47</v>
      </c>
      <c r="Q17">
        <v>3.2</v>
      </c>
      <c r="R17">
        <v>3.5</v>
      </c>
      <c r="S17">
        <v>3.6</v>
      </c>
      <c r="U17" t="s">
        <v>47</v>
      </c>
      <c r="V17">
        <v>3.1</v>
      </c>
      <c r="W17">
        <v>3.7</v>
      </c>
      <c r="X17">
        <v>3.6</v>
      </c>
      <c r="Z17" t="s">
        <v>47</v>
      </c>
      <c r="AA17" s="4">
        <f t="shared" si="0"/>
        <v>3.5</v>
      </c>
      <c r="AB17" s="4">
        <f t="shared" si="1"/>
        <v>3.7399999999999998</v>
      </c>
      <c r="AC17" s="4">
        <v>4.3</v>
      </c>
      <c r="AD17">
        <v>4.0999999999999996</v>
      </c>
      <c r="AE17" s="4">
        <f t="shared" si="2"/>
        <v>0.83822762027792419</v>
      </c>
      <c r="AG17" t="s">
        <v>47</v>
      </c>
      <c r="AH17" s="4">
        <f>VLOOKUP(AG17,'Stripped Spread'!$C$18:$E$60,3,FALSE)</f>
        <v>-0.50718932529558414</v>
      </c>
      <c r="AR17" t="s">
        <v>4</v>
      </c>
      <c r="AS17" s="4">
        <f t="shared" si="3"/>
        <v>-0.43635820662052949</v>
      </c>
      <c r="AT17" s="4">
        <f t="shared" si="4"/>
        <v>-0.46284842419996541</v>
      </c>
    </row>
    <row r="18" spans="1:46" x14ac:dyDescent="0.2">
      <c r="A18" t="s">
        <v>4</v>
      </c>
      <c r="B18">
        <v>0.7</v>
      </c>
      <c r="C18">
        <v>8</v>
      </c>
      <c r="D18">
        <v>1</v>
      </c>
      <c r="F18" t="s">
        <v>4</v>
      </c>
      <c r="G18">
        <v>0.7</v>
      </c>
      <c r="H18">
        <v>0.9</v>
      </c>
      <c r="I18">
        <v>1.1000000000000001</v>
      </c>
      <c r="K18" t="s">
        <v>4</v>
      </c>
      <c r="L18">
        <v>0.8</v>
      </c>
      <c r="M18">
        <v>0.4</v>
      </c>
      <c r="N18">
        <v>0.5</v>
      </c>
      <c r="P18" t="s">
        <v>4</v>
      </c>
      <c r="Q18">
        <v>0.7</v>
      </c>
      <c r="R18">
        <v>0.8</v>
      </c>
      <c r="S18">
        <v>0.9</v>
      </c>
      <c r="U18" t="s">
        <v>4</v>
      </c>
      <c r="V18">
        <v>0.8</v>
      </c>
      <c r="W18">
        <v>0.5</v>
      </c>
      <c r="X18">
        <v>0.8</v>
      </c>
      <c r="Z18" t="s">
        <v>4</v>
      </c>
      <c r="AA18" s="4">
        <f t="shared" si="0"/>
        <v>0.74</v>
      </c>
      <c r="AB18" s="4">
        <f t="shared" si="1"/>
        <v>2.12</v>
      </c>
      <c r="AC18" s="4">
        <v>0.6</v>
      </c>
      <c r="AD18">
        <v>0.7</v>
      </c>
      <c r="AE18" s="4">
        <f t="shared" si="2"/>
        <v>-0.43635820662052949</v>
      </c>
      <c r="AG18" t="s">
        <v>4</v>
      </c>
      <c r="AH18" s="4">
        <f>VLOOKUP(AG18,'Stripped Spread'!$C$18:$E$60,3,FALSE)</f>
        <v>-0.46284842419996541</v>
      </c>
      <c r="AR18" t="s">
        <v>48</v>
      </c>
      <c r="AS18" s="4">
        <f t="shared" si="3"/>
        <v>-0.58630948037328878</v>
      </c>
      <c r="AT18" s="4">
        <f t="shared" si="4"/>
        <v>-0.36315540465326435</v>
      </c>
    </row>
    <row r="19" spans="1:46" x14ac:dyDescent="0.2">
      <c r="A19" t="s">
        <v>48</v>
      </c>
      <c r="B19">
        <v>2.2000000000000002</v>
      </c>
      <c r="C19">
        <v>1.5</v>
      </c>
      <c r="D19">
        <v>2.1</v>
      </c>
      <c r="F19" t="s">
        <v>48</v>
      </c>
      <c r="G19">
        <v>2.2000000000000002</v>
      </c>
      <c r="H19">
        <v>1.9</v>
      </c>
      <c r="I19">
        <v>2</v>
      </c>
      <c r="K19" t="s">
        <v>48</v>
      </c>
      <c r="L19">
        <v>2.2000000000000002</v>
      </c>
      <c r="M19">
        <v>2</v>
      </c>
      <c r="N19">
        <v>1.6</v>
      </c>
      <c r="P19" t="s">
        <v>48</v>
      </c>
      <c r="Q19">
        <v>2.2000000000000002</v>
      </c>
      <c r="R19">
        <v>2.5</v>
      </c>
      <c r="S19">
        <v>2.7</v>
      </c>
      <c r="U19" t="s">
        <v>48</v>
      </c>
      <c r="V19">
        <v>2.6</v>
      </c>
      <c r="W19">
        <v>1.2</v>
      </c>
      <c r="X19">
        <v>1.4</v>
      </c>
      <c r="Z19" t="s">
        <v>48</v>
      </c>
      <c r="AA19" s="4">
        <f t="shared" si="0"/>
        <v>2.2800000000000002</v>
      </c>
      <c r="AB19" s="4">
        <f t="shared" si="1"/>
        <v>1.8199999999999998</v>
      </c>
      <c r="AC19" s="4">
        <v>1.1000000000000001</v>
      </c>
      <c r="AD19">
        <v>0.3</v>
      </c>
      <c r="AE19" s="4">
        <f t="shared" si="2"/>
        <v>-0.58630948037328878</v>
      </c>
      <c r="AG19" t="s">
        <v>48</v>
      </c>
      <c r="AH19" s="4">
        <f>VLOOKUP(AG19,'Stripped Spread'!$C$18:$E$60,3,FALSE)</f>
        <v>-0.36315540465326435</v>
      </c>
      <c r="AR19" t="s">
        <v>13</v>
      </c>
      <c r="AS19" s="4">
        <f t="shared" si="3"/>
        <v>-0.96118766475518691</v>
      </c>
      <c r="AT19" s="4">
        <f t="shared" si="4"/>
        <v>-0.16466036285246269</v>
      </c>
    </row>
    <row r="20" spans="1:46" x14ac:dyDescent="0.2">
      <c r="A20" t="s">
        <v>13</v>
      </c>
      <c r="B20">
        <v>1.1000000000000001</v>
      </c>
      <c r="C20">
        <v>1.2</v>
      </c>
      <c r="D20">
        <v>0.9</v>
      </c>
      <c r="F20" t="s">
        <v>13</v>
      </c>
      <c r="G20">
        <v>1.2</v>
      </c>
      <c r="H20">
        <v>0.2</v>
      </c>
      <c r="I20">
        <v>1</v>
      </c>
      <c r="K20" t="s">
        <v>13</v>
      </c>
      <c r="L20">
        <v>0.9</v>
      </c>
      <c r="M20">
        <v>0.6</v>
      </c>
      <c r="N20">
        <v>0.7</v>
      </c>
      <c r="P20" t="s">
        <v>13</v>
      </c>
      <c r="Q20">
        <v>0.9</v>
      </c>
      <c r="R20">
        <v>-0.6</v>
      </c>
      <c r="S20">
        <v>0.5</v>
      </c>
      <c r="U20" t="s">
        <v>13</v>
      </c>
      <c r="V20">
        <v>1.1000000000000001</v>
      </c>
      <c r="W20">
        <v>-0.1</v>
      </c>
      <c r="X20">
        <v>0.7</v>
      </c>
      <c r="Z20" t="s">
        <v>13</v>
      </c>
      <c r="AA20" s="4">
        <f t="shared" si="0"/>
        <v>1.0399999999999998</v>
      </c>
      <c r="AB20" s="4">
        <f t="shared" si="1"/>
        <v>0.25999999999999995</v>
      </c>
      <c r="AC20" s="4">
        <v>-0.7</v>
      </c>
      <c r="AD20">
        <v>-0.7</v>
      </c>
      <c r="AE20" s="4">
        <f t="shared" si="2"/>
        <v>-0.96118766475518691</v>
      </c>
      <c r="AG20" t="s">
        <v>13</v>
      </c>
      <c r="AH20" s="4">
        <f>VLOOKUP(AG20,'Stripped Spread'!$C$18:$E$60,3,FALSE)</f>
        <v>-0.16466036285246269</v>
      </c>
      <c r="AR20" t="s">
        <v>23</v>
      </c>
      <c r="AS20" s="4">
        <f t="shared" si="3"/>
        <v>-0.54882166193509885</v>
      </c>
      <c r="AT20" s="4">
        <f t="shared" si="4"/>
        <v>-0.49266345738201095</v>
      </c>
    </row>
    <row r="21" spans="1:46" x14ac:dyDescent="0.2">
      <c r="A21" t="s">
        <v>23</v>
      </c>
      <c r="B21">
        <v>3.2</v>
      </c>
      <c r="C21">
        <v>2</v>
      </c>
      <c r="D21">
        <v>1.8</v>
      </c>
      <c r="F21" t="s">
        <v>23</v>
      </c>
      <c r="G21">
        <v>4.5</v>
      </c>
      <c r="H21">
        <v>2.2999999999999998</v>
      </c>
      <c r="I21">
        <v>1.9</v>
      </c>
      <c r="K21" t="s">
        <v>23</v>
      </c>
      <c r="L21">
        <v>4.4000000000000004</v>
      </c>
      <c r="M21">
        <v>1.7</v>
      </c>
      <c r="N21">
        <v>1.2</v>
      </c>
      <c r="P21" t="s">
        <v>23</v>
      </c>
      <c r="Q21">
        <v>4.2</v>
      </c>
      <c r="R21">
        <v>2.5</v>
      </c>
      <c r="S21">
        <v>0.9</v>
      </c>
      <c r="U21" t="s">
        <v>23</v>
      </c>
      <c r="V21">
        <v>4.5</v>
      </c>
      <c r="W21">
        <v>2.9</v>
      </c>
      <c r="X21">
        <v>1.8</v>
      </c>
      <c r="Z21" t="s">
        <v>23</v>
      </c>
      <c r="AA21" s="4">
        <f t="shared" si="0"/>
        <v>4.16</v>
      </c>
      <c r="AB21" s="4">
        <f t="shared" si="1"/>
        <v>2.2800000000000002</v>
      </c>
      <c r="AC21" s="4">
        <v>0.3</v>
      </c>
      <c r="AD21">
        <v>0.4</v>
      </c>
      <c r="AE21" s="4">
        <f t="shared" si="2"/>
        <v>-0.54882166193509885</v>
      </c>
      <c r="AG21" t="s">
        <v>23</v>
      </c>
      <c r="AH21" s="4">
        <f>VLOOKUP(AG21,'Stripped Spread'!$C$18:$E$60,3,FALSE)</f>
        <v>-0.49266345738201095</v>
      </c>
      <c r="AR21" t="s">
        <v>77</v>
      </c>
      <c r="AS21" s="4">
        <f t="shared" si="3"/>
        <v>-0.39887038818233966</v>
      </c>
      <c r="AT21" s="4">
        <f t="shared" si="4"/>
        <v>0.16739140015649304</v>
      </c>
    </row>
    <row r="22" spans="1:46" x14ac:dyDescent="0.2">
      <c r="A22" t="s">
        <v>77</v>
      </c>
      <c r="F22" t="s">
        <v>77</v>
      </c>
      <c r="K22" t="s">
        <v>77</v>
      </c>
      <c r="P22" t="s">
        <v>77</v>
      </c>
      <c r="Q22">
        <v>1.8</v>
      </c>
      <c r="R22">
        <v>1.2</v>
      </c>
      <c r="S22">
        <v>2.1</v>
      </c>
      <c r="U22" t="s">
        <v>77</v>
      </c>
      <c r="V22">
        <v>1.7</v>
      </c>
      <c r="W22">
        <v>1.6</v>
      </c>
      <c r="X22">
        <v>1.5</v>
      </c>
      <c r="Z22" t="s">
        <v>77</v>
      </c>
      <c r="AA22" s="4">
        <f t="shared" si="0"/>
        <v>1.75</v>
      </c>
      <c r="AB22" s="4">
        <f t="shared" si="1"/>
        <v>1.4</v>
      </c>
      <c r="AC22" s="4">
        <v>0.9</v>
      </c>
      <c r="AD22">
        <v>0.8</v>
      </c>
      <c r="AE22" s="4">
        <f t="shared" si="2"/>
        <v>-0.39887038818233966</v>
      </c>
      <c r="AG22" t="s">
        <v>77</v>
      </c>
      <c r="AH22" s="4">
        <f>VLOOKUP(AG22,'Stripped Spread'!$C$18:$E$60,3,FALSE)</f>
        <v>0.16739140015649304</v>
      </c>
      <c r="AR22" t="s">
        <v>14</v>
      </c>
      <c r="AS22" s="4">
        <f t="shared" si="3"/>
        <v>-0.21143129599139057</v>
      </c>
      <c r="AT22" s="4">
        <f t="shared" si="4"/>
        <v>-0.24455989205539388</v>
      </c>
    </row>
    <row r="23" spans="1:46" x14ac:dyDescent="0.2">
      <c r="A23" t="s">
        <v>14</v>
      </c>
      <c r="B23">
        <v>2.4</v>
      </c>
      <c r="C23">
        <v>1.1000000000000001</v>
      </c>
      <c r="D23">
        <v>1.1000000000000001</v>
      </c>
      <c r="F23" t="s">
        <v>14</v>
      </c>
      <c r="G23">
        <v>2.2000000000000002</v>
      </c>
      <c r="H23">
        <v>1</v>
      </c>
      <c r="I23">
        <v>1.4</v>
      </c>
      <c r="K23" t="s">
        <v>14</v>
      </c>
      <c r="L23">
        <v>2.1</v>
      </c>
      <c r="M23">
        <v>0.9</v>
      </c>
      <c r="N23">
        <v>1.3</v>
      </c>
      <c r="P23" t="s">
        <v>14</v>
      </c>
      <c r="Q23">
        <v>2.1</v>
      </c>
      <c r="R23">
        <v>0.9</v>
      </c>
      <c r="S23">
        <v>1.3</v>
      </c>
      <c r="U23" t="s">
        <v>14</v>
      </c>
      <c r="V23">
        <v>2.1</v>
      </c>
      <c r="W23">
        <v>1</v>
      </c>
      <c r="X23">
        <v>1.1000000000000001</v>
      </c>
      <c r="Z23" t="s">
        <v>14</v>
      </c>
      <c r="AA23" s="4">
        <f t="shared" si="0"/>
        <v>2.1799999999999997</v>
      </c>
      <c r="AB23" s="4">
        <f t="shared" si="1"/>
        <v>0.98000000000000009</v>
      </c>
      <c r="AC23" s="4">
        <v>1.1000000000000001</v>
      </c>
      <c r="AD23">
        <v>1.3</v>
      </c>
      <c r="AE23" s="4">
        <f t="shared" si="2"/>
        <v>-0.21143129599139057</v>
      </c>
      <c r="AG23" t="s">
        <v>14</v>
      </c>
      <c r="AH23" s="4">
        <f>VLOOKUP(AG23,'Stripped Spread'!$C$18:$E$60,3,FALSE)</f>
        <v>-0.24455989205539388</v>
      </c>
      <c r="AR23" t="s">
        <v>58</v>
      </c>
      <c r="AS23" s="4">
        <f t="shared" si="3"/>
        <v>1.0631545309070634</v>
      </c>
      <c r="AT23" s="4">
        <f t="shared" si="4"/>
        <v>1.5328752249159792</v>
      </c>
    </row>
    <row r="24" spans="1:46" x14ac:dyDescent="0.2">
      <c r="A24" t="s">
        <v>58</v>
      </c>
      <c r="B24">
        <v>5.0999999999999996</v>
      </c>
      <c r="C24">
        <v>2.9</v>
      </c>
      <c r="D24">
        <v>3.6</v>
      </c>
      <c r="F24" t="s">
        <v>58</v>
      </c>
      <c r="G24">
        <v>5.5</v>
      </c>
      <c r="H24">
        <v>3.9</v>
      </c>
      <c r="I24">
        <v>3.6</v>
      </c>
      <c r="K24" t="s">
        <v>58</v>
      </c>
      <c r="L24">
        <v>5.7</v>
      </c>
      <c r="M24">
        <v>3.9</v>
      </c>
      <c r="N24">
        <v>4.7</v>
      </c>
      <c r="P24" t="s">
        <v>58</v>
      </c>
      <c r="Q24">
        <v>5.5</v>
      </c>
      <c r="R24">
        <v>3.5</v>
      </c>
      <c r="S24">
        <v>3.5</v>
      </c>
      <c r="U24" t="s">
        <v>58</v>
      </c>
      <c r="V24">
        <v>5.6</v>
      </c>
      <c r="W24">
        <v>3.8</v>
      </c>
      <c r="X24">
        <v>3.6</v>
      </c>
      <c r="Z24" t="s">
        <v>58</v>
      </c>
      <c r="AA24" s="4">
        <f t="shared" si="0"/>
        <v>5.4799999999999995</v>
      </c>
      <c r="AB24" s="4">
        <f t="shared" si="1"/>
        <v>3.6</v>
      </c>
      <c r="AC24" s="4">
        <v>4.2</v>
      </c>
      <c r="AD24">
        <v>4.7</v>
      </c>
      <c r="AE24" s="4">
        <f t="shared" si="2"/>
        <v>1.0631545309070634</v>
      </c>
      <c r="AG24" t="s">
        <v>58</v>
      </c>
      <c r="AH24" s="4">
        <f>VLOOKUP(AG24,'Stripped Spread'!$C$18:$E$60,3,FALSE)</f>
        <v>1.5328752249159792</v>
      </c>
      <c r="AR24" t="s">
        <v>72</v>
      </c>
      <c r="AS24" s="4">
        <f t="shared" si="3"/>
        <v>1.4005448968507714</v>
      </c>
      <c r="AT24" s="4">
        <f t="shared" si="4"/>
        <v>-0.34765727585037098</v>
      </c>
    </row>
    <row r="25" spans="1:46" x14ac:dyDescent="0.2">
      <c r="A25" t="s">
        <v>72</v>
      </c>
      <c r="F25" t="s">
        <v>72</v>
      </c>
      <c r="K25" t="s">
        <v>72</v>
      </c>
      <c r="P25" t="s">
        <v>72</v>
      </c>
      <c r="Q25">
        <v>6.8</v>
      </c>
      <c r="R25">
        <v>3.9</v>
      </c>
      <c r="S25">
        <v>4.3</v>
      </c>
      <c r="U25" t="s">
        <v>72</v>
      </c>
      <c r="V25">
        <v>5.6</v>
      </c>
      <c r="W25">
        <v>3.4</v>
      </c>
      <c r="X25">
        <v>4.3</v>
      </c>
      <c r="Z25" t="s">
        <v>72</v>
      </c>
      <c r="AA25" s="4">
        <f t="shared" si="0"/>
        <v>6.1999999999999993</v>
      </c>
      <c r="AB25" s="4">
        <f t="shared" si="1"/>
        <v>3.65</v>
      </c>
      <c r="AC25" s="4">
        <v>5.8</v>
      </c>
      <c r="AD25">
        <v>5.6</v>
      </c>
      <c r="AE25" s="4">
        <f t="shared" si="2"/>
        <v>1.4005448968507714</v>
      </c>
      <c r="AG25" t="s">
        <v>72</v>
      </c>
      <c r="AH25" s="4">
        <f>VLOOKUP(AG25,'Stripped Spread'!$C$18:$E$60,3,FALSE)</f>
        <v>-0.34765727585037098</v>
      </c>
      <c r="AR25" t="s">
        <v>12</v>
      </c>
      <c r="AS25" s="4">
        <f t="shared" si="3"/>
        <v>-1.2610902122607053</v>
      </c>
      <c r="AT25" s="4">
        <f t="shared" si="4"/>
        <v>2.7898082980863612</v>
      </c>
    </row>
    <row r="26" spans="1:46" x14ac:dyDescent="0.2">
      <c r="A26" t="s">
        <v>12</v>
      </c>
      <c r="B26">
        <v>0.1</v>
      </c>
      <c r="C26">
        <v>-0.6</v>
      </c>
      <c r="D26">
        <v>0.5</v>
      </c>
      <c r="F26" t="s">
        <v>12</v>
      </c>
      <c r="G26">
        <v>-0.6</v>
      </c>
      <c r="H26">
        <v>2.2999999999999998</v>
      </c>
      <c r="I26">
        <v>1.6</v>
      </c>
      <c r="K26" t="s">
        <v>12</v>
      </c>
      <c r="L26">
        <v>-0.3</v>
      </c>
      <c r="M26">
        <v>-1.2</v>
      </c>
      <c r="N26">
        <v>-0.8</v>
      </c>
      <c r="P26" t="s">
        <v>12</v>
      </c>
      <c r="U26" t="s">
        <v>12</v>
      </c>
      <c r="V26">
        <v>-0.3</v>
      </c>
      <c r="W26">
        <v>-0.5</v>
      </c>
      <c r="X26">
        <v>-0.6</v>
      </c>
      <c r="Z26" t="s">
        <v>12</v>
      </c>
      <c r="AA26" s="4">
        <f t="shared" si="0"/>
        <v>-0.27500000000000002</v>
      </c>
      <c r="AB26" s="4">
        <f t="shared" si="1"/>
        <v>0</v>
      </c>
      <c r="AC26" s="4">
        <v>-1.6</v>
      </c>
      <c r="AD26">
        <v>-1.5</v>
      </c>
      <c r="AE26" s="4">
        <f t="shared" si="2"/>
        <v>-1.2610902122607053</v>
      </c>
      <c r="AG26" t="s">
        <v>12</v>
      </c>
      <c r="AH26" s="4">
        <f>VLOOKUP(AG26,'Stripped Spread'!$C$18:$E$60,3,FALSE)</f>
        <v>2.7898082980863612</v>
      </c>
      <c r="AS26" s="4"/>
      <c r="AT26" s="4"/>
    </row>
    <row r="27" spans="1:46" x14ac:dyDescent="0.2">
      <c r="A27" t="s">
        <v>64</v>
      </c>
      <c r="F27" t="s">
        <v>64</v>
      </c>
      <c r="G27">
        <v>9.4</v>
      </c>
      <c r="H27">
        <v>8.8000000000000007</v>
      </c>
      <c r="I27">
        <v>8.6</v>
      </c>
      <c r="K27" t="s">
        <v>64</v>
      </c>
      <c r="L27">
        <v>14</v>
      </c>
      <c r="M27">
        <v>12.9</v>
      </c>
      <c r="N27">
        <v>12</v>
      </c>
      <c r="P27" t="s">
        <v>64</v>
      </c>
      <c r="Q27">
        <v>14.4</v>
      </c>
      <c r="R27">
        <v>9.8000000000000007</v>
      </c>
      <c r="S27">
        <v>10</v>
      </c>
      <c r="U27" t="s">
        <v>64</v>
      </c>
      <c r="V27">
        <v>13.1</v>
      </c>
      <c r="W27">
        <v>9.1999999999999993</v>
      </c>
      <c r="X27">
        <v>5.5</v>
      </c>
      <c r="Z27" t="s">
        <v>64</v>
      </c>
      <c r="AA27" s="4">
        <f t="shared" si="0"/>
        <v>12.725</v>
      </c>
      <c r="AB27" s="4">
        <f t="shared" si="1"/>
        <v>10.175000000000001</v>
      </c>
      <c r="AC27" s="4">
        <v>7.1</v>
      </c>
      <c r="AD27">
        <v>6.9</v>
      </c>
      <c r="AE27" s="4">
        <f t="shared" si="2"/>
        <v>1.8878865365472393</v>
      </c>
      <c r="AG27" t="s">
        <v>64</v>
      </c>
      <c r="AH27" s="4">
        <f>VLOOKUP(AG27,'Stripped Spread'!$C$18:$E$60,3,FALSE)</f>
        <v>0.45654469091159733</v>
      </c>
      <c r="AS27" s="4"/>
      <c r="AT27" s="4"/>
    </row>
    <row r="28" spans="1:46" x14ac:dyDescent="0.2">
      <c r="AC28" s="4"/>
      <c r="AH28" s="4"/>
    </row>
    <row r="29" spans="1:46" x14ac:dyDescent="0.2">
      <c r="A29" t="s">
        <v>144</v>
      </c>
      <c r="B29">
        <v>1.5</v>
      </c>
      <c r="C29">
        <v>1.1000000000000001</v>
      </c>
      <c r="D29">
        <v>1.3</v>
      </c>
      <c r="F29" t="s">
        <v>144</v>
      </c>
      <c r="K29" t="s">
        <v>144</v>
      </c>
      <c r="P29" t="s">
        <v>144</v>
      </c>
      <c r="U29" t="s">
        <v>144</v>
      </c>
      <c r="Z29" t="s">
        <v>144</v>
      </c>
      <c r="AA29" s="4">
        <v>2.4991666666666665</v>
      </c>
      <c r="AB29" s="4">
        <v>2.3191666666666668</v>
      </c>
      <c r="AC29" s="4">
        <v>2.3108333333333335</v>
      </c>
      <c r="AH29" s="4"/>
    </row>
    <row r="30" spans="1:46" x14ac:dyDescent="0.2">
      <c r="A30" t="s">
        <v>124</v>
      </c>
      <c r="B30">
        <v>2.2999999999999998</v>
      </c>
      <c r="C30">
        <v>1.5</v>
      </c>
      <c r="D30">
        <v>1.6</v>
      </c>
      <c r="F30" t="s">
        <v>124</v>
      </c>
      <c r="K30" t="s">
        <v>124</v>
      </c>
      <c r="P30" t="s">
        <v>124</v>
      </c>
      <c r="U30" t="s">
        <v>124</v>
      </c>
      <c r="Z30" t="s">
        <v>124</v>
      </c>
      <c r="AA30" s="4">
        <v>3.8127777777777774</v>
      </c>
      <c r="AB30" s="4">
        <v>2.2396296296296301</v>
      </c>
      <c r="AC30" s="4">
        <v>2.2987037037037035</v>
      </c>
      <c r="AH30" s="4"/>
    </row>
    <row r="31" spans="1:46" x14ac:dyDescent="0.2">
      <c r="A31" t="s">
        <v>169</v>
      </c>
      <c r="B31">
        <v>2.7</v>
      </c>
      <c r="C31">
        <v>1.6</v>
      </c>
      <c r="D31">
        <v>1.9</v>
      </c>
      <c r="F31" t="s">
        <v>169</v>
      </c>
      <c r="K31" t="s">
        <v>169</v>
      </c>
      <c r="P31" t="s">
        <v>169</v>
      </c>
      <c r="U31" t="s">
        <v>169</v>
      </c>
      <c r="Z31" t="s">
        <v>169</v>
      </c>
      <c r="AA31" s="4">
        <v>3.9624999999999999</v>
      </c>
      <c r="AB31" s="4">
        <v>2.4436666666666662</v>
      </c>
      <c r="AC31" s="4">
        <v>2.8321666666666667</v>
      </c>
      <c r="AH31" s="4"/>
    </row>
    <row r="32" spans="1:46" x14ac:dyDescent="0.2">
      <c r="AH32" s="4"/>
    </row>
    <row r="33" spans="1:34" x14ac:dyDescent="0.2">
      <c r="A33" t="s">
        <v>68</v>
      </c>
      <c r="F33" t="s">
        <v>68</v>
      </c>
      <c r="K33" t="s">
        <v>68</v>
      </c>
      <c r="P33" t="s">
        <v>68</v>
      </c>
      <c r="U33" t="s">
        <v>68</v>
      </c>
      <c r="Z33" t="s">
        <v>68</v>
      </c>
      <c r="AA33" s="4">
        <v>3.5573999999999995</v>
      </c>
      <c r="AB33" s="4">
        <v>2.340333333333334</v>
      </c>
      <c r="AC33" s="4">
        <f>AVERAGE(AC3:AC27)</f>
        <v>1.9600000000000002</v>
      </c>
      <c r="AD33" s="4">
        <f>AVERAGE(AD3:AD27)</f>
        <v>1.8640000000000001</v>
      </c>
      <c r="AH33" s="4"/>
    </row>
    <row r="34" spans="1:34" x14ac:dyDescent="0.2">
      <c r="AC34" s="4">
        <f>STDEV(AC3:AC27)</f>
        <v>2.4571324750611225</v>
      </c>
      <c r="AD34" s="4">
        <f>STDEV(AD3:AD27)</f>
        <v>2.6675331925457524</v>
      </c>
      <c r="AH34" s="4"/>
    </row>
    <row r="35" spans="1:34" x14ac:dyDescent="0.2">
      <c r="AH35" s="4"/>
    </row>
    <row r="36" spans="1:34" x14ac:dyDescent="0.2">
      <c r="AH36" s="4"/>
    </row>
    <row r="37" spans="1:34" ht="13.5" thickBot="1" x14ac:dyDescent="0.25">
      <c r="AH37" s="4"/>
    </row>
    <row r="38" spans="1:34" x14ac:dyDescent="0.2">
      <c r="AD38" s="53" t="s">
        <v>709</v>
      </c>
      <c r="AE38" s="54">
        <f>LINEST(AT3:AT25,AS3:AS25,TRUE,FALSE)</f>
        <v>-0.23087278260713512</v>
      </c>
      <c r="AH38" s="4"/>
    </row>
    <row r="39" spans="1:34" ht="13.5" thickBot="1" x14ac:dyDescent="0.25">
      <c r="AD39" s="55" t="s">
        <v>315</v>
      </c>
      <c r="AE39" s="56">
        <f>INTERCEPT(AT3:AT25,AS3:AS25)</f>
        <v>0.15922802053366852</v>
      </c>
      <c r="AH39" s="4"/>
    </row>
    <row r="40" spans="1:34" x14ac:dyDescent="0.2">
      <c r="AH40" s="4"/>
    </row>
    <row r="41" spans="1:34" x14ac:dyDescent="0.2">
      <c r="AH41" s="4"/>
    </row>
  </sheetData>
  <phoneticPr fontId="3" type="noConversion"/>
  <pageMargins left="0.75" right="0.75" top="1" bottom="1" header="0.5" footer="0.5"/>
  <pageSetup scale="35" orientation="landscape"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2:BK62"/>
  <sheetViews>
    <sheetView workbookViewId="0">
      <pane xSplit="1" topLeftCell="AX1" activePane="topRight" state="frozen"/>
      <selection pane="topRight" activeCell="BK4" sqref="BK4"/>
    </sheetView>
  </sheetViews>
  <sheetFormatPr defaultRowHeight="12.75" x14ac:dyDescent="0.2"/>
  <cols>
    <col min="1" max="1" width="24.28515625" bestFit="1" customWidth="1"/>
    <col min="6" max="6" width="15.140625" customWidth="1"/>
    <col min="8" max="8" width="15.5703125" customWidth="1"/>
    <col min="14" max="14" width="19.7109375" customWidth="1"/>
    <col min="22" max="22" width="17.7109375" customWidth="1"/>
    <col min="30" max="30" width="15.42578125" customWidth="1"/>
    <col min="37" max="37" width="20.28515625" customWidth="1"/>
    <col min="43" max="43" width="11.140625" bestFit="1" customWidth="1"/>
    <col min="49" max="49" width="13.5703125" customWidth="1"/>
    <col min="61" max="61" width="15.5703125" customWidth="1"/>
    <col min="62" max="62" width="15.42578125" customWidth="1"/>
    <col min="63" max="63" width="9.140625" customWidth="1"/>
  </cols>
  <sheetData>
    <row r="2" spans="1:63" x14ac:dyDescent="0.2">
      <c r="A2" s="5" t="s">
        <v>31</v>
      </c>
      <c r="H2" s="5" t="s">
        <v>80</v>
      </c>
      <c r="N2" s="5" t="s">
        <v>93</v>
      </c>
      <c r="V2" s="5" t="s">
        <v>111</v>
      </c>
      <c r="AE2" s="5" t="s">
        <v>118</v>
      </c>
      <c r="AF2" s="3"/>
      <c r="AK2" s="1" t="s">
        <v>118</v>
      </c>
      <c r="AR2" s="10" t="s">
        <v>167</v>
      </c>
      <c r="AS2" s="10"/>
    </row>
    <row r="3" spans="1:63" x14ac:dyDescent="0.2">
      <c r="B3">
        <v>2007</v>
      </c>
      <c r="C3">
        <v>2008</v>
      </c>
      <c r="D3">
        <v>2009</v>
      </c>
      <c r="E3" s="5">
        <v>2010</v>
      </c>
      <c r="I3">
        <v>2008</v>
      </c>
      <c r="J3">
        <v>2009</v>
      </c>
      <c r="K3" s="5">
        <v>2010</v>
      </c>
      <c r="O3">
        <v>2006</v>
      </c>
      <c r="P3">
        <v>2007</v>
      </c>
      <c r="Q3">
        <v>2008</v>
      </c>
      <c r="R3">
        <v>2009</v>
      </c>
      <c r="S3" s="5">
        <v>2010</v>
      </c>
      <c r="W3">
        <v>2006</v>
      </c>
      <c r="X3">
        <v>2007</v>
      </c>
      <c r="Y3">
        <v>2008</v>
      </c>
      <c r="Z3">
        <v>2009</v>
      </c>
      <c r="AA3" s="5">
        <v>2010</v>
      </c>
      <c r="AE3">
        <v>2007</v>
      </c>
      <c r="AF3">
        <v>2008</v>
      </c>
      <c r="AG3" t="s">
        <v>112</v>
      </c>
      <c r="AH3" s="5" t="s">
        <v>113</v>
      </c>
      <c r="AL3">
        <v>2007</v>
      </c>
      <c r="AM3">
        <v>2008</v>
      </c>
      <c r="AN3" t="s">
        <v>136</v>
      </c>
      <c r="AO3" t="s">
        <v>137</v>
      </c>
      <c r="AR3" s="1">
        <v>2008</v>
      </c>
      <c r="AS3" s="1">
        <v>2009</v>
      </c>
      <c r="AT3" s="10">
        <v>2010</v>
      </c>
      <c r="AU3" s="10">
        <v>2011</v>
      </c>
      <c r="AV3" s="10">
        <v>2012</v>
      </c>
      <c r="AX3" s="6" t="s">
        <v>333</v>
      </c>
      <c r="BA3" t="str">
        <f>Inflation!$AY$3</f>
        <v>Stripped Spread Z stat</v>
      </c>
      <c r="BI3" s="6" t="s">
        <v>326</v>
      </c>
      <c r="BJ3" s="6" t="s">
        <v>327</v>
      </c>
      <c r="BK3" t="str">
        <f>Inflation!$AY$3</f>
        <v>Stripped Spread Z stat</v>
      </c>
    </row>
    <row r="4" spans="1:63" x14ac:dyDescent="0.2">
      <c r="A4" t="s">
        <v>10</v>
      </c>
      <c r="B4">
        <v>2.7</v>
      </c>
      <c r="C4">
        <v>2.2000000000000002</v>
      </c>
      <c r="D4">
        <v>2.4</v>
      </c>
      <c r="E4">
        <v>1.5</v>
      </c>
      <c r="F4" t="s">
        <v>141</v>
      </c>
      <c r="H4" t="s">
        <v>10</v>
      </c>
      <c r="I4">
        <v>2.1</v>
      </c>
      <c r="J4">
        <v>3.4</v>
      </c>
      <c r="K4">
        <v>4</v>
      </c>
      <c r="L4" t="s">
        <v>141</v>
      </c>
      <c r="N4" t="s">
        <v>10</v>
      </c>
      <c r="O4">
        <v>3.6</v>
      </c>
      <c r="P4">
        <v>2.7</v>
      </c>
      <c r="Q4">
        <v>2.2999999999999998</v>
      </c>
      <c r="R4">
        <v>1.1000000000000001</v>
      </c>
      <c r="S4">
        <v>2.8</v>
      </c>
      <c r="T4" t="s">
        <v>141</v>
      </c>
      <c r="V4" t="s">
        <v>10</v>
      </c>
      <c r="W4">
        <v>3.8</v>
      </c>
      <c r="X4">
        <v>2.8</v>
      </c>
      <c r="Y4">
        <v>2.5</v>
      </c>
      <c r="Z4">
        <v>2.8</v>
      </c>
      <c r="AA4">
        <v>2.7</v>
      </c>
      <c r="AB4" t="s">
        <v>141</v>
      </c>
      <c r="AD4" t="s">
        <v>10</v>
      </c>
      <c r="AE4">
        <v>2.7</v>
      </c>
      <c r="AF4">
        <v>2.4</v>
      </c>
      <c r="AG4">
        <v>3.2</v>
      </c>
      <c r="AH4">
        <v>2.1</v>
      </c>
      <c r="AI4" t="s">
        <v>141</v>
      </c>
      <c r="AK4" t="s">
        <v>10</v>
      </c>
      <c r="AL4">
        <v>2.7</v>
      </c>
      <c r="AM4">
        <v>2.4</v>
      </c>
      <c r="AN4">
        <v>3</v>
      </c>
      <c r="AO4">
        <v>0.8</v>
      </c>
      <c r="AP4" t="s">
        <v>141</v>
      </c>
      <c r="AQ4" t="s">
        <v>10</v>
      </c>
      <c r="AR4" s="4">
        <v>1.32</v>
      </c>
      <c r="AS4" s="4">
        <v>1.758</v>
      </c>
      <c r="AT4" s="4">
        <v>0.88700000000000001</v>
      </c>
      <c r="AU4" s="4">
        <v>0.114</v>
      </c>
      <c r="AV4" s="4">
        <v>-0.505</v>
      </c>
      <c r="AW4" t="str">
        <f>A4</f>
        <v>Argentina</v>
      </c>
      <c r="AX4" s="7">
        <f>(AU4-AU$34)/AU$35</f>
        <v>0.14426886920628698</v>
      </c>
      <c r="AZ4" t="s">
        <v>10</v>
      </c>
      <c r="BA4" s="4">
        <f>VLOOKUP(AZ4,'Stripped Spread'!$C$18:$E$60,3,0)</f>
        <v>1.4255405250063531</v>
      </c>
      <c r="BI4" t="s">
        <v>10</v>
      </c>
      <c r="BJ4" s="7">
        <f>VLOOKUP(BI4,$AW$4:$AX$28,2,FALSE)</f>
        <v>0.14426886920628698</v>
      </c>
      <c r="BK4" s="4">
        <f>VLOOKUP(BI4,$AZ$4:$BA$28,2,FALSE)</f>
        <v>1.4255405250063531</v>
      </c>
    </row>
    <row r="5" spans="1:63" x14ac:dyDescent="0.2">
      <c r="A5" t="s">
        <v>9</v>
      </c>
      <c r="B5">
        <v>0.1</v>
      </c>
      <c r="C5">
        <v>-1.8</v>
      </c>
      <c r="D5">
        <v>-1.5</v>
      </c>
      <c r="E5">
        <v>-2.7</v>
      </c>
      <c r="F5" t="s">
        <v>141</v>
      </c>
      <c r="H5" t="s">
        <v>9</v>
      </c>
      <c r="I5">
        <v>-1.8</v>
      </c>
      <c r="J5">
        <v>-1.1000000000000001</v>
      </c>
      <c r="K5">
        <v>-2.2000000000000002</v>
      </c>
      <c r="L5" t="s">
        <v>141</v>
      </c>
      <c r="N5" t="s">
        <v>9</v>
      </c>
      <c r="O5">
        <v>1.3</v>
      </c>
      <c r="P5">
        <v>0.1</v>
      </c>
      <c r="Q5">
        <v>-1.8</v>
      </c>
      <c r="R5">
        <v>-0.9</v>
      </c>
      <c r="S5">
        <v>-2.7</v>
      </c>
      <c r="T5" t="s">
        <v>141</v>
      </c>
      <c r="V5" t="s">
        <v>9</v>
      </c>
      <c r="W5">
        <v>1.3</v>
      </c>
      <c r="X5">
        <v>0.3</v>
      </c>
      <c r="Y5">
        <v>-1.8</v>
      </c>
      <c r="Z5">
        <v>-0.7</v>
      </c>
      <c r="AA5">
        <v>-2.5</v>
      </c>
      <c r="AB5" t="s">
        <v>141</v>
      </c>
      <c r="AD5" t="s">
        <v>9</v>
      </c>
      <c r="AE5">
        <v>0.1</v>
      </c>
      <c r="AF5">
        <v>-1.8</v>
      </c>
      <c r="AG5">
        <v>-1.1000000000000001</v>
      </c>
      <c r="AH5">
        <v>-2.2000000000000002</v>
      </c>
      <c r="AI5" t="s">
        <v>141</v>
      </c>
      <c r="AK5" t="s">
        <v>9</v>
      </c>
      <c r="AL5">
        <v>0.1</v>
      </c>
      <c r="AM5">
        <v>-1.8</v>
      </c>
      <c r="AN5">
        <v>-1.1000000000000001</v>
      </c>
      <c r="AO5">
        <v>-1.8</v>
      </c>
      <c r="AP5" t="s">
        <v>141</v>
      </c>
      <c r="AQ5" t="s">
        <v>9</v>
      </c>
      <c r="AR5" s="4">
        <v>-1.7030000000000001</v>
      </c>
      <c r="AS5" s="4">
        <v>-1.518</v>
      </c>
      <c r="AT5" s="4">
        <v>-2.2730000000000001</v>
      </c>
      <c r="AU5" s="4">
        <v>-2.585</v>
      </c>
      <c r="AV5" s="4">
        <v>-2.9540000000000002</v>
      </c>
      <c r="AW5" t="str">
        <f t="shared" ref="AW5:AW34" si="0">A5</f>
        <v>Brazil</v>
      </c>
      <c r="AX5" s="7">
        <f t="shared" ref="AX5:AX28" si="1">(AU5-AU$34)/AU$35</f>
        <v>-0.38619497198461339</v>
      </c>
      <c r="AZ5" t="s">
        <v>9</v>
      </c>
      <c r="BA5" s="4">
        <f>VLOOKUP(AZ5,'Stripped Spread'!$C$18:$E$60,3,0)</f>
        <v>-0.49043451301485325</v>
      </c>
      <c r="BI5" t="s">
        <v>9</v>
      </c>
      <c r="BJ5" s="7">
        <f t="shared" ref="BJ5:BJ25" si="2">VLOOKUP(BI5,$AW$4:$AX$28,2,FALSE)</f>
        <v>-0.38619497198461339</v>
      </c>
      <c r="BK5" s="4">
        <f t="shared" ref="BK5:BK25" si="3">VLOOKUP(BI5,$AZ$4:$BA$28,2,FALSE)</f>
        <v>-0.49043451301485325</v>
      </c>
    </row>
    <row r="6" spans="1:63" x14ac:dyDescent="0.2">
      <c r="A6" t="s">
        <v>36</v>
      </c>
      <c r="B6">
        <v>4.4000000000000004</v>
      </c>
      <c r="C6">
        <v>-2</v>
      </c>
      <c r="D6">
        <v>2.2000000000000002</v>
      </c>
      <c r="E6">
        <v>2.8</v>
      </c>
      <c r="F6" t="s">
        <v>141</v>
      </c>
      <c r="H6" t="s">
        <v>36</v>
      </c>
      <c r="I6">
        <v>-2</v>
      </c>
      <c r="J6">
        <v>-0.1</v>
      </c>
      <c r="K6">
        <v>0.7</v>
      </c>
      <c r="L6" t="s">
        <v>141</v>
      </c>
      <c r="N6" t="s">
        <v>36</v>
      </c>
      <c r="O6">
        <v>4.9000000000000004</v>
      </c>
      <c r="P6">
        <v>4.4000000000000004</v>
      </c>
      <c r="Q6">
        <v>-2</v>
      </c>
      <c r="R6">
        <v>1.8</v>
      </c>
      <c r="S6">
        <v>0.7</v>
      </c>
      <c r="T6" t="s">
        <v>141</v>
      </c>
      <c r="V6" t="s">
        <v>36</v>
      </c>
      <c r="W6">
        <v>4.7</v>
      </c>
      <c r="X6">
        <v>4.4000000000000004</v>
      </c>
      <c r="Y6">
        <v>-2</v>
      </c>
      <c r="Z6">
        <v>0.8</v>
      </c>
      <c r="AA6">
        <v>0.1</v>
      </c>
      <c r="AB6" t="s">
        <v>141</v>
      </c>
      <c r="AD6" t="s">
        <v>36</v>
      </c>
      <c r="AE6">
        <v>4.4000000000000004</v>
      </c>
      <c r="AF6">
        <v>-2</v>
      </c>
      <c r="AG6">
        <v>0.5</v>
      </c>
      <c r="AH6">
        <v>-2.7</v>
      </c>
      <c r="AI6" t="s">
        <v>141</v>
      </c>
      <c r="AK6" t="s">
        <v>36</v>
      </c>
      <c r="AL6">
        <v>4.4000000000000004</v>
      </c>
      <c r="AM6">
        <v>-2</v>
      </c>
      <c r="AN6">
        <v>-0.4</v>
      </c>
      <c r="AO6">
        <v>-2</v>
      </c>
      <c r="AP6" t="s">
        <v>141</v>
      </c>
      <c r="AQ6" t="s">
        <v>36</v>
      </c>
      <c r="AR6" s="4">
        <v>-1.9370000000000001</v>
      </c>
      <c r="AS6" s="4">
        <v>1.595</v>
      </c>
      <c r="AT6" s="4">
        <v>1.87</v>
      </c>
      <c r="AU6" s="4">
        <v>0.52800000000000002</v>
      </c>
      <c r="AV6" s="4">
        <v>-1.33</v>
      </c>
      <c r="AW6" t="str">
        <f t="shared" si="0"/>
        <v>Chile</v>
      </c>
      <c r="AX6" s="7">
        <f t="shared" si="1"/>
        <v>0.22563679445750329</v>
      </c>
      <c r="AZ6" t="s">
        <v>36</v>
      </c>
      <c r="BA6" s="4">
        <f>VLOOKUP(AZ6,'Stripped Spread'!$C$18:$E$60,3,0)</f>
        <v>-0.6767951584626779</v>
      </c>
      <c r="BI6" t="s">
        <v>36</v>
      </c>
      <c r="BJ6" s="7">
        <f t="shared" si="2"/>
        <v>0.22563679445750329</v>
      </c>
      <c r="BK6" s="4">
        <f t="shared" si="3"/>
        <v>-0.6767951584626779</v>
      </c>
    </row>
    <row r="7" spans="1:63" x14ac:dyDescent="0.2">
      <c r="A7" t="s">
        <v>0</v>
      </c>
      <c r="B7">
        <v>11</v>
      </c>
      <c r="C7">
        <v>9.8000000000000007</v>
      </c>
      <c r="D7">
        <v>6.4</v>
      </c>
      <c r="E7">
        <v>5.5</v>
      </c>
      <c r="F7" t="s">
        <v>141</v>
      </c>
      <c r="H7" t="s">
        <v>0</v>
      </c>
      <c r="I7">
        <v>9.6</v>
      </c>
      <c r="J7">
        <v>6.7</v>
      </c>
      <c r="K7">
        <v>5.4</v>
      </c>
      <c r="L7" t="s">
        <v>141</v>
      </c>
      <c r="N7" t="s">
        <v>0</v>
      </c>
      <c r="O7">
        <v>9</v>
      </c>
      <c r="P7">
        <v>10.7</v>
      </c>
      <c r="Q7">
        <v>9.6</v>
      </c>
      <c r="R7">
        <v>5.8</v>
      </c>
      <c r="S7">
        <v>4.9000000000000004</v>
      </c>
      <c r="T7" t="s">
        <v>141</v>
      </c>
      <c r="V7" t="s">
        <v>0</v>
      </c>
      <c r="W7">
        <v>9</v>
      </c>
      <c r="X7">
        <v>11.3</v>
      </c>
      <c r="Y7">
        <v>9.1</v>
      </c>
      <c r="Z7">
        <v>5.8</v>
      </c>
      <c r="AA7">
        <v>5.2</v>
      </c>
      <c r="AB7" t="s">
        <v>141</v>
      </c>
      <c r="AD7" t="s">
        <v>0</v>
      </c>
      <c r="AE7">
        <v>11</v>
      </c>
      <c r="AF7">
        <v>8.6</v>
      </c>
      <c r="AG7">
        <v>5.0999999999999996</v>
      </c>
      <c r="AH7">
        <v>4.3</v>
      </c>
      <c r="AI7" t="s">
        <v>141</v>
      </c>
      <c r="AK7" t="s">
        <v>0</v>
      </c>
      <c r="AL7">
        <v>11</v>
      </c>
      <c r="AM7">
        <v>8.6</v>
      </c>
      <c r="AN7">
        <v>5.0999999999999996</v>
      </c>
      <c r="AO7">
        <v>4.4000000000000004</v>
      </c>
      <c r="AP7" t="s">
        <v>141</v>
      </c>
      <c r="AQ7" t="s">
        <v>0</v>
      </c>
      <c r="AR7" s="4">
        <v>9.6489999999999991</v>
      </c>
      <c r="AS7" s="4">
        <v>5.9539999999999997</v>
      </c>
      <c r="AT7" s="4">
        <v>5.2089999999999996</v>
      </c>
      <c r="AU7" s="4">
        <v>5.7130000000000001</v>
      </c>
      <c r="AV7" s="4">
        <v>6.3049999999999997</v>
      </c>
      <c r="AW7" t="str">
        <f t="shared" si="0"/>
        <v>China</v>
      </c>
      <c r="AX7" s="7">
        <f t="shared" si="1"/>
        <v>1.2447012689202002</v>
      </c>
      <c r="AZ7" t="s">
        <v>0</v>
      </c>
      <c r="BA7" s="4">
        <f>VLOOKUP(AZ7,'Stripped Spread'!$C$18:$E$60,3,0)</f>
        <v>-0.36041566053529961</v>
      </c>
      <c r="BI7" t="s">
        <v>0</v>
      </c>
      <c r="BJ7" s="7">
        <f t="shared" si="2"/>
        <v>1.2447012689202002</v>
      </c>
      <c r="BK7" s="4">
        <f t="shared" si="3"/>
        <v>-0.36041566053529961</v>
      </c>
    </row>
    <row r="8" spans="1:63" x14ac:dyDescent="0.2">
      <c r="A8" t="s">
        <v>37</v>
      </c>
      <c r="B8">
        <v>-2.8</v>
      </c>
      <c r="C8">
        <v>-2.8</v>
      </c>
      <c r="D8">
        <v>-1.8</v>
      </c>
      <c r="E8">
        <v>-1.8</v>
      </c>
      <c r="F8" t="s">
        <v>141</v>
      </c>
      <c r="H8" t="s">
        <v>37</v>
      </c>
      <c r="I8">
        <v>-2.8</v>
      </c>
      <c r="J8">
        <v>-2.2999999999999998</v>
      </c>
      <c r="K8">
        <v>-2.2999999999999998</v>
      </c>
      <c r="L8" t="s">
        <v>141</v>
      </c>
      <c r="N8" t="s">
        <v>37</v>
      </c>
      <c r="O8">
        <v>-1.8</v>
      </c>
      <c r="P8">
        <v>-2.8</v>
      </c>
      <c r="Q8">
        <v>-2.8</v>
      </c>
      <c r="R8">
        <v>-3.1</v>
      </c>
      <c r="S8">
        <v>-1.7</v>
      </c>
      <c r="T8" t="s">
        <v>141</v>
      </c>
      <c r="V8" t="s">
        <v>37</v>
      </c>
      <c r="W8">
        <v>-1.8</v>
      </c>
      <c r="X8">
        <v>-2.8</v>
      </c>
      <c r="Y8">
        <v>-2.8</v>
      </c>
      <c r="Z8">
        <v>-4.0999999999999996</v>
      </c>
      <c r="AA8">
        <v>-2.2000000000000002</v>
      </c>
      <c r="AB8" t="s">
        <v>141</v>
      </c>
      <c r="AD8" t="s">
        <v>37</v>
      </c>
      <c r="AE8">
        <v>-2.9</v>
      </c>
      <c r="AF8">
        <v>-2.8</v>
      </c>
      <c r="AG8">
        <v>-2.2000000000000002</v>
      </c>
      <c r="AH8">
        <v>-2.2000000000000002</v>
      </c>
      <c r="AI8" t="s">
        <v>141</v>
      </c>
      <c r="AK8" t="s">
        <v>43</v>
      </c>
      <c r="AL8">
        <v>-6.6</v>
      </c>
      <c r="AM8">
        <v>-9</v>
      </c>
      <c r="AN8">
        <v>-4.8</v>
      </c>
      <c r="AO8">
        <v>-5</v>
      </c>
      <c r="AP8" t="s">
        <v>141</v>
      </c>
      <c r="AQ8" t="s">
        <v>37</v>
      </c>
      <c r="AR8" s="4">
        <v>-2.952</v>
      </c>
      <c r="AS8" s="4">
        <v>-2.157</v>
      </c>
      <c r="AT8" s="4">
        <v>-3.105</v>
      </c>
      <c r="AU8" s="4">
        <v>-2.0920000000000001</v>
      </c>
      <c r="AV8" s="4">
        <v>-2.1709999999999998</v>
      </c>
      <c r="AW8" t="str">
        <f t="shared" si="0"/>
        <v>Colombia</v>
      </c>
      <c r="AX8" s="7">
        <f t="shared" si="1"/>
        <v>-0.28930031703570125</v>
      </c>
      <c r="AZ8" t="s">
        <v>37</v>
      </c>
      <c r="BA8" s="4">
        <f>VLOOKUP(AZ8,'Stripped Spread'!$C$18:$E$60,3,0)</f>
        <v>-0.58302567466255073</v>
      </c>
      <c r="BI8" t="s">
        <v>37</v>
      </c>
      <c r="BJ8" s="7">
        <f t="shared" si="2"/>
        <v>-0.28930031703570125</v>
      </c>
      <c r="BK8" s="4">
        <f t="shared" si="3"/>
        <v>-0.58302567466255073</v>
      </c>
    </row>
    <row r="9" spans="1:63" x14ac:dyDescent="0.2">
      <c r="A9" t="s">
        <v>39</v>
      </c>
      <c r="B9">
        <v>3.6</v>
      </c>
      <c r="C9">
        <v>2.2999999999999998</v>
      </c>
      <c r="D9">
        <v>0.1</v>
      </c>
      <c r="E9">
        <v>0.7</v>
      </c>
      <c r="F9" t="s">
        <v>141</v>
      </c>
      <c r="H9" t="s">
        <v>39</v>
      </c>
      <c r="I9">
        <v>2.2999999999999998</v>
      </c>
      <c r="J9">
        <v>-4.5999999999999996</v>
      </c>
      <c r="K9">
        <v>-12</v>
      </c>
      <c r="L9" t="s">
        <v>141</v>
      </c>
      <c r="N9" t="s">
        <v>39</v>
      </c>
      <c r="O9">
        <v>3.9</v>
      </c>
      <c r="P9">
        <v>3.6</v>
      </c>
      <c r="Q9">
        <v>2.2000000000000002</v>
      </c>
      <c r="R9">
        <v>-0.6</v>
      </c>
      <c r="S9">
        <v>0.6</v>
      </c>
      <c r="T9" t="s">
        <v>141</v>
      </c>
      <c r="V9" t="s">
        <v>39</v>
      </c>
      <c r="AB9" t="s">
        <v>141</v>
      </c>
      <c r="AD9" t="s">
        <v>39</v>
      </c>
      <c r="AG9">
        <v>-3.2</v>
      </c>
      <c r="AH9">
        <v>-0.2</v>
      </c>
      <c r="AI9" t="s">
        <v>141</v>
      </c>
      <c r="AK9" t="s">
        <v>2</v>
      </c>
      <c r="AL9">
        <v>2.4</v>
      </c>
      <c r="AM9">
        <v>0.1</v>
      </c>
      <c r="AN9">
        <v>0.6</v>
      </c>
      <c r="AO9">
        <v>-0.3</v>
      </c>
      <c r="AP9" t="s">
        <v>141</v>
      </c>
      <c r="AQ9" t="s">
        <v>39</v>
      </c>
      <c r="AR9" s="4">
        <v>2.2229999999999999</v>
      </c>
      <c r="AS9" s="4">
        <v>-0.71</v>
      </c>
      <c r="AT9" s="4">
        <v>-4.3630000000000004</v>
      </c>
      <c r="AU9" s="34">
        <v>-4.0419999999999998</v>
      </c>
      <c r="AV9" s="34">
        <v>-3.9870000000000001</v>
      </c>
      <c r="AW9" t="str">
        <f t="shared" si="0"/>
        <v>Ecuador</v>
      </c>
      <c r="AX9" s="7">
        <f t="shared" si="1"/>
        <v>-0.67255503742186484</v>
      </c>
      <c r="AZ9" t="s">
        <v>39</v>
      </c>
      <c r="BA9" s="4">
        <f>VLOOKUP(AZ9,'Stripped Spread'!$C$18:$E$60,3,0)</f>
        <v>1.4223422220211868</v>
      </c>
      <c r="BI9" t="s">
        <v>39</v>
      </c>
      <c r="BJ9" s="7">
        <f t="shared" si="2"/>
        <v>-0.67255503742186484</v>
      </c>
      <c r="BK9" s="4">
        <f t="shared" si="3"/>
        <v>1.4223422220211868</v>
      </c>
    </row>
    <row r="10" spans="1:63" x14ac:dyDescent="0.2">
      <c r="A10" t="s">
        <v>65</v>
      </c>
      <c r="B10">
        <v>1.7</v>
      </c>
      <c r="C10">
        <v>0.6</v>
      </c>
      <c r="D10">
        <v>-2.2999999999999998</v>
      </c>
      <c r="E10">
        <v>-0.8</v>
      </c>
      <c r="H10" t="s">
        <v>65</v>
      </c>
      <c r="I10">
        <v>-0.8</v>
      </c>
      <c r="J10">
        <v>-3.5</v>
      </c>
      <c r="K10">
        <v>-2.1</v>
      </c>
      <c r="N10" t="s">
        <v>65</v>
      </c>
      <c r="O10">
        <v>1.6</v>
      </c>
      <c r="P10">
        <v>1.7</v>
      </c>
      <c r="Q10">
        <v>0.5</v>
      </c>
      <c r="R10">
        <v>-2.2999999999999998</v>
      </c>
      <c r="S10">
        <v>-1.2</v>
      </c>
      <c r="V10" t="s">
        <v>65</v>
      </c>
      <c r="W10">
        <v>1.6</v>
      </c>
      <c r="X10">
        <v>1.7</v>
      </c>
      <c r="Y10">
        <v>0.5</v>
      </c>
      <c r="Z10">
        <v>-2.2999999999999998</v>
      </c>
      <c r="AA10">
        <v>-2.4</v>
      </c>
      <c r="AD10" t="s">
        <v>65</v>
      </c>
      <c r="AE10">
        <v>1.7</v>
      </c>
      <c r="AF10">
        <v>0.5</v>
      </c>
      <c r="AG10">
        <v>-1.8</v>
      </c>
      <c r="AH10">
        <v>-1.4</v>
      </c>
      <c r="AK10" t="s">
        <v>3</v>
      </c>
      <c r="AL10">
        <v>15.7</v>
      </c>
      <c r="AM10">
        <v>17.600000000000001</v>
      </c>
      <c r="AN10">
        <v>12.3</v>
      </c>
      <c r="AO10">
        <v>10.199999999999999</v>
      </c>
      <c r="AP10" t="s">
        <v>141</v>
      </c>
      <c r="AQ10" t="s">
        <v>65</v>
      </c>
      <c r="AR10" s="4">
        <v>0.54700000000000004</v>
      </c>
      <c r="AS10" s="4">
        <v>-2.3460000000000001</v>
      </c>
      <c r="AT10" s="4">
        <v>-1.976</v>
      </c>
      <c r="AU10" s="34">
        <v>-2.0739999999999998</v>
      </c>
      <c r="AV10" s="34">
        <v>-2.2509999999999999</v>
      </c>
      <c r="AW10" t="str">
        <f t="shared" si="0"/>
        <v>Egypt</v>
      </c>
      <c r="AX10" s="7">
        <f t="shared" si="1"/>
        <v>-0.28576258115521352</v>
      </c>
      <c r="AZ10" t="s">
        <v>65</v>
      </c>
      <c r="BA10" s="4">
        <f>VLOOKUP(AZ10,'Stripped Spread'!$C$18:$E$60,3,0)</f>
        <v>5.2153815465916083E-2</v>
      </c>
      <c r="BI10" t="s">
        <v>65</v>
      </c>
      <c r="BJ10" s="7">
        <f t="shared" si="2"/>
        <v>-0.28576258115521352</v>
      </c>
      <c r="BK10" s="4">
        <f t="shared" si="3"/>
        <v>5.2153815465916083E-2</v>
      </c>
    </row>
    <row r="11" spans="1:63" x14ac:dyDescent="0.2">
      <c r="A11" t="s">
        <v>43</v>
      </c>
      <c r="B11">
        <v>-6.4</v>
      </c>
      <c r="C11">
        <v>-8.4</v>
      </c>
      <c r="D11">
        <v>-1.1000000000000001</v>
      </c>
      <c r="E11">
        <v>-1.4</v>
      </c>
      <c r="F11" t="s">
        <v>141</v>
      </c>
      <c r="H11" t="s">
        <v>43</v>
      </c>
      <c r="I11">
        <v>-8.4</v>
      </c>
      <c r="J11">
        <v>-4</v>
      </c>
      <c r="K11">
        <v>-4.3</v>
      </c>
      <c r="L11" t="s">
        <v>141</v>
      </c>
      <c r="N11" t="s">
        <v>43</v>
      </c>
      <c r="O11">
        <v>-7.5</v>
      </c>
      <c r="P11">
        <v>-6.5</v>
      </c>
      <c r="Q11">
        <v>-8.5</v>
      </c>
      <c r="R11">
        <v>0.5</v>
      </c>
      <c r="S11">
        <v>-0.5</v>
      </c>
      <c r="T11" t="s">
        <v>141</v>
      </c>
      <c r="V11" t="s">
        <v>43</v>
      </c>
      <c r="W11">
        <v>-6.1</v>
      </c>
      <c r="X11">
        <v>-6.4</v>
      </c>
      <c r="Y11">
        <v>-7.9</v>
      </c>
      <c r="Z11">
        <v>0.4</v>
      </c>
      <c r="AA11">
        <v>-0.7</v>
      </c>
      <c r="AB11" t="s">
        <v>141</v>
      </c>
      <c r="AD11" t="s">
        <v>43</v>
      </c>
      <c r="AE11">
        <v>-6.6</v>
      </c>
      <c r="AF11">
        <v>-9</v>
      </c>
      <c r="AG11">
        <v>-3.3</v>
      </c>
      <c r="AH11">
        <v>-3.5</v>
      </c>
      <c r="AI11" t="s">
        <v>141</v>
      </c>
      <c r="AK11" t="s">
        <v>11</v>
      </c>
      <c r="AL11">
        <v>-0.8</v>
      </c>
      <c r="AM11">
        <v>-1.4</v>
      </c>
      <c r="AN11">
        <v>-1.9</v>
      </c>
      <c r="AO11">
        <v>-2.2000000000000002</v>
      </c>
      <c r="AP11" t="s">
        <v>141</v>
      </c>
      <c r="AQ11" t="s">
        <v>43</v>
      </c>
      <c r="AR11" s="4">
        <v>-7.2990000000000004</v>
      </c>
      <c r="AS11" s="4">
        <v>-0.46200000000000002</v>
      </c>
      <c r="AT11" s="4">
        <v>1.569</v>
      </c>
      <c r="AU11" s="34">
        <v>1.45</v>
      </c>
      <c r="AV11" s="34">
        <v>0.93700000000000006</v>
      </c>
      <c r="AW11" t="str">
        <f t="shared" si="0"/>
        <v>Hungary</v>
      </c>
      <c r="AX11" s="7">
        <f t="shared" si="1"/>
        <v>0.40684748789137143</v>
      </c>
      <c r="AZ11" t="s">
        <v>43</v>
      </c>
      <c r="BA11" s="4">
        <f>VLOOKUP(AZ11,'Stripped Spread'!$C$18:$E$60,3,0)</f>
        <v>0.23579793496626733</v>
      </c>
      <c r="BI11" t="s">
        <v>43</v>
      </c>
      <c r="BJ11" s="7">
        <f t="shared" si="2"/>
        <v>0.40684748789137143</v>
      </c>
      <c r="BK11" s="4">
        <f t="shared" si="3"/>
        <v>0.23579793496626733</v>
      </c>
    </row>
    <row r="12" spans="1:63" x14ac:dyDescent="0.2">
      <c r="A12" t="s">
        <v>2</v>
      </c>
      <c r="B12">
        <v>2.4</v>
      </c>
      <c r="C12">
        <v>0.1</v>
      </c>
      <c r="D12">
        <v>0.8</v>
      </c>
      <c r="E12">
        <v>1.4</v>
      </c>
      <c r="F12" t="s">
        <v>141</v>
      </c>
      <c r="H12" t="s">
        <v>2</v>
      </c>
      <c r="I12">
        <v>0.1</v>
      </c>
      <c r="J12">
        <v>1.1000000000000001</v>
      </c>
      <c r="K12">
        <v>1.2</v>
      </c>
      <c r="L12" t="s">
        <v>141</v>
      </c>
      <c r="N12" t="s">
        <v>2</v>
      </c>
      <c r="O12">
        <v>2.6</v>
      </c>
      <c r="P12">
        <v>2.4</v>
      </c>
      <c r="Q12">
        <v>0.1</v>
      </c>
      <c r="R12">
        <v>-0.6</v>
      </c>
      <c r="S12">
        <v>0.7</v>
      </c>
      <c r="T12" t="s">
        <v>141</v>
      </c>
      <c r="V12" t="s">
        <v>2</v>
      </c>
      <c r="W12">
        <v>2.6</v>
      </c>
      <c r="X12">
        <v>2.4</v>
      </c>
      <c r="Y12">
        <v>0.1</v>
      </c>
      <c r="Z12">
        <v>1.9</v>
      </c>
      <c r="AA12">
        <v>1.2</v>
      </c>
      <c r="AB12" t="s">
        <v>141</v>
      </c>
      <c r="AD12" t="s">
        <v>2</v>
      </c>
      <c r="AE12">
        <v>2.4</v>
      </c>
      <c r="AF12">
        <v>0.1</v>
      </c>
      <c r="AG12">
        <v>1.6</v>
      </c>
      <c r="AH12">
        <v>0.6</v>
      </c>
      <c r="AI12" t="s">
        <v>141</v>
      </c>
      <c r="AK12" t="s">
        <v>4</v>
      </c>
      <c r="AL12">
        <v>4.8</v>
      </c>
      <c r="AM12">
        <v>2.5</v>
      </c>
      <c r="AN12">
        <v>1.4</v>
      </c>
      <c r="AO12">
        <v>-0.6</v>
      </c>
      <c r="AP12" t="s">
        <v>141</v>
      </c>
      <c r="AQ12" t="s">
        <v>2</v>
      </c>
      <c r="AR12" s="4">
        <v>2.5000000000000001E-2</v>
      </c>
      <c r="AS12" s="4">
        <v>2.5830000000000002</v>
      </c>
      <c r="AT12" s="4">
        <v>0.89100000000000001</v>
      </c>
      <c r="AU12" s="34">
        <v>0.88900000000000001</v>
      </c>
      <c r="AV12" s="34">
        <v>0.40400000000000003</v>
      </c>
      <c r="AW12" t="str">
        <f t="shared" si="0"/>
        <v>Indonesia</v>
      </c>
      <c r="AX12" s="7">
        <f t="shared" si="1"/>
        <v>0.29658805294950591</v>
      </c>
      <c r="AZ12" t="s">
        <v>2</v>
      </c>
      <c r="BA12" s="4">
        <f>VLOOKUP(AZ12,'Stripped Spread'!$C$18:$E$60,3,0)</f>
        <v>-0.35838987515994025</v>
      </c>
      <c r="BI12" t="s">
        <v>2</v>
      </c>
      <c r="BJ12" s="7">
        <f t="shared" si="2"/>
        <v>0.29658805294950591</v>
      </c>
      <c r="BK12" s="4">
        <f t="shared" si="3"/>
        <v>-0.35838987515994025</v>
      </c>
    </row>
    <row r="13" spans="1:63" x14ac:dyDescent="0.2">
      <c r="A13" t="s">
        <v>45</v>
      </c>
      <c r="B13">
        <v>-7.8</v>
      </c>
      <c r="C13">
        <v>5.3</v>
      </c>
      <c r="D13">
        <v>-2.2999999999999998</v>
      </c>
      <c r="E13">
        <v>3.8</v>
      </c>
      <c r="F13" t="s">
        <v>141</v>
      </c>
      <c r="H13" t="s">
        <v>45</v>
      </c>
      <c r="I13">
        <v>5.2</v>
      </c>
      <c r="J13">
        <v>-2.9</v>
      </c>
      <c r="K13">
        <v>1.8</v>
      </c>
      <c r="L13" t="s">
        <v>141</v>
      </c>
      <c r="N13" t="s">
        <v>45</v>
      </c>
      <c r="O13">
        <v>-2.5</v>
      </c>
      <c r="P13">
        <v>-7</v>
      </c>
      <c r="Q13">
        <v>6.6</v>
      </c>
      <c r="R13">
        <v>-3.3</v>
      </c>
      <c r="S13">
        <v>2.1</v>
      </c>
      <c r="T13" t="s">
        <v>141</v>
      </c>
      <c r="V13" t="s">
        <v>45</v>
      </c>
      <c r="W13">
        <v>-2.5</v>
      </c>
      <c r="X13">
        <v>-6.8</v>
      </c>
      <c r="Y13">
        <v>5.4</v>
      </c>
      <c r="Z13">
        <v>-2.2999999999999998</v>
      </c>
      <c r="AA13">
        <v>3.1</v>
      </c>
      <c r="AB13" t="s">
        <v>141</v>
      </c>
      <c r="AD13" t="s">
        <v>45</v>
      </c>
      <c r="AI13" t="s">
        <v>141</v>
      </c>
      <c r="AK13" t="s">
        <v>48</v>
      </c>
      <c r="AL13">
        <v>-3.8</v>
      </c>
      <c r="AM13">
        <v>-7.2</v>
      </c>
      <c r="AN13">
        <v>-3.3</v>
      </c>
      <c r="AO13">
        <v>-4.3</v>
      </c>
      <c r="AP13" t="s">
        <v>141</v>
      </c>
      <c r="AQ13" t="s">
        <v>45</v>
      </c>
      <c r="AR13" s="4">
        <v>4.6440000000000001</v>
      </c>
      <c r="AS13" s="4">
        <v>-3.7389999999999999</v>
      </c>
      <c r="AT13" s="4">
        <v>2.5489999999999999</v>
      </c>
      <c r="AU13" s="34">
        <v>5.8360000000000003</v>
      </c>
      <c r="AV13" s="34">
        <v>4.218</v>
      </c>
      <c r="AW13" t="str">
        <f t="shared" si="0"/>
        <v>Kazakhstan</v>
      </c>
      <c r="AX13" s="7">
        <f t="shared" si="1"/>
        <v>1.2688757974368658</v>
      </c>
      <c r="AZ13" t="s">
        <v>45</v>
      </c>
      <c r="BA13" s="4">
        <f>VLOOKUP(AZ13,'Stripped Spread'!$C$18:$E$60,3,0)</f>
        <v>0.12883472578450098</v>
      </c>
      <c r="BI13" t="s">
        <v>45</v>
      </c>
      <c r="BJ13" s="7">
        <f t="shared" si="2"/>
        <v>1.2688757974368658</v>
      </c>
      <c r="BK13" s="4">
        <f t="shared" si="3"/>
        <v>0.12883472578450098</v>
      </c>
    </row>
    <row r="14" spans="1:63" x14ac:dyDescent="0.2">
      <c r="A14" t="s">
        <v>3</v>
      </c>
      <c r="B14">
        <v>15.7</v>
      </c>
      <c r="C14">
        <v>17.5</v>
      </c>
      <c r="D14">
        <v>15.6</v>
      </c>
      <c r="E14">
        <v>19.899999999999999</v>
      </c>
      <c r="F14" t="s">
        <v>141</v>
      </c>
      <c r="H14" t="s">
        <v>3</v>
      </c>
      <c r="I14">
        <v>17.600000000000001</v>
      </c>
      <c r="J14">
        <v>17</v>
      </c>
      <c r="K14">
        <v>15</v>
      </c>
      <c r="L14" t="s">
        <v>141</v>
      </c>
      <c r="N14" t="s">
        <v>3</v>
      </c>
      <c r="O14">
        <v>16.3</v>
      </c>
      <c r="P14">
        <v>15.6</v>
      </c>
      <c r="Q14">
        <v>17.600000000000001</v>
      </c>
      <c r="R14">
        <v>14.2</v>
      </c>
      <c r="S14">
        <v>15.2</v>
      </c>
      <c r="T14" t="s">
        <v>141</v>
      </c>
      <c r="V14" t="s">
        <v>3</v>
      </c>
      <c r="W14">
        <v>16.3</v>
      </c>
      <c r="X14">
        <v>15.7</v>
      </c>
      <c r="Y14">
        <v>17.600000000000001</v>
      </c>
      <c r="Z14">
        <v>16.7</v>
      </c>
      <c r="AA14">
        <v>15.7</v>
      </c>
      <c r="AB14" t="s">
        <v>141</v>
      </c>
      <c r="AD14" t="s">
        <v>3</v>
      </c>
      <c r="AE14">
        <v>15.6</v>
      </c>
      <c r="AF14">
        <v>17.600000000000001</v>
      </c>
      <c r="AG14">
        <v>15.9</v>
      </c>
      <c r="AH14">
        <v>13.4</v>
      </c>
      <c r="AI14" t="s">
        <v>141</v>
      </c>
      <c r="AK14" t="s">
        <v>13</v>
      </c>
      <c r="AL14">
        <v>6</v>
      </c>
      <c r="AM14">
        <v>5.9</v>
      </c>
      <c r="AN14">
        <v>3.6</v>
      </c>
      <c r="AO14">
        <v>2.1</v>
      </c>
      <c r="AP14" t="s">
        <v>141</v>
      </c>
      <c r="AQ14" t="s">
        <v>3</v>
      </c>
      <c r="AR14" s="4">
        <v>17.48</v>
      </c>
      <c r="AS14" s="4">
        <v>16.498999999999999</v>
      </c>
      <c r="AT14" s="4">
        <v>11.817</v>
      </c>
      <c r="AU14" s="34">
        <v>11.394</v>
      </c>
      <c r="AV14" s="34">
        <v>10.827</v>
      </c>
      <c r="AW14" t="str">
        <f t="shared" si="0"/>
        <v>Malaysia</v>
      </c>
      <c r="AX14" s="7">
        <f t="shared" si="1"/>
        <v>2.3612500209785567</v>
      </c>
      <c r="AZ14" t="s">
        <v>3</v>
      </c>
      <c r="BA14" s="4">
        <f>VLOOKUP(AZ14,'Stripped Spread'!$C$18:$E$60,3,0)</f>
        <v>-0.61809672118954739</v>
      </c>
      <c r="BI14" t="s">
        <v>3</v>
      </c>
      <c r="BJ14" s="7">
        <f t="shared" si="2"/>
        <v>2.3612500209785567</v>
      </c>
      <c r="BK14" s="4">
        <f t="shared" si="3"/>
        <v>-0.61809672118954739</v>
      </c>
    </row>
    <row r="15" spans="1:63" x14ac:dyDescent="0.2">
      <c r="A15" t="s">
        <v>11</v>
      </c>
      <c r="B15">
        <v>-0.8</v>
      </c>
      <c r="C15">
        <v>-1.4</v>
      </c>
      <c r="D15">
        <v>-0.9</v>
      </c>
      <c r="E15">
        <v>-1.2</v>
      </c>
      <c r="F15" t="s">
        <v>141</v>
      </c>
      <c r="H15" t="s">
        <v>11</v>
      </c>
      <c r="I15">
        <v>-1.4</v>
      </c>
      <c r="J15">
        <v>-0.5</v>
      </c>
      <c r="K15">
        <v>-0.9</v>
      </c>
      <c r="L15" t="s">
        <v>141</v>
      </c>
      <c r="N15" t="s">
        <v>11</v>
      </c>
      <c r="O15">
        <v>-0.5</v>
      </c>
      <c r="P15">
        <v>-0.8</v>
      </c>
      <c r="Q15">
        <v>-1.4</v>
      </c>
      <c r="R15">
        <v>-2.6</v>
      </c>
      <c r="S15">
        <v>-1.2</v>
      </c>
      <c r="T15" t="s">
        <v>141</v>
      </c>
      <c r="V15" t="s">
        <v>11</v>
      </c>
      <c r="W15">
        <v>-0.2</v>
      </c>
      <c r="X15">
        <v>-0.8</v>
      </c>
      <c r="Y15">
        <v>-1.5</v>
      </c>
      <c r="Z15">
        <v>-0.6</v>
      </c>
      <c r="AA15">
        <v>-0.1</v>
      </c>
      <c r="AB15" t="s">
        <v>141</v>
      </c>
      <c r="AD15" t="s">
        <v>11</v>
      </c>
      <c r="AE15">
        <v>-0.8</v>
      </c>
      <c r="AF15">
        <v>-1.4</v>
      </c>
      <c r="AG15">
        <v>-0.8</v>
      </c>
      <c r="AH15">
        <v>-1.3</v>
      </c>
      <c r="AI15" t="s">
        <v>141</v>
      </c>
      <c r="AK15" t="s">
        <v>23</v>
      </c>
      <c r="AL15">
        <v>-7.3</v>
      </c>
      <c r="AM15">
        <v>-7.4</v>
      </c>
      <c r="AN15">
        <v>-5.0999999999999996</v>
      </c>
      <c r="AO15">
        <v>-5.7</v>
      </c>
      <c r="AP15" t="s">
        <v>141</v>
      </c>
      <c r="AQ15" t="s">
        <v>11</v>
      </c>
      <c r="AR15" s="4">
        <v>-1.492</v>
      </c>
      <c r="AS15" s="4">
        <v>-0.71299999999999997</v>
      </c>
      <c r="AT15" s="4">
        <v>-0.54800000000000004</v>
      </c>
      <c r="AU15" s="34">
        <v>-0.89700000000000002</v>
      </c>
      <c r="AV15" s="34">
        <v>-1.0920000000000001</v>
      </c>
      <c r="AW15" t="str">
        <f t="shared" si="0"/>
        <v>Mexico</v>
      </c>
      <c r="AX15" s="7">
        <f t="shared" si="1"/>
        <v>-5.4433962747770175E-2</v>
      </c>
      <c r="AZ15" t="s">
        <v>11</v>
      </c>
      <c r="BA15" s="4">
        <f>VLOOKUP(AZ15,'Stripped Spread'!$C$18:$E$60,3,0)</f>
        <v>-0.48422075013713889</v>
      </c>
      <c r="BI15" t="s">
        <v>11</v>
      </c>
      <c r="BJ15" s="7">
        <f t="shared" si="2"/>
        <v>-5.4433962747770175E-2</v>
      </c>
      <c r="BK15" s="4">
        <f t="shared" si="3"/>
        <v>-0.48422075013713889</v>
      </c>
    </row>
    <row r="16" spans="1:63" x14ac:dyDescent="0.2">
      <c r="A16" t="s">
        <v>70</v>
      </c>
      <c r="H16" t="s">
        <v>70</v>
      </c>
      <c r="I16">
        <v>-6.1</v>
      </c>
      <c r="J16">
        <v>-1.7</v>
      </c>
      <c r="K16">
        <v>-4.5999999999999996</v>
      </c>
      <c r="N16" t="s">
        <v>70</v>
      </c>
      <c r="V16" t="s">
        <v>70</v>
      </c>
      <c r="AD16" t="s">
        <v>70</v>
      </c>
      <c r="AQ16" t="s">
        <v>70</v>
      </c>
      <c r="AR16" s="4">
        <v>-8.4649999999999999</v>
      </c>
      <c r="AS16" s="4">
        <v>-5.7160000000000002</v>
      </c>
      <c r="AT16" s="4">
        <v>-2.2570000000000001</v>
      </c>
      <c r="AU16" s="34">
        <v>-1.506</v>
      </c>
      <c r="AV16" s="34">
        <v>-2.4</v>
      </c>
      <c r="AW16" t="str">
        <f t="shared" si="0"/>
        <v>Pakistan</v>
      </c>
      <c r="AX16" s="7">
        <f t="shared" si="1"/>
        <v>-0.17412736003760282</v>
      </c>
      <c r="AZ16" t="s">
        <v>70</v>
      </c>
      <c r="BA16" s="4">
        <f>VLOOKUP(AZ16,'Stripped Spread'!$C$18:$E$60,3,0)</f>
        <v>2.1692475485534328</v>
      </c>
      <c r="BI16" t="s">
        <v>70</v>
      </c>
      <c r="BJ16" s="7">
        <f t="shared" si="2"/>
        <v>-0.17412736003760282</v>
      </c>
      <c r="BK16" s="4">
        <f t="shared" si="3"/>
        <v>2.1692475485534328</v>
      </c>
    </row>
    <row r="17" spans="1:63" x14ac:dyDescent="0.2">
      <c r="A17" t="s">
        <v>71</v>
      </c>
      <c r="F17" t="s">
        <v>141</v>
      </c>
      <c r="H17" t="s">
        <v>71</v>
      </c>
      <c r="I17">
        <v>-12.3</v>
      </c>
      <c r="J17">
        <v>-6.8</v>
      </c>
      <c r="K17">
        <v>-8.5</v>
      </c>
      <c r="L17" t="s">
        <v>141</v>
      </c>
      <c r="N17" t="s">
        <v>71</v>
      </c>
      <c r="O17">
        <v>-3</v>
      </c>
      <c r="P17">
        <v>-7.2</v>
      </c>
      <c r="Q17">
        <v>-12.1</v>
      </c>
      <c r="R17">
        <v>-6.3</v>
      </c>
      <c r="S17">
        <v>-8.3000000000000007</v>
      </c>
      <c r="T17" t="s">
        <v>141</v>
      </c>
      <c r="V17" t="s">
        <v>71</v>
      </c>
      <c r="AB17" t="s">
        <v>141</v>
      </c>
      <c r="AD17" t="s">
        <v>71</v>
      </c>
      <c r="AF17">
        <v>-2.8</v>
      </c>
      <c r="AG17">
        <v>-9</v>
      </c>
      <c r="AH17">
        <v>-10</v>
      </c>
      <c r="AI17" t="s">
        <v>141</v>
      </c>
      <c r="AK17" t="s">
        <v>14</v>
      </c>
      <c r="AL17">
        <v>-5.8</v>
      </c>
      <c r="AM17">
        <v>-5.7</v>
      </c>
      <c r="AN17">
        <v>-2</v>
      </c>
      <c r="AO17">
        <v>-2.2999999999999998</v>
      </c>
      <c r="AP17" t="s">
        <v>141</v>
      </c>
      <c r="AQ17" t="s">
        <v>71</v>
      </c>
      <c r="AR17" s="4">
        <v>-11.875999999999999</v>
      </c>
      <c r="AS17" s="4">
        <v>-0.215</v>
      </c>
      <c r="AT17" s="4">
        <v>-11.175000000000001</v>
      </c>
      <c r="AU17" s="34">
        <v>-12.548999999999999</v>
      </c>
      <c r="AV17" s="34">
        <v>-12.584</v>
      </c>
      <c r="AW17" t="str">
        <f t="shared" si="0"/>
        <v>Panama</v>
      </c>
      <c r="AX17" s="7">
        <f t="shared" si="1"/>
        <v>-2.3445283227167852</v>
      </c>
      <c r="AZ17" t="s">
        <v>71</v>
      </c>
      <c r="BA17" s="4">
        <f>VLOOKUP(AZ17,'Stripped Spread'!$C$18:$E$60,3,0)</f>
        <v>-0.55505648603455771</v>
      </c>
      <c r="BI17" t="s">
        <v>47</v>
      </c>
      <c r="BJ17" s="7">
        <f t="shared" si="2"/>
        <v>-0.28202830439247661</v>
      </c>
      <c r="BK17" s="4">
        <f t="shared" si="3"/>
        <v>-0.50718932529558414</v>
      </c>
    </row>
    <row r="18" spans="1:63" x14ac:dyDescent="0.2">
      <c r="A18" t="s">
        <v>47</v>
      </c>
      <c r="B18">
        <v>1.1000000000000001</v>
      </c>
      <c r="C18">
        <v>-3.3</v>
      </c>
      <c r="D18">
        <v>-0.6</v>
      </c>
      <c r="E18">
        <v>-1.8</v>
      </c>
      <c r="F18" t="s">
        <v>141</v>
      </c>
      <c r="H18" t="s">
        <v>47</v>
      </c>
      <c r="I18">
        <v>-3.3</v>
      </c>
      <c r="J18">
        <v>0.4</v>
      </c>
      <c r="K18">
        <v>-2.1</v>
      </c>
      <c r="L18" t="s">
        <v>141</v>
      </c>
      <c r="N18" t="s">
        <v>47</v>
      </c>
      <c r="O18">
        <v>3.1</v>
      </c>
      <c r="P18">
        <v>1.1000000000000001</v>
      </c>
      <c r="Q18">
        <v>-3.3</v>
      </c>
      <c r="R18">
        <v>0.2</v>
      </c>
      <c r="S18">
        <v>-0.4</v>
      </c>
      <c r="T18" t="s">
        <v>141</v>
      </c>
      <c r="V18" t="s">
        <v>47</v>
      </c>
      <c r="W18">
        <v>3</v>
      </c>
      <c r="X18">
        <v>1.1000000000000001</v>
      </c>
      <c r="Y18">
        <v>-3.3</v>
      </c>
      <c r="Z18">
        <v>0.2</v>
      </c>
      <c r="AA18">
        <v>-2.1</v>
      </c>
      <c r="AB18" t="s">
        <v>141</v>
      </c>
      <c r="AD18" t="s">
        <v>47</v>
      </c>
      <c r="AE18">
        <v>1.1000000000000001</v>
      </c>
      <c r="AF18">
        <v>-3.3</v>
      </c>
      <c r="AG18">
        <v>-1.2</v>
      </c>
      <c r="AH18">
        <v>-1.4</v>
      </c>
      <c r="AI18" t="s">
        <v>141</v>
      </c>
      <c r="AK18" t="s">
        <v>58</v>
      </c>
      <c r="AL18">
        <v>-4</v>
      </c>
      <c r="AM18">
        <v>-7</v>
      </c>
      <c r="AN18">
        <v>-8.3000000000000007</v>
      </c>
      <c r="AO18">
        <v>-8.9</v>
      </c>
      <c r="AP18" t="s">
        <v>141</v>
      </c>
      <c r="AQ18" t="s">
        <v>47</v>
      </c>
      <c r="AR18" s="4">
        <v>-4.1909999999999998</v>
      </c>
      <c r="AS18" s="4">
        <v>0.16600000000000001</v>
      </c>
      <c r="AT18" s="4">
        <v>-1.5149999999999999</v>
      </c>
      <c r="AU18" s="34">
        <v>-2.0550000000000002</v>
      </c>
      <c r="AV18" s="34">
        <v>-2.8140000000000001</v>
      </c>
      <c r="AW18" t="str">
        <f t="shared" si="0"/>
        <v>Peru</v>
      </c>
      <c r="AX18" s="7">
        <f t="shared" si="1"/>
        <v>-0.28202830439247661</v>
      </c>
      <c r="AZ18" t="s">
        <v>47</v>
      </c>
      <c r="BA18" s="4">
        <f>VLOOKUP(AZ18,'Stripped Spread'!$C$18:$E$60,3,0)</f>
        <v>-0.50718932529558414</v>
      </c>
      <c r="BI18" t="s">
        <v>4</v>
      </c>
      <c r="BJ18" s="7">
        <f t="shared" si="2"/>
        <v>0.69477988038661753</v>
      </c>
      <c r="BK18" s="4">
        <f t="shared" si="3"/>
        <v>-0.46284842419996541</v>
      </c>
    </row>
    <row r="19" spans="1:63" x14ac:dyDescent="0.2">
      <c r="A19" t="s">
        <v>4</v>
      </c>
      <c r="B19">
        <v>4.8</v>
      </c>
      <c r="C19">
        <v>2.6</v>
      </c>
      <c r="D19">
        <v>4.2</v>
      </c>
      <c r="E19">
        <v>3.5</v>
      </c>
      <c r="F19" t="s">
        <v>141</v>
      </c>
      <c r="H19" t="s">
        <v>4</v>
      </c>
      <c r="I19">
        <v>2.5</v>
      </c>
      <c r="J19">
        <v>4.7</v>
      </c>
      <c r="K19">
        <v>4.0999999999999996</v>
      </c>
      <c r="L19" t="s">
        <v>141</v>
      </c>
      <c r="N19" t="s">
        <v>4</v>
      </c>
      <c r="O19">
        <v>4.5</v>
      </c>
      <c r="P19">
        <v>4.9000000000000004</v>
      </c>
      <c r="Q19">
        <v>2.5</v>
      </c>
      <c r="R19">
        <v>4.7</v>
      </c>
      <c r="S19">
        <v>3.3</v>
      </c>
      <c r="T19" t="s">
        <v>141</v>
      </c>
      <c r="V19" t="s">
        <v>4</v>
      </c>
      <c r="W19">
        <v>5.0999999999999996</v>
      </c>
      <c r="X19">
        <v>4.9000000000000004</v>
      </c>
      <c r="Y19">
        <v>2.5</v>
      </c>
      <c r="Z19">
        <v>5.2</v>
      </c>
      <c r="AA19">
        <v>4.0999999999999996</v>
      </c>
      <c r="AB19" t="s">
        <v>141</v>
      </c>
      <c r="AD19" t="s">
        <v>4</v>
      </c>
      <c r="AE19">
        <v>4.8</v>
      </c>
      <c r="AF19">
        <v>2.5</v>
      </c>
      <c r="AG19">
        <v>3.8</v>
      </c>
      <c r="AH19">
        <v>3.5</v>
      </c>
      <c r="AI19" t="s">
        <v>141</v>
      </c>
      <c r="AK19" t="s">
        <v>138</v>
      </c>
      <c r="AL19">
        <v>6.7</v>
      </c>
      <c r="AM19">
        <v>4.4000000000000004</v>
      </c>
      <c r="AN19">
        <v>3.3</v>
      </c>
      <c r="AO19">
        <v>2.5</v>
      </c>
      <c r="AP19" t="s">
        <v>142</v>
      </c>
      <c r="AQ19" t="s">
        <v>4</v>
      </c>
      <c r="AR19" s="4">
        <v>2.177</v>
      </c>
      <c r="AS19" s="4">
        <v>5.8049999999999997</v>
      </c>
      <c r="AT19" s="4">
        <v>4.4859999999999998</v>
      </c>
      <c r="AU19" s="34">
        <v>2.915</v>
      </c>
      <c r="AV19" s="34">
        <v>2.82</v>
      </c>
      <c r="AW19" t="str">
        <f t="shared" si="0"/>
        <v>Philippines</v>
      </c>
      <c r="AX19" s="7">
        <f t="shared" si="1"/>
        <v>0.69477988038661753</v>
      </c>
      <c r="AZ19" t="s">
        <v>4</v>
      </c>
      <c r="BA19" s="4">
        <f>VLOOKUP(AZ19,'Stripped Spread'!$C$18:$E$60,3,0)</f>
        <v>-0.46284842419996541</v>
      </c>
      <c r="BI19" t="s">
        <v>48</v>
      </c>
      <c r="BJ19" s="7">
        <f t="shared" si="2"/>
        <v>-0.64661164096495538</v>
      </c>
      <c r="BK19" s="4">
        <f t="shared" si="3"/>
        <v>-0.36315540465326435</v>
      </c>
    </row>
    <row r="20" spans="1:63" x14ac:dyDescent="0.2">
      <c r="A20" t="s">
        <v>48</v>
      </c>
      <c r="B20">
        <v>-4.7</v>
      </c>
      <c r="C20">
        <v>-5.3</v>
      </c>
      <c r="D20">
        <v>-1.2</v>
      </c>
      <c r="E20">
        <v>-3.5</v>
      </c>
      <c r="F20" t="s">
        <v>141</v>
      </c>
      <c r="H20" t="s">
        <v>48</v>
      </c>
      <c r="I20">
        <v>-5.5</v>
      </c>
      <c r="J20">
        <v>-2.2999999999999998</v>
      </c>
      <c r="K20">
        <v>-2.7</v>
      </c>
      <c r="L20" t="s">
        <v>141</v>
      </c>
      <c r="N20" t="s">
        <v>48</v>
      </c>
      <c r="O20">
        <v>-2.7</v>
      </c>
      <c r="P20">
        <v>-4.7</v>
      </c>
      <c r="Q20">
        <v>-5.3</v>
      </c>
      <c r="R20">
        <v>-3</v>
      </c>
      <c r="S20">
        <v>-2.2999999999999998</v>
      </c>
      <c r="T20" t="s">
        <v>141</v>
      </c>
      <c r="V20" t="s">
        <v>48</v>
      </c>
      <c r="W20">
        <v>-2.7</v>
      </c>
      <c r="X20">
        <v>-4.8</v>
      </c>
      <c r="Y20">
        <v>-5.3</v>
      </c>
      <c r="Z20">
        <v>-1.7</v>
      </c>
      <c r="AA20">
        <v>-1.4</v>
      </c>
      <c r="AB20" t="s">
        <v>141</v>
      </c>
      <c r="AD20" t="s">
        <v>48</v>
      </c>
      <c r="AE20">
        <v>-4.8</v>
      </c>
      <c r="AF20">
        <v>-5.5</v>
      </c>
      <c r="AG20">
        <v>-1.3</v>
      </c>
      <c r="AH20">
        <v>-2</v>
      </c>
      <c r="AI20" t="s">
        <v>141</v>
      </c>
      <c r="AK20" t="s">
        <v>124</v>
      </c>
      <c r="AL20">
        <v>1.9</v>
      </c>
      <c r="AM20">
        <v>1.3</v>
      </c>
      <c r="AN20">
        <v>-0.3</v>
      </c>
      <c r="AO20">
        <v>-0.8</v>
      </c>
      <c r="AP20" t="s">
        <v>142</v>
      </c>
      <c r="AQ20" t="s">
        <v>48</v>
      </c>
      <c r="AR20" s="4">
        <v>-4.827</v>
      </c>
      <c r="AS20" s="4">
        <v>-2.2290000000000001</v>
      </c>
      <c r="AT20" s="4">
        <v>-3.2869999999999999</v>
      </c>
      <c r="AU20" s="34">
        <v>-3.91</v>
      </c>
      <c r="AV20" s="34">
        <v>-4.16</v>
      </c>
      <c r="AW20" t="str">
        <f t="shared" si="0"/>
        <v>Poland</v>
      </c>
      <c r="AX20" s="7">
        <f t="shared" si="1"/>
        <v>-0.64661164096495538</v>
      </c>
      <c r="AZ20" t="s">
        <v>48</v>
      </c>
      <c r="BA20" s="4">
        <f>VLOOKUP(AZ20,'Stripped Spread'!$C$18:$E$60,3,0)</f>
        <v>-0.36315540465326435</v>
      </c>
      <c r="BI20" t="s">
        <v>13</v>
      </c>
      <c r="BJ20" s="7">
        <f t="shared" si="2"/>
        <v>1.2126651051135617</v>
      </c>
      <c r="BK20" s="4">
        <f t="shared" si="3"/>
        <v>-0.16466036285246269</v>
      </c>
    </row>
    <row r="21" spans="1:63" x14ac:dyDescent="0.2">
      <c r="A21" t="s">
        <v>13</v>
      </c>
      <c r="B21">
        <v>6</v>
      </c>
      <c r="C21">
        <v>6.1</v>
      </c>
      <c r="D21">
        <v>3.4</v>
      </c>
      <c r="E21">
        <v>7.1</v>
      </c>
      <c r="F21" t="s">
        <v>141</v>
      </c>
      <c r="H21" t="s">
        <v>13</v>
      </c>
      <c r="I21">
        <v>6.1</v>
      </c>
      <c r="J21">
        <v>3.8</v>
      </c>
      <c r="K21">
        <v>3.9</v>
      </c>
      <c r="L21" t="s">
        <v>141</v>
      </c>
      <c r="N21" t="s">
        <v>13</v>
      </c>
      <c r="O21">
        <v>9.4</v>
      </c>
      <c r="P21">
        <v>6.1</v>
      </c>
      <c r="Q21">
        <v>5.9</v>
      </c>
      <c r="R21">
        <v>3.9</v>
      </c>
      <c r="S21">
        <v>6.4</v>
      </c>
      <c r="T21" t="s">
        <v>141</v>
      </c>
      <c r="V21" t="s">
        <v>13</v>
      </c>
      <c r="W21">
        <v>9.5</v>
      </c>
      <c r="X21">
        <v>9.9</v>
      </c>
      <c r="Y21">
        <v>7.3</v>
      </c>
      <c r="Z21">
        <v>5.7</v>
      </c>
      <c r="AA21">
        <v>5.5</v>
      </c>
      <c r="AB21" t="s">
        <v>141</v>
      </c>
      <c r="AD21" t="s">
        <v>13</v>
      </c>
      <c r="AE21">
        <v>6</v>
      </c>
      <c r="AF21">
        <v>5.9</v>
      </c>
      <c r="AG21">
        <v>3.6</v>
      </c>
      <c r="AH21">
        <v>1</v>
      </c>
      <c r="AI21" t="s">
        <v>141</v>
      </c>
      <c r="AK21" t="s">
        <v>25</v>
      </c>
      <c r="AL21">
        <v>0.5</v>
      </c>
      <c r="AM21">
        <v>-1</v>
      </c>
      <c r="AN21">
        <v>-0.7</v>
      </c>
      <c r="AO21">
        <v>-1.5</v>
      </c>
      <c r="AP21" t="s">
        <v>142</v>
      </c>
      <c r="AQ21" t="s">
        <v>13</v>
      </c>
      <c r="AR21" s="4">
        <v>6.2469999999999999</v>
      </c>
      <c r="AS21" s="4">
        <v>4.0510000000000002</v>
      </c>
      <c r="AT21" s="4">
        <v>4.8789999999999996</v>
      </c>
      <c r="AU21" s="34">
        <v>5.55</v>
      </c>
      <c r="AV21" s="34">
        <v>3.8980000000000001</v>
      </c>
      <c r="AW21" t="str">
        <f t="shared" si="0"/>
        <v>Russia</v>
      </c>
      <c r="AX21" s="7">
        <f t="shared" si="1"/>
        <v>1.2126651051135617</v>
      </c>
      <c r="AZ21" t="s">
        <v>13</v>
      </c>
      <c r="BA21" s="4">
        <f>VLOOKUP(AZ21,'Stripped Spread'!$C$18:$E$60,3,0)</f>
        <v>-0.16466036285246269</v>
      </c>
      <c r="BI21" t="s">
        <v>23</v>
      </c>
      <c r="BJ21" s="7">
        <f t="shared" si="2"/>
        <v>-0.73584120150614418</v>
      </c>
      <c r="BK21" s="4">
        <f t="shared" si="3"/>
        <v>-0.49266345738201095</v>
      </c>
    </row>
    <row r="22" spans="1:63" x14ac:dyDescent="0.2">
      <c r="A22" t="s">
        <v>23</v>
      </c>
      <c r="B22">
        <v>-6.5</v>
      </c>
      <c r="C22">
        <v>-6.9</v>
      </c>
      <c r="D22">
        <v>-3.6</v>
      </c>
      <c r="E22">
        <v>-3</v>
      </c>
      <c r="F22" t="s">
        <v>141</v>
      </c>
      <c r="H22" t="s">
        <v>23</v>
      </c>
      <c r="I22">
        <v>-7.6</v>
      </c>
      <c r="J22">
        <v>-6.5</v>
      </c>
      <c r="K22">
        <v>-5.2</v>
      </c>
      <c r="L22" t="s">
        <v>141</v>
      </c>
      <c r="N22" t="s">
        <v>23</v>
      </c>
      <c r="O22">
        <v>-6.3</v>
      </c>
      <c r="P22">
        <v>-7.3</v>
      </c>
      <c r="Q22">
        <v>-7.4</v>
      </c>
      <c r="R22">
        <v>-4.4000000000000004</v>
      </c>
      <c r="S22">
        <v>-4.8</v>
      </c>
      <c r="T22" t="s">
        <v>141</v>
      </c>
      <c r="V22" t="s">
        <v>23</v>
      </c>
      <c r="W22">
        <v>-6.5</v>
      </c>
      <c r="X22">
        <v>-7.3</v>
      </c>
      <c r="Y22">
        <v>-7.4</v>
      </c>
      <c r="Z22">
        <v>-4.2</v>
      </c>
      <c r="AA22">
        <v>-4.4000000000000004</v>
      </c>
      <c r="AB22" t="s">
        <v>141</v>
      </c>
      <c r="AD22" t="s">
        <v>23</v>
      </c>
      <c r="AE22">
        <v>-7.3</v>
      </c>
      <c r="AF22">
        <v>-7.4</v>
      </c>
      <c r="AG22">
        <v>-4.8</v>
      </c>
      <c r="AH22">
        <v>-5.3</v>
      </c>
      <c r="AI22" t="s">
        <v>141</v>
      </c>
      <c r="AK22" t="s">
        <v>133</v>
      </c>
      <c r="AL22">
        <v>2.4</v>
      </c>
      <c r="AM22">
        <v>0.1</v>
      </c>
      <c r="AN22">
        <v>1.4</v>
      </c>
      <c r="AO22">
        <v>0.6</v>
      </c>
      <c r="AQ22" t="s">
        <v>23</v>
      </c>
      <c r="AR22" s="4">
        <v>-7.1180000000000003</v>
      </c>
      <c r="AS22" s="4">
        <v>-4.0510000000000002</v>
      </c>
      <c r="AT22" s="4">
        <v>-2.8319999999999999</v>
      </c>
      <c r="AU22" s="34">
        <v>-4.3639999999999999</v>
      </c>
      <c r="AV22" s="34">
        <v>-5.1070000000000002</v>
      </c>
      <c r="AW22" t="str">
        <f t="shared" si="0"/>
        <v>South Africa</v>
      </c>
      <c r="AX22" s="7">
        <f t="shared" si="1"/>
        <v>-0.73584120150614418</v>
      </c>
      <c r="AZ22" t="s">
        <v>23</v>
      </c>
      <c r="BA22" s="4">
        <f>VLOOKUP(AZ22,'Stripped Spread'!$C$18:$E$60,3,0)</f>
        <v>-0.49266345738201095</v>
      </c>
      <c r="BI22" t="s">
        <v>77</v>
      </c>
      <c r="BJ22" s="7">
        <f t="shared" si="2"/>
        <v>-0.688867930648558</v>
      </c>
      <c r="BK22" s="4">
        <f t="shared" si="3"/>
        <v>0.16739140015649304</v>
      </c>
    </row>
    <row r="23" spans="1:63" x14ac:dyDescent="0.2">
      <c r="A23" t="s">
        <v>77</v>
      </c>
      <c r="H23" t="s">
        <v>77</v>
      </c>
      <c r="I23">
        <v>-9.3000000000000007</v>
      </c>
      <c r="J23">
        <v>-0.4</v>
      </c>
      <c r="K23">
        <v>-1.9</v>
      </c>
      <c r="N23" t="s">
        <v>77</v>
      </c>
      <c r="V23" t="s">
        <v>77</v>
      </c>
      <c r="W23">
        <v>-5.6</v>
      </c>
      <c r="X23">
        <v>-4.5</v>
      </c>
      <c r="Y23">
        <v>-9.8000000000000007</v>
      </c>
      <c r="Z23">
        <v>-0.2</v>
      </c>
      <c r="AA23">
        <v>-2.2999999999999998</v>
      </c>
      <c r="AD23" t="s">
        <v>77</v>
      </c>
      <c r="AG23">
        <v>1.8</v>
      </c>
      <c r="AH23">
        <v>0.2</v>
      </c>
      <c r="AK23" t="s">
        <v>102</v>
      </c>
      <c r="AL23">
        <v>6</v>
      </c>
      <c r="AM23">
        <v>3.9</v>
      </c>
      <c r="AN23">
        <v>2.9</v>
      </c>
      <c r="AO23">
        <v>2.6</v>
      </c>
      <c r="AQ23" t="s">
        <v>77</v>
      </c>
      <c r="AR23" s="4">
        <v>-9.8130000000000006</v>
      </c>
      <c r="AS23" s="4">
        <v>-0.51100000000000001</v>
      </c>
      <c r="AT23" s="4">
        <v>-3.53</v>
      </c>
      <c r="AU23" s="34">
        <v>-4.125</v>
      </c>
      <c r="AV23" s="34">
        <v>-4.5289999999999999</v>
      </c>
      <c r="AW23" t="str">
        <f t="shared" si="0"/>
        <v>Sri Lanka</v>
      </c>
      <c r="AX23" s="7">
        <f t="shared" si="1"/>
        <v>-0.688867930648558</v>
      </c>
      <c r="AZ23" t="s">
        <v>77</v>
      </c>
      <c r="BA23" s="4">
        <f>VLOOKUP(AZ23,'Stripped Spread'!$C$18:$E$60,3,0)</f>
        <v>0.16739140015649304</v>
      </c>
      <c r="BI23" t="s">
        <v>14</v>
      </c>
      <c r="BJ23" s="7">
        <f t="shared" si="2"/>
        <v>-1.4573427802433785</v>
      </c>
      <c r="BK23" s="4">
        <f t="shared" si="3"/>
        <v>-0.24455989205539388</v>
      </c>
    </row>
    <row r="24" spans="1:63" x14ac:dyDescent="0.2">
      <c r="A24" t="s">
        <v>14</v>
      </c>
      <c r="B24">
        <v>-5.7</v>
      </c>
      <c r="C24">
        <v>-6.1</v>
      </c>
      <c r="D24">
        <v>-1.9</v>
      </c>
      <c r="E24">
        <v>-4.9000000000000004</v>
      </c>
      <c r="F24" t="s">
        <v>141</v>
      </c>
      <c r="H24" t="s">
        <v>14</v>
      </c>
      <c r="I24">
        <v>-5.6</v>
      </c>
      <c r="J24">
        <v>-2.2000000000000002</v>
      </c>
      <c r="K24">
        <v>-4.4000000000000004</v>
      </c>
      <c r="L24" t="s">
        <v>141</v>
      </c>
      <c r="N24" t="s">
        <v>14</v>
      </c>
      <c r="O24">
        <v>-6</v>
      </c>
      <c r="P24">
        <v>-5.9</v>
      </c>
      <c r="Q24">
        <v>-5.7</v>
      </c>
      <c r="R24">
        <v>-2.2000000000000002</v>
      </c>
      <c r="S24">
        <v>-4.2</v>
      </c>
      <c r="T24" t="s">
        <v>141</v>
      </c>
      <c r="V24" t="s">
        <v>14</v>
      </c>
      <c r="W24">
        <v>-6</v>
      </c>
      <c r="X24">
        <v>-5.7</v>
      </c>
      <c r="Y24">
        <v>-5.6</v>
      </c>
      <c r="Z24">
        <v>-2.2000000000000002</v>
      </c>
      <c r="AA24">
        <v>-4.3</v>
      </c>
      <c r="AB24" t="s">
        <v>141</v>
      </c>
      <c r="AD24" t="s">
        <v>14</v>
      </c>
      <c r="AE24">
        <v>-5.9</v>
      </c>
      <c r="AF24">
        <v>-5.7</v>
      </c>
      <c r="AG24">
        <v>-1.9</v>
      </c>
      <c r="AH24">
        <v>-3.4</v>
      </c>
      <c r="AI24" t="s">
        <v>141</v>
      </c>
      <c r="AK24" t="s">
        <v>34</v>
      </c>
      <c r="AL24">
        <v>-6.3</v>
      </c>
      <c r="AM24">
        <v>-4.3</v>
      </c>
      <c r="AN24">
        <v>-3.8</v>
      </c>
      <c r="AO24">
        <v>-4.5</v>
      </c>
      <c r="AQ24" t="s">
        <v>14</v>
      </c>
      <c r="AR24" s="4">
        <v>-5.7439999999999998</v>
      </c>
      <c r="AS24" s="4">
        <v>-2.327</v>
      </c>
      <c r="AT24" s="4">
        <v>-6.5460000000000003</v>
      </c>
      <c r="AU24" s="34">
        <v>-8.0350000000000001</v>
      </c>
      <c r="AV24" s="34">
        <v>-8.0269999999999992</v>
      </c>
      <c r="AW24" t="str">
        <f t="shared" si="0"/>
        <v>Turkey</v>
      </c>
      <c r="AX24" s="7">
        <f t="shared" si="1"/>
        <v>-1.4573427802433785</v>
      </c>
      <c r="AZ24" t="s">
        <v>14</v>
      </c>
      <c r="BA24" s="4">
        <f>VLOOKUP(AZ24,'Stripped Spread'!$C$18:$E$60,3,0)</f>
        <v>-0.24455989205539388</v>
      </c>
      <c r="BI24" t="s">
        <v>58</v>
      </c>
      <c r="BJ24" s="7">
        <f t="shared" si="2"/>
        <v>-0.5894182442304049</v>
      </c>
      <c r="BK24" s="4">
        <f t="shared" si="3"/>
        <v>1.5328752249159792</v>
      </c>
    </row>
    <row r="25" spans="1:63" x14ac:dyDescent="0.2">
      <c r="A25" t="s">
        <v>58</v>
      </c>
      <c r="B25">
        <v>-4.2</v>
      </c>
      <c r="C25">
        <v>-7.1</v>
      </c>
      <c r="D25">
        <v>1.1000000000000001</v>
      </c>
      <c r="E25">
        <v>7.3</v>
      </c>
      <c r="F25" t="s">
        <v>141</v>
      </c>
      <c r="H25" t="s">
        <v>58</v>
      </c>
      <c r="I25">
        <v>-7.2</v>
      </c>
      <c r="J25">
        <v>0.3</v>
      </c>
      <c r="K25">
        <v>1.5</v>
      </c>
      <c r="L25" t="s">
        <v>141</v>
      </c>
      <c r="N25" t="s">
        <v>58</v>
      </c>
      <c r="O25">
        <v>-1.5</v>
      </c>
      <c r="P25">
        <v>-4.2</v>
      </c>
      <c r="Q25">
        <v>-7.3</v>
      </c>
      <c r="R25">
        <v>-1.7</v>
      </c>
      <c r="S25">
        <v>-0.1</v>
      </c>
      <c r="T25" t="s">
        <v>141</v>
      </c>
      <c r="V25" t="s">
        <v>58</v>
      </c>
      <c r="W25">
        <v>-1.5</v>
      </c>
      <c r="X25">
        <v>-3.7</v>
      </c>
      <c r="Y25">
        <v>-7.1</v>
      </c>
      <c r="Z25">
        <v>-3.2</v>
      </c>
      <c r="AA25">
        <v>-0.5</v>
      </c>
      <c r="AB25" t="s">
        <v>141</v>
      </c>
      <c r="AD25" t="s">
        <v>58</v>
      </c>
      <c r="AE25">
        <v>-4</v>
      </c>
      <c r="AF25">
        <v>-7</v>
      </c>
      <c r="AG25">
        <v>-3.3</v>
      </c>
      <c r="AH25">
        <v>-2.9</v>
      </c>
      <c r="AI25" t="s">
        <v>141</v>
      </c>
      <c r="AK25" t="s">
        <v>35</v>
      </c>
      <c r="AL25">
        <v>1</v>
      </c>
      <c r="AM25">
        <v>0.5</v>
      </c>
      <c r="AN25">
        <v>-1.4</v>
      </c>
      <c r="AO25">
        <v>0.2</v>
      </c>
      <c r="AQ25" t="s">
        <v>58</v>
      </c>
      <c r="AR25" s="4">
        <v>-7.0860000000000003</v>
      </c>
      <c r="AS25" s="4">
        <v>-1.4750000000000001</v>
      </c>
      <c r="AT25" s="4">
        <v>-1.875</v>
      </c>
      <c r="AU25" s="34">
        <v>-3.6190000000000002</v>
      </c>
      <c r="AV25" s="34">
        <v>-3.7549999999999999</v>
      </c>
      <c r="AW25" t="str">
        <f t="shared" si="0"/>
        <v>Ukraine</v>
      </c>
      <c r="AX25" s="7">
        <f t="shared" si="1"/>
        <v>-0.5894182442304049</v>
      </c>
      <c r="AZ25" t="s">
        <v>58</v>
      </c>
      <c r="BA25" s="4">
        <f>VLOOKUP(AZ25,'Stripped Spread'!$C$18:$E$60,3,0)</f>
        <v>1.5328752249159792</v>
      </c>
      <c r="BI25" t="s">
        <v>72</v>
      </c>
      <c r="BJ25" s="7">
        <f t="shared" si="2"/>
        <v>-8.3915095085167368E-2</v>
      </c>
      <c r="BK25" s="4">
        <f t="shared" si="3"/>
        <v>-0.34765727585037098</v>
      </c>
    </row>
    <row r="26" spans="1:63" x14ac:dyDescent="0.2">
      <c r="A26" t="s">
        <v>72</v>
      </c>
      <c r="H26" t="s">
        <v>72</v>
      </c>
      <c r="I26">
        <v>-3.7</v>
      </c>
      <c r="J26">
        <v>0</v>
      </c>
      <c r="K26">
        <v>-1.8</v>
      </c>
      <c r="N26" t="s">
        <v>72</v>
      </c>
      <c r="V26" t="s">
        <v>72</v>
      </c>
      <c r="W26">
        <v>-2</v>
      </c>
      <c r="X26">
        <v>-0.9</v>
      </c>
      <c r="Y26">
        <v>-3.8</v>
      </c>
      <c r="Z26">
        <v>0.4</v>
      </c>
      <c r="AA26">
        <v>-0.2</v>
      </c>
      <c r="AD26" t="s">
        <v>72</v>
      </c>
      <c r="AF26">
        <v>-1.5</v>
      </c>
      <c r="AG26">
        <v>0.6</v>
      </c>
      <c r="AH26">
        <v>-0.9</v>
      </c>
      <c r="AK26" t="s">
        <v>55</v>
      </c>
      <c r="AL26">
        <v>-3.1</v>
      </c>
      <c r="AM26">
        <v>-3.4</v>
      </c>
      <c r="AN26">
        <v>-2.7</v>
      </c>
      <c r="AO26">
        <v>-2.6</v>
      </c>
      <c r="AQ26" t="s">
        <v>72</v>
      </c>
      <c r="AR26" s="4">
        <v>-4.7480000000000002</v>
      </c>
      <c r="AS26" s="4">
        <v>0.56799999999999995</v>
      </c>
      <c r="AT26" s="4">
        <v>0.48899999999999999</v>
      </c>
      <c r="AU26" s="34">
        <v>-1.0469999999999999</v>
      </c>
      <c r="AV26" s="34">
        <v>-1.593</v>
      </c>
      <c r="AW26" t="str">
        <f t="shared" si="0"/>
        <v>Uruguay</v>
      </c>
      <c r="AX26" s="7">
        <f t="shared" si="1"/>
        <v>-8.3915095085167368E-2</v>
      </c>
      <c r="AZ26" t="s">
        <v>72</v>
      </c>
      <c r="BA26" s="4">
        <f>VLOOKUP(AZ26,'Stripped Spread'!$C$18:$E$60,3,0)</f>
        <v>-0.34765727585037098</v>
      </c>
      <c r="BJ26" s="7"/>
      <c r="BK26" s="4"/>
    </row>
    <row r="27" spans="1:63" x14ac:dyDescent="0.2">
      <c r="A27" t="s">
        <v>12</v>
      </c>
      <c r="B27">
        <v>8.8000000000000007</v>
      </c>
      <c r="C27">
        <v>12.3</v>
      </c>
      <c r="D27">
        <v>1.3</v>
      </c>
      <c r="E27">
        <v>1.4</v>
      </c>
      <c r="F27" t="s">
        <v>141</v>
      </c>
      <c r="H27" t="s">
        <v>12</v>
      </c>
      <c r="I27">
        <v>12.5</v>
      </c>
      <c r="J27">
        <v>-1.3</v>
      </c>
      <c r="K27">
        <v>6.3</v>
      </c>
      <c r="L27" t="s">
        <v>141</v>
      </c>
      <c r="N27" t="s">
        <v>12</v>
      </c>
      <c r="O27">
        <v>14.7</v>
      </c>
      <c r="P27">
        <v>8.8000000000000007</v>
      </c>
      <c r="Q27">
        <v>12.5</v>
      </c>
      <c r="R27">
        <v>2.2000000000000002</v>
      </c>
      <c r="S27">
        <v>8.8000000000000007</v>
      </c>
      <c r="T27" t="s">
        <v>141</v>
      </c>
      <c r="V27" t="s">
        <v>12</v>
      </c>
      <c r="W27">
        <v>16.3</v>
      </c>
      <c r="X27">
        <v>8.8000000000000007</v>
      </c>
      <c r="Y27">
        <v>12.3</v>
      </c>
      <c r="Z27">
        <v>3.6</v>
      </c>
      <c r="AA27">
        <v>10.1</v>
      </c>
      <c r="AB27" t="s">
        <v>141</v>
      </c>
      <c r="AD27" t="s">
        <v>12</v>
      </c>
      <c r="AG27">
        <v>3.2</v>
      </c>
      <c r="AH27">
        <v>5.8</v>
      </c>
      <c r="AI27" t="s">
        <v>142</v>
      </c>
      <c r="AK27" t="s">
        <v>125</v>
      </c>
      <c r="AL27">
        <v>1.7</v>
      </c>
      <c r="AM27">
        <v>0.5</v>
      </c>
      <c r="AN27">
        <v>-1.8</v>
      </c>
      <c r="AO27">
        <v>-1.4</v>
      </c>
      <c r="AQ27" t="s">
        <v>12</v>
      </c>
      <c r="AR27" s="4">
        <v>12.035</v>
      </c>
      <c r="AS27" s="4">
        <v>2.629</v>
      </c>
      <c r="AT27" s="4">
        <v>4.9459999999999997</v>
      </c>
      <c r="AU27" s="34">
        <v>7.0190000000000001</v>
      </c>
      <c r="AV27" s="34">
        <v>6.2939999999999996</v>
      </c>
      <c r="AW27" t="str">
        <f t="shared" si="0"/>
        <v>Venezuela</v>
      </c>
      <c r="AX27" s="7">
        <f t="shared" si="1"/>
        <v>1.5013836611378051</v>
      </c>
      <c r="AZ27" t="s">
        <v>12</v>
      </c>
      <c r="BA27" s="4">
        <f>VLOOKUP(AZ27,'Stripped Spread'!$C$18:$E$60,3,0)</f>
        <v>2.7898082980863612</v>
      </c>
      <c r="BJ27" s="7"/>
      <c r="BK27" s="4"/>
    </row>
    <row r="28" spans="1:63" x14ac:dyDescent="0.2">
      <c r="A28" t="s">
        <v>64</v>
      </c>
      <c r="B28">
        <v>-9.8000000000000007</v>
      </c>
      <c r="C28">
        <v>-10.3</v>
      </c>
      <c r="D28">
        <v>-4.7</v>
      </c>
      <c r="E28">
        <v>-5.3</v>
      </c>
      <c r="H28" t="s">
        <v>64</v>
      </c>
      <c r="I28">
        <v>-10.3</v>
      </c>
      <c r="J28">
        <v>-9.8000000000000007</v>
      </c>
      <c r="K28">
        <v>-7.8</v>
      </c>
      <c r="N28" t="s">
        <v>64</v>
      </c>
      <c r="O28">
        <v>-0.3</v>
      </c>
      <c r="P28">
        <v>-9.8000000000000007</v>
      </c>
      <c r="Q28">
        <v>-9.4</v>
      </c>
      <c r="R28">
        <v>-6.4</v>
      </c>
      <c r="S28">
        <v>-7.9</v>
      </c>
      <c r="V28" t="s">
        <v>64</v>
      </c>
      <c r="W28">
        <v>-0.3</v>
      </c>
      <c r="X28">
        <v>-9.8000000000000007</v>
      </c>
      <c r="Y28">
        <v>-11.6</v>
      </c>
      <c r="Z28">
        <v>-5.2</v>
      </c>
      <c r="AA28">
        <v>-8.9</v>
      </c>
      <c r="AD28" t="s">
        <v>64</v>
      </c>
      <c r="AE28">
        <v>-9.8000000000000007</v>
      </c>
      <c r="AF28">
        <v>-11.6</v>
      </c>
      <c r="AG28">
        <v>-7.4</v>
      </c>
      <c r="AH28">
        <v>-13</v>
      </c>
      <c r="AK28" t="s">
        <v>123</v>
      </c>
      <c r="AL28">
        <v>0.1</v>
      </c>
      <c r="AM28">
        <v>-1</v>
      </c>
      <c r="AN28">
        <v>-1.2</v>
      </c>
      <c r="AO28">
        <v>-1</v>
      </c>
      <c r="AQ28" t="s">
        <v>64</v>
      </c>
      <c r="AR28" s="4">
        <v>-11.945</v>
      </c>
      <c r="AS28" s="4">
        <v>-6.5640000000000001</v>
      </c>
      <c r="AT28" s="4">
        <v>-3.7919999999999998</v>
      </c>
      <c r="AU28" s="34">
        <v>-4.0090000000000003</v>
      </c>
      <c r="AV28" s="34">
        <v>-3.93</v>
      </c>
      <c r="AW28" t="str">
        <f t="shared" si="0"/>
        <v>Vietnam</v>
      </c>
      <c r="AX28" s="7">
        <f t="shared" si="1"/>
        <v>-0.66606918830763751</v>
      </c>
      <c r="AZ28" t="s">
        <v>64</v>
      </c>
      <c r="BA28" s="4">
        <f>VLOOKUP(AZ28,'Stripped Spread'!$C$18:$E$60,3,0)</f>
        <v>0.45654469091159733</v>
      </c>
      <c r="BJ28" s="7"/>
      <c r="BK28" s="4"/>
    </row>
    <row r="29" spans="1:63" x14ac:dyDescent="0.2">
      <c r="AR29" s="4"/>
      <c r="AS29" s="4"/>
      <c r="AT29" s="4"/>
      <c r="AU29" s="4"/>
      <c r="AV29" s="4"/>
      <c r="BA29" s="4"/>
    </row>
    <row r="30" spans="1:63" x14ac:dyDescent="0.2">
      <c r="A30" t="s">
        <v>24</v>
      </c>
      <c r="B30">
        <v>6.9</v>
      </c>
      <c r="C30">
        <v>6</v>
      </c>
      <c r="D30">
        <v>6.4</v>
      </c>
      <c r="E30">
        <v>5.7</v>
      </c>
      <c r="F30" t="s">
        <v>142</v>
      </c>
      <c r="H30" t="s">
        <v>16</v>
      </c>
      <c r="I30">
        <v>5.6</v>
      </c>
      <c r="J30">
        <v>5</v>
      </c>
      <c r="K30">
        <v>4.0999999999999996</v>
      </c>
      <c r="L30" t="s">
        <v>142</v>
      </c>
      <c r="N30" t="s">
        <v>147</v>
      </c>
      <c r="O30">
        <v>6.5</v>
      </c>
      <c r="P30">
        <v>7.3</v>
      </c>
      <c r="Q30">
        <v>5.9</v>
      </c>
      <c r="R30">
        <v>4.4000000000000004</v>
      </c>
      <c r="S30">
        <v>3.8</v>
      </c>
      <c r="T30" t="s">
        <v>142</v>
      </c>
      <c r="V30" t="s">
        <v>148</v>
      </c>
      <c r="W30">
        <v>5.9</v>
      </c>
      <c r="X30">
        <v>7.3</v>
      </c>
      <c r="Y30">
        <v>5.0999999999999996</v>
      </c>
      <c r="Z30">
        <v>5.2</v>
      </c>
      <c r="AA30">
        <v>4.2</v>
      </c>
      <c r="AB30" t="s">
        <v>142</v>
      </c>
      <c r="AD30" t="s">
        <v>138</v>
      </c>
      <c r="AE30">
        <v>6.7</v>
      </c>
      <c r="AF30">
        <v>4.4000000000000004</v>
      </c>
      <c r="AG30">
        <v>4</v>
      </c>
      <c r="AH30">
        <v>2.8</v>
      </c>
      <c r="AI30" t="s">
        <v>142</v>
      </c>
      <c r="AK30" t="s">
        <v>41</v>
      </c>
      <c r="AL30">
        <v>-1</v>
      </c>
      <c r="AM30">
        <v>-1.9</v>
      </c>
      <c r="AN30">
        <v>-1.2</v>
      </c>
      <c r="AO30">
        <v>-1.7</v>
      </c>
      <c r="AR30" s="4">
        <f t="shared" ref="AR30:AT32" si="4">AVERAGE(C30,I30,Q30,Y30,AF30)</f>
        <v>5.4</v>
      </c>
      <c r="AS30" s="4">
        <f t="shared" si="4"/>
        <v>5</v>
      </c>
      <c r="AT30" s="4">
        <f t="shared" si="4"/>
        <v>4.12</v>
      </c>
      <c r="AU30" s="4"/>
      <c r="AV30" s="4"/>
      <c r="AW30" t="str">
        <f t="shared" si="0"/>
        <v>Asia ex Japan</v>
      </c>
      <c r="BA30" s="4"/>
    </row>
    <row r="31" spans="1:63" x14ac:dyDescent="0.2">
      <c r="A31" t="s">
        <v>29</v>
      </c>
      <c r="B31">
        <v>-4.7</v>
      </c>
      <c r="C31">
        <v>-5.3</v>
      </c>
      <c r="D31">
        <v>-1.2</v>
      </c>
      <c r="E31">
        <v>-3.1</v>
      </c>
      <c r="F31" t="s">
        <v>142</v>
      </c>
      <c r="H31" t="s">
        <v>124</v>
      </c>
      <c r="I31">
        <v>2.6</v>
      </c>
      <c r="J31">
        <v>-4.4000000000000004</v>
      </c>
      <c r="K31">
        <v>-0.2</v>
      </c>
      <c r="L31" t="s">
        <v>142</v>
      </c>
      <c r="N31" t="s">
        <v>82</v>
      </c>
      <c r="O31">
        <v>5.5</v>
      </c>
      <c r="P31">
        <v>3</v>
      </c>
      <c r="Q31">
        <v>4.0999999999999996</v>
      </c>
      <c r="R31">
        <v>1.1000000000000001</v>
      </c>
      <c r="S31">
        <v>2.4</v>
      </c>
      <c r="T31" t="s">
        <v>142</v>
      </c>
      <c r="V31" t="s">
        <v>108</v>
      </c>
      <c r="W31">
        <v>1</v>
      </c>
      <c r="X31">
        <v>0.6</v>
      </c>
      <c r="Y31">
        <v>-0.3</v>
      </c>
      <c r="Z31">
        <v>1.2</v>
      </c>
      <c r="AA31">
        <v>0.9</v>
      </c>
      <c r="AB31" t="s">
        <v>142</v>
      </c>
      <c r="AD31" t="s">
        <v>124</v>
      </c>
      <c r="AE31">
        <v>1.9</v>
      </c>
      <c r="AF31">
        <v>1.3</v>
      </c>
      <c r="AG31">
        <v>0.4</v>
      </c>
      <c r="AH31">
        <v>-0.3</v>
      </c>
      <c r="AI31" t="s">
        <v>142</v>
      </c>
      <c r="AK31" t="s">
        <v>42</v>
      </c>
      <c r="AL31">
        <v>7.9</v>
      </c>
      <c r="AM31">
        <v>6.6</v>
      </c>
      <c r="AN31">
        <v>4.0999999999999996</v>
      </c>
      <c r="AO31">
        <v>4.3</v>
      </c>
      <c r="AR31" s="4">
        <f t="shared" si="4"/>
        <v>0.48</v>
      </c>
      <c r="AS31" s="4">
        <f t="shared" si="4"/>
        <v>-0.57999999999999996</v>
      </c>
      <c r="AT31" s="4">
        <f t="shared" si="4"/>
        <v>-6.0000000000000067E-2</v>
      </c>
      <c r="AU31" s="4"/>
      <c r="AV31" s="4"/>
      <c r="AW31" t="str">
        <f t="shared" si="0"/>
        <v>Central and Eastern Europe</v>
      </c>
      <c r="BA31" s="4"/>
    </row>
    <row r="32" spans="1:63" x14ac:dyDescent="0.2">
      <c r="A32" t="s">
        <v>30</v>
      </c>
      <c r="B32">
        <v>0.7</v>
      </c>
      <c r="C32">
        <v>-0.3</v>
      </c>
      <c r="D32">
        <v>-1.1000000000000001</v>
      </c>
      <c r="E32">
        <v>-1.3</v>
      </c>
      <c r="F32" t="s">
        <v>142</v>
      </c>
      <c r="H32" t="s">
        <v>25</v>
      </c>
      <c r="I32">
        <v>-0.4</v>
      </c>
      <c r="J32">
        <v>-1</v>
      </c>
      <c r="K32">
        <v>-1</v>
      </c>
      <c r="L32" t="s">
        <v>142</v>
      </c>
      <c r="N32" t="s">
        <v>83</v>
      </c>
      <c r="O32">
        <v>2.1</v>
      </c>
      <c r="P32">
        <v>0.9</v>
      </c>
      <c r="Q32">
        <v>-0.3</v>
      </c>
      <c r="R32">
        <v>-1.4</v>
      </c>
      <c r="S32">
        <v>-0.4</v>
      </c>
      <c r="T32" t="s">
        <v>142</v>
      </c>
      <c r="V32" t="s">
        <v>25</v>
      </c>
      <c r="W32">
        <v>2.1</v>
      </c>
      <c r="X32">
        <v>0.8</v>
      </c>
      <c r="Y32">
        <v>-0.4</v>
      </c>
      <c r="Z32">
        <v>-0.8</v>
      </c>
      <c r="AA32">
        <v>-0.2</v>
      </c>
      <c r="AB32" t="s">
        <v>142</v>
      </c>
      <c r="AD32" t="s">
        <v>25</v>
      </c>
      <c r="AE32">
        <v>0.5</v>
      </c>
      <c r="AF32">
        <v>-1</v>
      </c>
      <c r="AG32">
        <v>-0.3</v>
      </c>
      <c r="AH32">
        <v>-1.2</v>
      </c>
      <c r="AI32" t="s">
        <v>142</v>
      </c>
      <c r="AK32" t="s">
        <v>21</v>
      </c>
      <c r="AL32">
        <v>10.8</v>
      </c>
      <c r="AM32">
        <v>10.9</v>
      </c>
      <c r="AN32">
        <v>9.6</v>
      </c>
      <c r="AO32">
        <v>9.6999999999999993</v>
      </c>
      <c r="AR32" s="4">
        <f t="shared" si="4"/>
        <v>-0.48</v>
      </c>
      <c r="AS32" s="4">
        <f t="shared" si="4"/>
        <v>-0.91999999999999993</v>
      </c>
      <c r="AT32" s="4">
        <f t="shared" si="4"/>
        <v>-0.82</v>
      </c>
      <c r="AU32" s="4"/>
      <c r="AV32" s="4"/>
      <c r="AW32" t="str">
        <f t="shared" si="0"/>
        <v>Latin Am</v>
      </c>
      <c r="BA32" s="4"/>
    </row>
    <row r="33" spans="1:53" x14ac:dyDescent="0.2">
      <c r="AR33" s="4"/>
      <c r="AS33" s="4"/>
      <c r="AT33" s="4"/>
      <c r="AU33" s="4"/>
      <c r="AV33" s="4"/>
      <c r="BA33" s="4"/>
    </row>
    <row r="34" spans="1:53" x14ac:dyDescent="0.2">
      <c r="A34" t="s">
        <v>68</v>
      </c>
      <c r="B34">
        <v>3.7</v>
      </c>
      <c r="C34">
        <v>3.2</v>
      </c>
      <c r="D34">
        <v>2.4</v>
      </c>
      <c r="E34">
        <v>2.1</v>
      </c>
      <c r="H34" t="s">
        <v>68</v>
      </c>
      <c r="I34">
        <v>2.7</v>
      </c>
      <c r="J34">
        <v>2</v>
      </c>
      <c r="K34">
        <v>2.1</v>
      </c>
      <c r="N34" t="s">
        <v>92</v>
      </c>
      <c r="O34">
        <v>5.2</v>
      </c>
      <c r="P34">
        <v>4.7</v>
      </c>
      <c r="Q34">
        <v>4</v>
      </c>
      <c r="R34">
        <v>2</v>
      </c>
      <c r="S34">
        <v>2.6</v>
      </c>
      <c r="V34" t="s">
        <v>20</v>
      </c>
      <c r="W34">
        <v>3.9</v>
      </c>
      <c r="X34">
        <v>4.2</v>
      </c>
      <c r="Y34">
        <v>2.6</v>
      </c>
      <c r="Z34">
        <v>2.8</v>
      </c>
      <c r="AA34">
        <v>2.4</v>
      </c>
      <c r="AR34" s="4">
        <f>AVERAGE(C34,I34,Q34,Y34,AF34)</f>
        <v>3.125</v>
      </c>
      <c r="AS34" s="4">
        <f>AVERAGE(D34,J34,R34,Z34,AG34)</f>
        <v>2.2999999999999998</v>
      </c>
      <c r="AT34" s="4">
        <f>AVERAGE(E34,K34,S34,AA34,AH34)</f>
        <v>2.3000000000000003</v>
      </c>
      <c r="AU34" s="4">
        <f>AVERAGE(AU4:AU28)</f>
        <v>-0.62004000000000015</v>
      </c>
      <c r="AV34" s="4"/>
      <c r="AW34" t="str">
        <f t="shared" si="0"/>
        <v>EM</v>
      </c>
      <c r="BA34" s="4"/>
    </row>
    <row r="35" spans="1:53" x14ac:dyDescent="0.2">
      <c r="AR35" s="4"/>
      <c r="AS35" s="4"/>
      <c r="AT35" s="4">
        <f>STDEV(AT4:AT28)</f>
        <v>4.6016076132876291</v>
      </c>
      <c r="AU35" s="4">
        <f>STDEV(AU4:AU28)</f>
        <v>5.0879999547955972</v>
      </c>
      <c r="AV35" s="4"/>
      <c r="BA35" s="4"/>
    </row>
    <row r="36" spans="1:53" ht="13.5" thickBot="1" x14ac:dyDescent="0.25">
      <c r="A36" t="s">
        <v>67</v>
      </c>
      <c r="B36">
        <v>-1</v>
      </c>
      <c r="C36">
        <v>-1.4</v>
      </c>
      <c r="D36">
        <v>-1.3</v>
      </c>
      <c r="E36">
        <v>-1.4</v>
      </c>
      <c r="H36" t="s">
        <v>69</v>
      </c>
      <c r="I36">
        <v>1.7</v>
      </c>
      <c r="J36">
        <v>2.5</v>
      </c>
      <c r="K36">
        <v>1.7</v>
      </c>
      <c r="N36" t="s">
        <v>55</v>
      </c>
      <c r="O36">
        <v>-2.6</v>
      </c>
      <c r="P36">
        <v>-1.8</v>
      </c>
      <c r="Q36">
        <v>-3</v>
      </c>
      <c r="R36">
        <v>-2.7</v>
      </c>
      <c r="S36">
        <v>-0.8</v>
      </c>
      <c r="V36" t="s">
        <v>18</v>
      </c>
      <c r="W36">
        <v>-4.5</v>
      </c>
      <c r="X36">
        <v>-4.0999999999999996</v>
      </c>
      <c r="Y36">
        <v>-4.0999999999999996</v>
      </c>
      <c r="Z36">
        <v>-3</v>
      </c>
      <c r="AA36">
        <v>-2.7</v>
      </c>
      <c r="AD36" t="s">
        <v>55</v>
      </c>
      <c r="AE36">
        <v>-2.5</v>
      </c>
      <c r="AF36">
        <v>-3.4</v>
      </c>
      <c r="AG36">
        <v>-2.7</v>
      </c>
      <c r="AH36">
        <v>-2.6</v>
      </c>
      <c r="AK36" t="s">
        <v>1</v>
      </c>
      <c r="AL36">
        <v>-1</v>
      </c>
      <c r="AM36">
        <v>-3.2</v>
      </c>
      <c r="AN36">
        <v>-2.2000000000000002</v>
      </c>
      <c r="AO36">
        <v>-2.5</v>
      </c>
      <c r="AR36" s="4"/>
      <c r="AS36" s="4"/>
      <c r="BA36" s="4"/>
    </row>
    <row r="37" spans="1:53" x14ac:dyDescent="0.2">
      <c r="A37" t="s">
        <v>34</v>
      </c>
      <c r="B37">
        <v>-5.3</v>
      </c>
      <c r="C37">
        <v>-6.2</v>
      </c>
      <c r="D37">
        <v>-4.3</v>
      </c>
      <c r="E37">
        <v>-4.5</v>
      </c>
      <c r="H37" t="s">
        <v>55</v>
      </c>
      <c r="I37">
        <v>-3.1</v>
      </c>
      <c r="J37">
        <v>-2.8</v>
      </c>
      <c r="K37">
        <v>0.7</v>
      </c>
      <c r="N37" t="s">
        <v>21</v>
      </c>
      <c r="O37">
        <v>12.1</v>
      </c>
      <c r="P37">
        <v>12.4</v>
      </c>
      <c r="Q37">
        <v>14.2</v>
      </c>
      <c r="R37">
        <v>11.5</v>
      </c>
      <c r="S37">
        <v>12.9</v>
      </c>
      <c r="V37" t="s">
        <v>102</v>
      </c>
      <c r="W37">
        <v>4.4000000000000004</v>
      </c>
      <c r="X37">
        <v>6.1</v>
      </c>
      <c r="Y37">
        <v>4.5</v>
      </c>
      <c r="Z37">
        <v>4.3</v>
      </c>
      <c r="AA37">
        <v>3.3</v>
      </c>
      <c r="AD37" t="s">
        <v>115</v>
      </c>
      <c r="AE37">
        <v>0.1</v>
      </c>
      <c r="AF37">
        <v>-1</v>
      </c>
      <c r="AG37">
        <v>-1.2</v>
      </c>
      <c r="AH37">
        <v>-1</v>
      </c>
      <c r="AK37" t="s">
        <v>61</v>
      </c>
      <c r="AL37">
        <v>2.6</v>
      </c>
      <c r="AM37">
        <v>0.8</v>
      </c>
      <c r="AN37">
        <v>2</v>
      </c>
      <c r="AO37">
        <v>1.7</v>
      </c>
      <c r="AW37" s="53" t="s">
        <v>709</v>
      </c>
      <c r="AX37" s="54">
        <f>LINEST(BK4:BK25,BJ4:BJ25,TRUE,FALSE)</f>
        <v>-0.20049638710730583</v>
      </c>
      <c r="BA37" s="4"/>
    </row>
    <row r="38" spans="1:53" ht="13.5" thickBot="1" x14ac:dyDescent="0.25">
      <c r="A38" t="s">
        <v>35</v>
      </c>
      <c r="B38">
        <v>0.9</v>
      </c>
      <c r="C38">
        <v>0.6</v>
      </c>
      <c r="D38">
        <v>-2.2999999999999998</v>
      </c>
      <c r="E38">
        <v>-2.2000000000000002</v>
      </c>
      <c r="H38" t="s">
        <v>15</v>
      </c>
      <c r="I38" s="2">
        <v>-6.0000000000000001E-3</v>
      </c>
      <c r="J38" s="2">
        <v>-1.7000000000000001E-2</v>
      </c>
      <c r="K38" s="2">
        <v>3.0000000000000001E-3</v>
      </c>
      <c r="N38" t="s">
        <v>1</v>
      </c>
      <c r="O38">
        <v>-1</v>
      </c>
      <c r="P38">
        <v>-1.5</v>
      </c>
      <c r="Q38">
        <v>-2.8</v>
      </c>
      <c r="R38">
        <v>-1.8</v>
      </c>
      <c r="S38">
        <v>-3.3</v>
      </c>
      <c r="V38" t="s">
        <v>34</v>
      </c>
      <c r="W38">
        <v>-5.5</v>
      </c>
      <c r="X38">
        <v>3.4</v>
      </c>
      <c r="Y38">
        <v>4.5999999999999996</v>
      </c>
      <c r="Z38">
        <v>-3.4</v>
      </c>
      <c r="AA38">
        <v>-4.5999999999999996</v>
      </c>
      <c r="AD38" t="s">
        <v>116</v>
      </c>
      <c r="AE38">
        <v>10.8</v>
      </c>
      <c r="AF38">
        <v>10.9</v>
      </c>
      <c r="AG38">
        <v>9.6</v>
      </c>
      <c r="AH38">
        <v>9.6999999999999993</v>
      </c>
      <c r="AK38" t="s">
        <v>44</v>
      </c>
      <c r="AL38">
        <v>-2.4</v>
      </c>
      <c r="AM38">
        <v>-3.4</v>
      </c>
      <c r="AN38">
        <v>-2.9</v>
      </c>
      <c r="AO38">
        <v>-2.7</v>
      </c>
      <c r="AW38" s="55" t="s">
        <v>315</v>
      </c>
      <c r="AX38" s="56">
        <f>INTERCEPT(BK4:BK25,BJ4:BJ25)</f>
        <v>5.8302855713347437E-2</v>
      </c>
      <c r="BA38" s="4"/>
    </row>
    <row r="39" spans="1:53" x14ac:dyDescent="0.2">
      <c r="A39" t="s">
        <v>66</v>
      </c>
      <c r="B39">
        <v>-3.1</v>
      </c>
      <c r="C39">
        <v>-3.1</v>
      </c>
      <c r="D39">
        <v>-2.5</v>
      </c>
      <c r="E39">
        <v>-2.2999999999999998</v>
      </c>
      <c r="H39" t="s">
        <v>21</v>
      </c>
      <c r="I39">
        <v>14.2</v>
      </c>
      <c r="J39">
        <v>8.1999999999999993</v>
      </c>
      <c r="K39">
        <v>9</v>
      </c>
      <c r="N39" t="s">
        <v>6</v>
      </c>
      <c r="O39">
        <v>0.6</v>
      </c>
      <c r="P39">
        <v>0.6</v>
      </c>
      <c r="Q39">
        <v>-0.7</v>
      </c>
      <c r="R39">
        <v>3.7</v>
      </c>
      <c r="S39">
        <v>2.1</v>
      </c>
      <c r="V39" t="s">
        <v>101</v>
      </c>
      <c r="W39">
        <v>6.1</v>
      </c>
      <c r="X39">
        <v>6.9</v>
      </c>
      <c r="Y39">
        <v>4.8</v>
      </c>
      <c r="Z39">
        <v>3.3</v>
      </c>
      <c r="AA39">
        <v>2.9</v>
      </c>
      <c r="AD39" t="s">
        <v>1</v>
      </c>
      <c r="AE39">
        <v>-1</v>
      </c>
      <c r="AF39">
        <v>-3.2</v>
      </c>
      <c r="AG39">
        <v>-2.2000000000000002</v>
      </c>
      <c r="AH39">
        <v>-2.5</v>
      </c>
      <c r="AK39" t="s">
        <v>17</v>
      </c>
      <c r="AL39">
        <v>4.9000000000000004</v>
      </c>
      <c r="AM39">
        <v>3.2</v>
      </c>
      <c r="AN39">
        <v>2.8</v>
      </c>
      <c r="AO39">
        <v>4.0999999999999996</v>
      </c>
      <c r="BA39" s="4"/>
    </row>
    <row r="40" spans="1:53" x14ac:dyDescent="0.2">
      <c r="A40" t="s">
        <v>38</v>
      </c>
      <c r="B40">
        <v>0.7</v>
      </c>
      <c r="C40">
        <v>2.2999999999999998</v>
      </c>
      <c r="D40">
        <v>3.1</v>
      </c>
      <c r="E40">
        <v>3.1</v>
      </c>
      <c r="H40" t="s">
        <v>1</v>
      </c>
      <c r="I40">
        <v>-2.6</v>
      </c>
      <c r="J40">
        <v>-0.9</v>
      </c>
      <c r="K40">
        <v>0.2</v>
      </c>
      <c r="N40" t="s">
        <v>62</v>
      </c>
      <c r="O40">
        <v>10.6</v>
      </c>
      <c r="P40">
        <v>0.7</v>
      </c>
      <c r="Q40">
        <v>0.5</v>
      </c>
      <c r="R40">
        <v>-4.7</v>
      </c>
      <c r="S40">
        <v>-0.7</v>
      </c>
      <c r="V40" t="s">
        <v>35</v>
      </c>
      <c r="W40">
        <v>1.4</v>
      </c>
      <c r="X40">
        <v>0.9</v>
      </c>
      <c r="Y40">
        <v>0.6</v>
      </c>
      <c r="Z40">
        <v>-2.5</v>
      </c>
      <c r="AA40">
        <v>-1.5</v>
      </c>
      <c r="AD40" t="s">
        <v>17</v>
      </c>
      <c r="AE40">
        <v>4.9000000000000004</v>
      </c>
      <c r="AF40">
        <v>3.2</v>
      </c>
      <c r="AG40">
        <v>2.8</v>
      </c>
      <c r="AH40">
        <v>4.0999999999999996</v>
      </c>
      <c r="AK40" t="s">
        <v>59</v>
      </c>
      <c r="AL40">
        <v>-8.1999999999999993</v>
      </c>
      <c r="AM40">
        <v>-8.9</v>
      </c>
      <c r="AN40">
        <v>-7.5</v>
      </c>
      <c r="AO40">
        <v>-8</v>
      </c>
      <c r="BA40" s="4"/>
    </row>
    <row r="41" spans="1:53" x14ac:dyDescent="0.2">
      <c r="H41" t="s">
        <v>61</v>
      </c>
      <c r="I41">
        <v>1.1000000000000001</v>
      </c>
      <c r="J41">
        <v>1</v>
      </c>
      <c r="K41">
        <v>0.9</v>
      </c>
      <c r="N41" t="s">
        <v>84</v>
      </c>
      <c r="O41">
        <v>27.8</v>
      </c>
      <c r="P41">
        <v>24.8</v>
      </c>
      <c r="Q41">
        <v>33</v>
      </c>
      <c r="R41">
        <v>12.3</v>
      </c>
      <c r="S41">
        <v>17.399999999999999</v>
      </c>
      <c r="V41" t="s">
        <v>55</v>
      </c>
      <c r="W41">
        <v>-3.1</v>
      </c>
      <c r="X41">
        <v>-3</v>
      </c>
      <c r="Y41">
        <v>-3</v>
      </c>
      <c r="Z41">
        <v>-1.1000000000000001</v>
      </c>
      <c r="AA41">
        <v>-1.8</v>
      </c>
      <c r="AD41" t="s">
        <v>6</v>
      </c>
      <c r="AE41">
        <v>0.6</v>
      </c>
      <c r="AF41">
        <v>-0.7</v>
      </c>
      <c r="AG41">
        <v>2.9</v>
      </c>
      <c r="AH41">
        <v>0.6</v>
      </c>
      <c r="AK41" t="s">
        <v>130</v>
      </c>
      <c r="AL41">
        <v>-4.8</v>
      </c>
      <c r="AM41">
        <v>-4.2</v>
      </c>
      <c r="AN41">
        <v>-2</v>
      </c>
      <c r="AO41">
        <v>-1.1000000000000001</v>
      </c>
      <c r="BA41" s="4"/>
    </row>
    <row r="42" spans="1:53" x14ac:dyDescent="0.2">
      <c r="A42" t="s">
        <v>40</v>
      </c>
      <c r="B42">
        <v>0.2</v>
      </c>
      <c r="C42">
        <v>-1</v>
      </c>
      <c r="D42">
        <v>-2.1</v>
      </c>
      <c r="E42">
        <v>-2.5</v>
      </c>
      <c r="H42" t="s">
        <v>6</v>
      </c>
      <c r="I42">
        <v>-0.7</v>
      </c>
      <c r="J42">
        <v>4.5</v>
      </c>
      <c r="K42">
        <v>1.3</v>
      </c>
      <c r="N42" t="s">
        <v>5</v>
      </c>
      <c r="O42">
        <v>26.2</v>
      </c>
      <c r="P42">
        <v>23.5</v>
      </c>
      <c r="Q42">
        <v>14.9</v>
      </c>
      <c r="R42">
        <v>12.2</v>
      </c>
      <c r="S42">
        <v>18.100000000000001</v>
      </c>
      <c r="V42" t="s">
        <v>100</v>
      </c>
      <c r="W42">
        <v>-2.4</v>
      </c>
      <c r="X42">
        <v>-1.5</v>
      </c>
      <c r="Y42">
        <v>-1.9</v>
      </c>
      <c r="Z42">
        <v>-1.3</v>
      </c>
      <c r="AA42">
        <v>-1</v>
      </c>
      <c r="AD42" t="s">
        <v>73</v>
      </c>
      <c r="AE42">
        <v>-13.9</v>
      </c>
      <c r="AF42">
        <v>-12.6</v>
      </c>
      <c r="AG42">
        <v>-7.5</v>
      </c>
      <c r="AH42">
        <v>-7</v>
      </c>
      <c r="AK42" t="s">
        <v>63</v>
      </c>
      <c r="AL42">
        <v>16</v>
      </c>
      <c r="AM42">
        <v>19.5</v>
      </c>
      <c r="AN42">
        <v>11</v>
      </c>
      <c r="AO42">
        <v>9.5</v>
      </c>
      <c r="BA42" s="4"/>
    </row>
    <row r="43" spans="1:53" x14ac:dyDescent="0.2">
      <c r="A43" t="s">
        <v>41</v>
      </c>
      <c r="B43">
        <v>-1.2</v>
      </c>
      <c r="C43">
        <v>-1.5</v>
      </c>
      <c r="D43">
        <v>-12.5</v>
      </c>
      <c r="E43">
        <v>-1.5</v>
      </c>
      <c r="H43" t="s">
        <v>62</v>
      </c>
      <c r="I43">
        <v>17.3</v>
      </c>
      <c r="J43">
        <v>6.2</v>
      </c>
      <c r="K43">
        <v>11.7</v>
      </c>
      <c r="N43" t="s">
        <v>7</v>
      </c>
      <c r="O43">
        <v>7.2</v>
      </c>
      <c r="P43">
        <v>8.6</v>
      </c>
      <c r="Q43">
        <v>6.3</v>
      </c>
      <c r="R43">
        <v>8.1999999999999993</v>
      </c>
      <c r="S43">
        <v>8</v>
      </c>
      <c r="V43" t="s">
        <v>20</v>
      </c>
      <c r="W43">
        <v>3.9</v>
      </c>
      <c r="X43">
        <v>4.2</v>
      </c>
      <c r="Y43">
        <v>2.6</v>
      </c>
      <c r="Z43">
        <v>2.8</v>
      </c>
      <c r="AA43">
        <v>2.4</v>
      </c>
      <c r="AD43" t="s">
        <v>5</v>
      </c>
      <c r="AE43">
        <v>23.5</v>
      </c>
      <c r="AF43">
        <v>14.8</v>
      </c>
      <c r="AG43">
        <v>10.3</v>
      </c>
      <c r="AH43">
        <v>9</v>
      </c>
      <c r="AK43" t="s">
        <v>132</v>
      </c>
      <c r="AL43">
        <v>0.9</v>
      </c>
      <c r="AM43">
        <v>1.8</v>
      </c>
      <c r="AN43">
        <v>1.1000000000000001</v>
      </c>
      <c r="AO43">
        <v>1.3</v>
      </c>
    </row>
    <row r="44" spans="1:53" x14ac:dyDescent="0.2">
      <c r="A44" t="s">
        <v>42</v>
      </c>
      <c r="B44">
        <v>8</v>
      </c>
      <c r="C44">
        <v>6.6</v>
      </c>
      <c r="D44">
        <v>1.8</v>
      </c>
      <c r="E44">
        <v>2</v>
      </c>
      <c r="H44" t="s">
        <v>70</v>
      </c>
      <c r="I44">
        <v>-6.1</v>
      </c>
      <c r="J44">
        <v>-1.7</v>
      </c>
      <c r="K44">
        <v>-4.5999999999999996</v>
      </c>
      <c r="N44" t="s">
        <v>8</v>
      </c>
      <c r="O44">
        <v>1.1000000000000001</v>
      </c>
      <c r="P44">
        <v>5.7</v>
      </c>
      <c r="Q44">
        <v>-0.1</v>
      </c>
      <c r="R44">
        <v>7.7</v>
      </c>
      <c r="S44">
        <v>4.2</v>
      </c>
      <c r="V44" t="s">
        <v>106</v>
      </c>
      <c r="W44">
        <v>0</v>
      </c>
      <c r="X44">
        <v>0.4</v>
      </c>
      <c r="Y44">
        <v>-1</v>
      </c>
      <c r="Z44">
        <v>-0.6</v>
      </c>
      <c r="AA44">
        <v>0.5</v>
      </c>
      <c r="AD44" t="s">
        <v>7</v>
      </c>
      <c r="AE44">
        <v>8.6</v>
      </c>
      <c r="AF44">
        <v>6.3</v>
      </c>
      <c r="AG44">
        <v>8.8000000000000007</v>
      </c>
      <c r="AH44">
        <v>8.3000000000000007</v>
      </c>
      <c r="AK44" t="s">
        <v>84</v>
      </c>
      <c r="AL44">
        <v>24.9</v>
      </c>
      <c r="AM44">
        <v>30.8</v>
      </c>
      <c r="AN44">
        <v>7.6</v>
      </c>
      <c r="AO44">
        <v>9</v>
      </c>
    </row>
    <row r="45" spans="1:53" x14ac:dyDescent="0.2">
      <c r="A45" t="s">
        <v>21</v>
      </c>
      <c r="B45">
        <v>12.3</v>
      </c>
      <c r="C45">
        <v>14.2</v>
      </c>
      <c r="D45">
        <v>10.3</v>
      </c>
      <c r="E45">
        <v>10.8</v>
      </c>
      <c r="H45" t="s">
        <v>73</v>
      </c>
      <c r="I45">
        <v>-12.5</v>
      </c>
      <c r="J45">
        <v>-4.2</v>
      </c>
      <c r="K45">
        <v>-5.5</v>
      </c>
      <c r="N45" t="s">
        <v>85</v>
      </c>
      <c r="O45">
        <v>21.3</v>
      </c>
      <c r="P45">
        <v>18.600000000000001</v>
      </c>
      <c r="Q45">
        <v>23.5</v>
      </c>
      <c r="R45">
        <v>4.5999999999999996</v>
      </c>
      <c r="S45">
        <v>10.9</v>
      </c>
      <c r="V45" t="s">
        <v>105</v>
      </c>
      <c r="W45">
        <v>-0.4</v>
      </c>
      <c r="X45">
        <v>-0.1</v>
      </c>
      <c r="Y45">
        <v>-1</v>
      </c>
      <c r="Z45">
        <v>-0.4</v>
      </c>
      <c r="AA45">
        <v>0.3</v>
      </c>
      <c r="AD45" t="s">
        <v>8</v>
      </c>
      <c r="AE45">
        <v>5.9</v>
      </c>
      <c r="AF45">
        <v>-0.1</v>
      </c>
      <c r="AG45">
        <v>3.2</v>
      </c>
      <c r="AH45">
        <v>1.5</v>
      </c>
      <c r="AK45" t="s">
        <v>5</v>
      </c>
      <c r="AL45">
        <v>23.5</v>
      </c>
      <c r="AM45">
        <v>14.8</v>
      </c>
      <c r="AN45">
        <v>10.3</v>
      </c>
      <c r="AO45">
        <v>9</v>
      </c>
    </row>
    <row r="46" spans="1:53" x14ac:dyDescent="0.2">
      <c r="A46" t="s">
        <v>1</v>
      </c>
      <c r="B46">
        <v>-1.4</v>
      </c>
      <c r="C46">
        <v>-2.6</v>
      </c>
      <c r="D46">
        <v>-1.3</v>
      </c>
      <c r="E46">
        <v>-2.2000000000000002</v>
      </c>
      <c r="H46" t="s">
        <v>5</v>
      </c>
      <c r="I46">
        <v>14.8</v>
      </c>
      <c r="J46">
        <v>19.100000000000001</v>
      </c>
      <c r="K46">
        <v>15</v>
      </c>
      <c r="N46" t="s">
        <v>92</v>
      </c>
      <c r="O46">
        <v>5.2</v>
      </c>
      <c r="P46">
        <v>4.7</v>
      </c>
      <c r="Q46">
        <v>4</v>
      </c>
      <c r="R46">
        <v>2</v>
      </c>
      <c r="S46">
        <v>2.6</v>
      </c>
      <c r="V46" t="s">
        <v>99</v>
      </c>
      <c r="W46">
        <v>-0.6</v>
      </c>
      <c r="X46">
        <v>0.1</v>
      </c>
      <c r="Y46">
        <v>-0.7</v>
      </c>
      <c r="Z46">
        <v>0</v>
      </c>
      <c r="AA46">
        <v>0</v>
      </c>
      <c r="AD46" t="s">
        <v>114</v>
      </c>
      <c r="AE46">
        <v>-5.3</v>
      </c>
      <c r="AF46">
        <v>-4.5999999999999996</v>
      </c>
      <c r="AG46">
        <v>-2</v>
      </c>
      <c r="AH46">
        <v>-1.2</v>
      </c>
      <c r="AK46" t="s">
        <v>22</v>
      </c>
      <c r="AL46">
        <v>0.6</v>
      </c>
      <c r="AM46">
        <v>-0.7</v>
      </c>
      <c r="AN46">
        <v>2.1</v>
      </c>
      <c r="AO46">
        <v>-0.1</v>
      </c>
    </row>
    <row r="47" spans="1:53" x14ac:dyDescent="0.2">
      <c r="A47" t="s">
        <v>61</v>
      </c>
      <c r="B47">
        <v>2.8</v>
      </c>
      <c r="C47">
        <v>2.2999999999999998</v>
      </c>
      <c r="D47">
        <v>2.9</v>
      </c>
      <c r="E47">
        <v>1.5</v>
      </c>
      <c r="H47" t="s">
        <v>74</v>
      </c>
      <c r="I47">
        <v>-6</v>
      </c>
      <c r="J47">
        <v>-2.9</v>
      </c>
      <c r="K47">
        <v>-3.6</v>
      </c>
      <c r="V47" t="s">
        <v>21</v>
      </c>
      <c r="W47">
        <v>10.6</v>
      </c>
      <c r="X47">
        <v>12.4</v>
      </c>
      <c r="Y47">
        <v>13</v>
      </c>
      <c r="Z47">
        <v>10.7</v>
      </c>
      <c r="AA47">
        <v>9.6999999999999993</v>
      </c>
      <c r="AK47" t="s">
        <v>49</v>
      </c>
      <c r="AL47">
        <v>-10</v>
      </c>
      <c r="AM47">
        <v>-9.5</v>
      </c>
      <c r="AN47">
        <v>-8.1</v>
      </c>
      <c r="AO47">
        <v>-6.2</v>
      </c>
    </row>
    <row r="48" spans="1:53" x14ac:dyDescent="0.2">
      <c r="A48" t="s">
        <v>44</v>
      </c>
      <c r="B48">
        <v>-2.4</v>
      </c>
      <c r="C48">
        <v>-2.9</v>
      </c>
      <c r="D48">
        <v>-4.4000000000000004</v>
      </c>
      <c r="E48">
        <v>-4.3</v>
      </c>
      <c r="H48" t="s">
        <v>7</v>
      </c>
      <c r="I48">
        <v>6.4</v>
      </c>
      <c r="J48">
        <v>8</v>
      </c>
      <c r="K48">
        <v>7.8</v>
      </c>
      <c r="V48" t="s">
        <v>103</v>
      </c>
      <c r="W48">
        <v>-1.1000000000000001</v>
      </c>
      <c r="X48">
        <v>-1.6</v>
      </c>
      <c r="Y48">
        <v>-3.2</v>
      </c>
      <c r="Z48">
        <v>-1.8</v>
      </c>
      <c r="AA48">
        <v>-1.6</v>
      </c>
      <c r="AK48" t="s">
        <v>50</v>
      </c>
      <c r="AL48">
        <v>8.6</v>
      </c>
      <c r="AM48">
        <v>7.8</v>
      </c>
      <c r="AN48">
        <v>7.4</v>
      </c>
      <c r="AO48">
        <v>6.9</v>
      </c>
    </row>
    <row r="49" spans="1:41" x14ac:dyDescent="0.2">
      <c r="A49" t="s">
        <v>17</v>
      </c>
      <c r="B49">
        <v>4.8</v>
      </c>
      <c r="C49">
        <v>3.2</v>
      </c>
      <c r="D49">
        <v>1.4</v>
      </c>
      <c r="E49">
        <v>1.5</v>
      </c>
      <c r="H49" t="s">
        <v>8</v>
      </c>
      <c r="I49">
        <v>-0.1</v>
      </c>
      <c r="J49">
        <v>7.9</v>
      </c>
      <c r="K49">
        <v>4.3</v>
      </c>
      <c r="V49" t="s">
        <v>17</v>
      </c>
      <c r="W49">
        <v>3.9</v>
      </c>
      <c r="X49">
        <v>4.8</v>
      </c>
      <c r="Y49">
        <v>3.4</v>
      </c>
      <c r="Z49">
        <v>2.8</v>
      </c>
      <c r="AA49">
        <v>3.4</v>
      </c>
      <c r="AK49" t="s">
        <v>51</v>
      </c>
      <c r="AL49">
        <v>10</v>
      </c>
      <c r="AM49">
        <v>9.3000000000000007</v>
      </c>
      <c r="AN49">
        <v>6.2</v>
      </c>
      <c r="AO49">
        <v>7.4</v>
      </c>
    </row>
    <row r="50" spans="1:41" x14ac:dyDescent="0.2">
      <c r="A50" t="s">
        <v>46</v>
      </c>
      <c r="B50">
        <v>7.7</v>
      </c>
      <c r="C50">
        <v>7.1</v>
      </c>
      <c r="D50">
        <v>6</v>
      </c>
      <c r="E50">
        <v>5.8</v>
      </c>
      <c r="H50" t="s">
        <v>76</v>
      </c>
      <c r="I50" s="2">
        <v>2.7E-2</v>
      </c>
      <c r="J50" s="2">
        <v>0.02</v>
      </c>
      <c r="K50" s="2">
        <v>2.1000000000000001E-2</v>
      </c>
      <c r="V50" t="s">
        <v>6</v>
      </c>
      <c r="W50">
        <v>0.7</v>
      </c>
      <c r="X50">
        <v>0.6</v>
      </c>
      <c r="Y50">
        <v>-0.7</v>
      </c>
      <c r="Z50">
        <v>5.0999999999999996</v>
      </c>
      <c r="AA50">
        <v>2.4</v>
      </c>
      <c r="AK50" t="s">
        <v>7</v>
      </c>
      <c r="AL50">
        <v>8.6</v>
      </c>
      <c r="AM50">
        <v>6.3</v>
      </c>
      <c r="AN50">
        <v>8.9</v>
      </c>
      <c r="AO50">
        <v>8.3000000000000007</v>
      </c>
    </row>
    <row r="51" spans="1:41" x14ac:dyDescent="0.2">
      <c r="A51" t="s">
        <v>59</v>
      </c>
      <c r="B51">
        <v>-8.1999999999999993</v>
      </c>
      <c r="C51">
        <v>-8.9</v>
      </c>
      <c r="D51">
        <v>-6.8</v>
      </c>
      <c r="E51">
        <v>-9.1999999999999993</v>
      </c>
      <c r="V51" t="s">
        <v>5</v>
      </c>
      <c r="W51">
        <v>21.8</v>
      </c>
      <c r="X51">
        <v>24.2</v>
      </c>
      <c r="Y51">
        <v>13.3</v>
      </c>
      <c r="Z51">
        <v>19.100000000000001</v>
      </c>
      <c r="AA51">
        <v>14.2</v>
      </c>
      <c r="AK51" t="s">
        <v>8</v>
      </c>
      <c r="AL51">
        <v>5.9</v>
      </c>
      <c r="AM51">
        <v>-0.1</v>
      </c>
      <c r="AN51">
        <v>4</v>
      </c>
      <c r="AO51">
        <v>2.1</v>
      </c>
    </row>
    <row r="52" spans="1:41" x14ac:dyDescent="0.2">
      <c r="A52" t="s">
        <v>63</v>
      </c>
      <c r="B52">
        <v>15.4</v>
      </c>
      <c r="C52">
        <v>16.600000000000001</v>
      </c>
      <c r="D52">
        <v>10.5</v>
      </c>
      <c r="E52">
        <v>15.8</v>
      </c>
      <c r="V52" t="s">
        <v>7</v>
      </c>
      <c r="W52">
        <v>6.7</v>
      </c>
      <c r="X52">
        <v>8.6</v>
      </c>
      <c r="Y52">
        <v>6.3</v>
      </c>
      <c r="Z52">
        <v>10.4</v>
      </c>
      <c r="AA52">
        <v>7.3</v>
      </c>
      <c r="AK52" t="s">
        <v>126</v>
      </c>
      <c r="AL52">
        <v>18.600000000000001</v>
      </c>
      <c r="AM52">
        <v>12.1</v>
      </c>
      <c r="AN52">
        <v>2.7</v>
      </c>
      <c r="AO52">
        <v>7.2</v>
      </c>
    </row>
    <row r="53" spans="1:41" x14ac:dyDescent="0.2">
      <c r="A53" t="s">
        <v>5</v>
      </c>
      <c r="B53">
        <v>23.4</v>
      </c>
      <c r="C53">
        <v>14.9</v>
      </c>
      <c r="D53">
        <v>9.1999999999999993</v>
      </c>
      <c r="E53">
        <v>7</v>
      </c>
      <c r="V53" t="s">
        <v>8</v>
      </c>
      <c r="W53">
        <v>1.1000000000000001</v>
      </c>
      <c r="X53">
        <v>5.9</v>
      </c>
      <c r="Y53">
        <v>0.3</v>
      </c>
      <c r="Z53">
        <v>7.7</v>
      </c>
      <c r="AA53">
        <v>5.3</v>
      </c>
      <c r="AK53" t="s">
        <v>52</v>
      </c>
      <c r="AL53">
        <v>-2.9</v>
      </c>
      <c r="AM53">
        <v>-1.7</v>
      </c>
      <c r="AN53">
        <v>-1.4</v>
      </c>
      <c r="AO53">
        <v>-1.1000000000000001</v>
      </c>
    </row>
    <row r="54" spans="1:41" x14ac:dyDescent="0.2">
      <c r="A54" t="s">
        <v>22</v>
      </c>
      <c r="B54">
        <v>0.6</v>
      </c>
      <c r="C54">
        <v>-0.7</v>
      </c>
      <c r="D54">
        <v>3.1</v>
      </c>
      <c r="E54">
        <v>2.2999999999999998</v>
      </c>
      <c r="I54" s="2"/>
      <c r="J54" s="2"/>
      <c r="K54" s="2"/>
      <c r="V54" t="s">
        <v>107</v>
      </c>
      <c r="W54">
        <v>-3.9</v>
      </c>
      <c r="X54">
        <v>-2.9</v>
      </c>
      <c r="Y54">
        <v>-1.7</v>
      </c>
      <c r="Z54">
        <v>-1.3</v>
      </c>
      <c r="AA54">
        <v>-1.9</v>
      </c>
      <c r="AK54" t="s">
        <v>114</v>
      </c>
      <c r="AL54">
        <v>-5.3</v>
      </c>
      <c r="AM54">
        <v>-4.5999999999999996</v>
      </c>
      <c r="AN54">
        <v>-2</v>
      </c>
      <c r="AO54">
        <v>-1.2</v>
      </c>
    </row>
    <row r="55" spans="1:41" x14ac:dyDescent="0.2">
      <c r="A55" t="s">
        <v>49</v>
      </c>
      <c r="B55">
        <v>-10</v>
      </c>
      <c r="C55">
        <v>-8.8000000000000007</v>
      </c>
      <c r="D55">
        <v>-6.8</v>
      </c>
      <c r="E55">
        <v>-6.3</v>
      </c>
      <c r="V55" t="s">
        <v>104</v>
      </c>
      <c r="W55">
        <v>-6</v>
      </c>
      <c r="X55">
        <v>-5.3</v>
      </c>
      <c r="Y55">
        <v>-4.9000000000000004</v>
      </c>
      <c r="Z55">
        <v>-3</v>
      </c>
      <c r="AA55">
        <v>-3.5</v>
      </c>
      <c r="AK55" t="s">
        <v>64</v>
      </c>
      <c r="AL55">
        <v>-9.8000000000000007</v>
      </c>
      <c r="AM55">
        <v>-11.6</v>
      </c>
      <c r="AN55">
        <v>-5.6</v>
      </c>
      <c r="AO55">
        <v>-4.7</v>
      </c>
    </row>
    <row r="56" spans="1:41" x14ac:dyDescent="0.2">
      <c r="A56" t="s">
        <v>50</v>
      </c>
      <c r="B56">
        <v>8.6</v>
      </c>
      <c r="C56">
        <v>7.8</v>
      </c>
      <c r="D56">
        <v>7</v>
      </c>
      <c r="E56">
        <v>7.5</v>
      </c>
      <c r="AK56" t="s">
        <v>131</v>
      </c>
      <c r="AL56">
        <v>0.3</v>
      </c>
      <c r="AM56">
        <v>-0.3</v>
      </c>
      <c r="AN56">
        <v>-0.6</v>
      </c>
      <c r="AO56">
        <v>-0.4</v>
      </c>
    </row>
    <row r="57" spans="1:41" x14ac:dyDescent="0.2">
      <c r="A57" t="s">
        <v>51</v>
      </c>
      <c r="B57">
        <v>13.4</v>
      </c>
      <c r="C57">
        <v>8.1999999999999993</v>
      </c>
      <c r="D57">
        <v>6.3</v>
      </c>
      <c r="E57">
        <v>6.2</v>
      </c>
    </row>
    <row r="58" spans="1:41" x14ac:dyDescent="0.2">
      <c r="A58" t="s">
        <v>7</v>
      </c>
      <c r="B58">
        <v>8.6</v>
      </c>
      <c r="C58">
        <v>6.3</v>
      </c>
      <c r="D58">
        <v>8.6</v>
      </c>
      <c r="E58">
        <v>8.1</v>
      </c>
    </row>
    <row r="59" spans="1:41" x14ac:dyDescent="0.2">
      <c r="A59" t="s">
        <v>8</v>
      </c>
      <c r="B59">
        <v>5.7</v>
      </c>
      <c r="C59">
        <v>-0.1</v>
      </c>
      <c r="D59">
        <v>4.5</v>
      </c>
      <c r="E59">
        <v>4</v>
      </c>
    </row>
    <row r="60" spans="1:41" x14ac:dyDescent="0.2">
      <c r="A60" t="s">
        <v>52</v>
      </c>
      <c r="B60">
        <v>-2.7</v>
      </c>
      <c r="C60">
        <v>-1.7</v>
      </c>
      <c r="D60">
        <v>-0.8</v>
      </c>
      <c r="E60">
        <v>0</v>
      </c>
    </row>
    <row r="61" spans="1:41" x14ac:dyDescent="0.2">
      <c r="A61" t="s">
        <v>53</v>
      </c>
      <c r="B61">
        <v>-5.3</v>
      </c>
      <c r="C61">
        <v>-4.9000000000000004</v>
      </c>
      <c r="D61">
        <v>-2.9</v>
      </c>
      <c r="E61">
        <v>-3.1</v>
      </c>
    </row>
    <row r="62" spans="1:41" x14ac:dyDescent="0.2">
      <c r="A62" t="s">
        <v>54</v>
      </c>
      <c r="B62">
        <v>0.1</v>
      </c>
      <c r="C62">
        <v>-0.2</v>
      </c>
      <c r="D62">
        <v>-0.1</v>
      </c>
      <c r="E62">
        <v>-0.3</v>
      </c>
    </row>
  </sheetData>
  <phoneticPr fontId="3" type="noConversion"/>
  <pageMargins left="0.75" right="0.75" top="1" bottom="1" header="0.5" footer="0.5"/>
  <pageSetup orientation="landscape"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pageSetUpPr fitToPage="1"/>
  </sheetPr>
  <dimension ref="A1:AB41"/>
  <sheetViews>
    <sheetView topLeftCell="P1" workbookViewId="0">
      <selection activeCell="AB21" sqref="AB21"/>
    </sheetView>
  </sheetViews>
  <sheetFormatPr defaultRowHeight="12.75" x14ac:dyDescent="0.2"/>
  <cols>
    <col min="1" max="1" width="12" customWidth="1"/>
    <col min="2" max="3" width="8.7109375" customWidth="1"/>
    <col min="4" max="4" width="4.140625" customWidth="1"/>
    <col min="5" max="5" width="12.42578125" customWidth="1"/>
    <col min="6" max="7" width="8.28515625" customWidth="1"/>
    <col min="8" max="8" width="5.85546875" customWidth="1"/>
    <col min="9" max="9" width="12" customWidth="1"/>
    <col min="12" max="12" width="6.140625" customWidth="1"/>
    <col min="15" max="15" width="11.140625" bestFit="1" customWidth="1"/>
    <col min="26" max="26" width="21.85546875" customWidth="1"/>
    <col min="27" max="27" width="30" customWidth="1"/>
    <col min="28" max="28" width="19.85546875" customWidth="1"/>
  </cols>
  <sheetData>
    <row r="1" spans="1:28" x14ac:dyDescent="0.2">
      <c r="B1" s="5" t="s">
        <v>178</v>
      </c>
      <c r="F1" s="5" t="s">
        <v>179</v>
      </c>
      <c r="J1" s="5" t="s">
        <v>180</v>
      </c>
    </row>
    <row r="2" spans="1:28" x14ac:dyDescent="0.2">
      <c r="B2">
        <v>2009</v>
      </c>
      <c r="C2" s="5">
        <v>2010</v>
      </c>
      <c r="F2">
        <v>2009</v>
      </c>
      <c r="G2" s="5">
        <v>2010</v>
      </c>
      <c r="J2">
        <v>2009</v>
      </c>
      <c r="K2" s="10">
        <v>2010</v>
      </c>
      <c r="L2" s="10">
        <v>2011</v>
      </c>
      <c r="M2" s="6" t="s">
        <v>334</v>
      </c>
      <c r="P2" s="6" t="str">
        <f>Inflation!$AY$3</f>
        <v>Stripped Spread Z stat</v>
      </c>
    </row>
    <row r="3" spans="1:28" x14ac:dyDescent="0.2">
      <c r="A3" t="s">
        <v>10</v>
      </c>
      <c r="B3" s="4">
        <v>0.36</v>
      </c>
      <c r="C3" s="4">
        <v>0.36</v>
      </c>
      <c r="D3" s="7"/>
      <c r="E3" t="s">
        <v>10</v>
      </c>
      <c r="F3" s="4">
        <v>0.37</v>
      </c>
      <c r="G3" s="4">
        <v>0.38</v>
      </c>
      <c r="I3" t="s">
        <v>10</v>
      </c>
      <c r="J3" s="7">
        <f>AVERAGE(B3,F3)</f>
        <v>0.36499999999999999</v>
      </c>
      <c r="K3" s="7">
        <v>0.40699999999999997</v>
      </c>
      <c r="L3" s="37">
        <v>0.36199999999999999</v>
      </c>
      <c r="M3" s="4">
        <f>(L3-L$33)/L$34</f>
        <v>-0.37005425735527414</v>
      </c>
      <c r="O3" t="s">
        <v>10</v>
      </c>
      <c r="P3" s="4">
        <f>VLOOKUP(O3,'Stripped Spread'!$C$18:$E$60,3,FALSE)</f>
        <v>1.4255405250063531</v>
      </c>
      <c r="Z3" s="6" t="s">
        <v>312</v>
      </c>
      <c r="AA3" s="38" t="s">
        <v>310</v>
      </c>
      <c r="AB3" s="38" t="s">
        <v>311</v>
      </c>
    </row>
    <row r="4" spans="1:28" x14ac:dyDescent="0.2">
      <c r="A4" t="s">
        <v>9</v>
      </c>
      <c r="B4" s="4">
        <v>1.18</v>
      </c>
      <c r="C4" s="4">
        <v>1.22</v>
      </c>
      <c r="D4" s="7"/>
      <c r="E4" t="s">
        <v>9</v>
      </c>
      <c r="F4" s="4">
        <v>1.1399999999999999</v>
      </c>
      <c r="G4" s="4">
        <v>1.24</v>
      </c>
      <c r="I4" t="s">
        <v>9</v>
      </c>
      <c r="J4" s="7">
        <f t="shared" ref="J4:J27" si="0">AVERAGE(B4,F4)</f>
        <v>1.1599999999999999</v>
      </c>
      <c r="K4" s="7">
        <v>0.92300000000000004</v>
      </c>
      <c r="L4" s="37">
        <v>0.88</v>
      </c>
      <c r="M4" s="4">
        <f t="shared" ref="M4:M27" si="1">(L4-L$33)/L$34</f>
        <v>8.9541276619100232E-2</v>
      </c>
      <c r="O4" t="s">
        <v>9</v>
      </c>
      <c r="P4" s="4">
        <f>VLOOKUP(O4,'Stripped Spread'!$C$18:$E$60,3,FALSE)</f>
        <v>-0.49043451301485325</v>
      </c>
      <c r="Z4" t="s">
        <v>10</v>
      </c>
      <c r="AA4" s="4">
        <f>VLOOKUP(Z4,$I$3:$M$27,5,FALSE)</f>
        <v>-0.37005425735527414</v>
      </c>
      <c r="AB4" s="4">
        <f>VLOOKUP(Z4,$O$3:$P$27,2,FALSE)</f>
        <v>1.4255405250063531</v>
      </c>
    </row>
    <row r="5" spans="1:28" x14ac:dyDescent="0.2">
      <c r="A5" t="s">
        <v>36</v>
      </c>
      <c r="B5" s="4">
        <v>0.34</v>
      </c>
      <c r="C5" s="4">
        <v>0.34</v>
      </c>
      <c r="D5" s="7"/>
      <c r="E5" t="s">
        <v>36</v>
      </c>
      <c r="F5" s="4">
        <v>0.44</v>
      </c>
      <c r="G5" s="4">
        <v>0.5</v>
      </c>
      <c r="I5" t="s">
        <v>36</v>
      </c>
      <c r="J5" s="7">
        <f t="shared" si="0"/>
        <v>0.39</v>
      </c>
      <c r="K5" s="7">
        <v>0.32600000000000001</v>
      </c>
      <c r="L5" s="37">
        <v>0.438</v>
      </c>
      <c r="M5" s="4">
        <f t="shared" si="1"/>
        <v>-0.30262325237061694</v>
      </c>
      <c r="O5" t="s">
        <v>36</v>
      </c>
      <c r="P5" s="4">
        <f>VLOOKUP(O5,'Stripped Spread'!$C$18:$E$60,3,FALSE)</f>
        <v>-0.6767951584626779</v>
      </c>
      <c r="Z5" t="s">
        <v>9</v>
      </c>
      <c r="AA5" s="4">
        <f t="shared" ref="AA5:AA27" si="2">VLOOKUP(Z5,$I$3:$M$27,5,FALSE)</f>
        <v>8.9541276619100232E-2</v>
      </c>
      <c r="AB5" s="4">
        <f t="shared" ref="AB5:AB27" si="3">VLOOKUP(Z5,$O$3:$P$27,2,FALSE)</f>
        <v>-0.49043451301485325</v>
      </c>
    </row>
    <row r="6" spans="1:28" x14ac:dyDescent="0.2">
      <c r="A6" t="s">
        <v>0</v>
      </c>
      <c r="B6" s="4">
        <v>6.18</v>
      </c>
      <c r="C6" s="4">
        <v>7.07</v>
      </c>
      <c r="D6" s="7"/>
      <c r="E6" t="s">
        <v>0</v>
      </c>
      <c r="F6" s="4">
        <v>6.4</v>
      </c>
      <c r="G6" s="4">
        <v>7.2</v>
      </c>
      <c r="I6" t="s">
        <v>0</v>
      </c>
      <c r="J6" s="7">
        <f t="shared" si="0"/>
        <v>6.29</v>
      </c>
      <c r="K6" s="7">
        <v>6.31</v>
      </c>
      <c r="L6" s="37">
        <v>5.899</v>
      </c>
      <c r="M6" s="4">
        <f>(L6-L$33)/L$34</f>
        <v>4.5426493558032419</v>
      </c>
      <c r="O6" t="s">
        <v>0</v>
      </c>
      <c r="P6" s="4">
        <f>VLOOKUP(O6,'Stripped Spread'!$C$18:$E$60,3,FALSE)</f>
        <v>-0.36041566053529961</v>
      </c>
      <c r="Z6" t="s">
        <v>36</v>
      </c>
      <c r="AA6" s="4">
        <f t="shared" si="2"/>
        <v>-0.30262325237061694</v>
      </c>
      <c r="AB6" s="4">
        <f t="shared" si="3"/>
        <v>-0.6767951584626779</v>
      </c>
    </row>
    <row r="7" spans="1:28" x14ac:dyDescent="0.2">
      <c r="A7" t="s">
        <v>37</v>
      </c>
      <c r="B7" s="4">
        <v>0.48</v>
      </c>
      <c r="C7" s="4">
        <v>0.46</v>
      </c>
      <c r="D7" s="7"/>
      <c r="E7" t="s">
        <v>37</v>
      </c>
      <c r="F7" s="4">
        <v>0.54</v>
      </c>
      <c r="G7" s="4">
        <v>0.56000000000000005</v>
      </c>
      <c r="I7" t="s">
        <v>37</v>
      </c>
      <c r="J7" s="7">
        <f t="shared" si="0"/>
        <v>0.51</v>
      </c>
      <c r="K7" s="7">
        <v>0.46500000000000002</v>
      </c>
      <c r="L7" s="37">
        <v>0.53400000000000003</v>
      </c>
      <c r="M7" s="4">
        <f t="shared" si="1"/>
        <v>-0.21744724607420773</v>
      </c>
      <c r="O7" t="s">
        <v>37</v>
      </c>
      <c r="P7" s="4">
        <f>VLOOKUP(O7,'Stripped Spread'!$C$18:$E$60,3,FALSE)</f>
        <v>-0.58302567466255073</v>
      </c>
      <c r="Z7" t="s">
        <v>37</v>
      </c>
      <c r="AA7" s="4">
        <f t="shared" si="2"/>
        <v>-0.21744724607420773</v>
      </c>
      <c r="AB7" s="4">
        <f t="shared" si="3"/>
        <v>-0.58302567466255073</v>
      </c>
    </row>
    <row r="8" spans="1:28" x14ac:dyDescent="0.2">
      <c r="A8" t="s">
        <v>39</v>
      </c>
      <c r="B8" s="4"/>
      <c r="C8" s="4"/>
      <c r="D8" s="7"/>
      <c r="E8" t="s">
        <v>39</v>
      </c>
      <c r="F8" s="4">
        <v>0.245</v>
      </c>
      <c r="G8" s="4">
        <v>0.192</v>
      </c>
      <c r="I8" t="s">
        <v>39</v>
      </c>
      <c r="J8" s="7">
        <f t="shared" si="0"/>
        <v>0.245</v>
      </c>
      <c r="K8" s="7">
        <v>0.106</v>
      </c>
      <c r="L8" s="37">
        <v>0.11600000000000001</v>
      </c>
      <c r="M8" s="4">
        <f t="shared" si="1"/>
        <v>-0.58831777348982262</v>
      </c>
      <c r="O8" t="s">
        <v>39</v>
      </c>
      <c r="P8" s="4">
        <f>VLOOKUP(O8,'Stripped Spread'!$C$18:$E$60,3,FALSE)</f>
        <v>1.4223422220211868</v>
      </c>
      <c r="Z8" t="s">
        <v>39</v>
      </c>
      <c r="AA8" s="4">
        <f t="shared" si="2"/>
        <v>-0.58831777348982262</v>
      </c>
      <c r="AB8" s="4">
        <f t="shared" si="3"/>
        <v>1.4223422220211868</v>
      </c>
    </row>
    <row r="9" spans="1:28" x14ac:dyDescent="0.2">
      <c r="A9" t="s">
        <v>65</v>
      </c>
      <c r="B9" s="4">
        <v>0.93</v>
      </c>
      <c r="C9" s="4">
        <v>0.98</v>
      </c>
      <c r="D9" s="7"/>
      <c r="E9" t="s">
        <v>65</v>
      </c>
      <c r="F9" s="4">
        <v>0.96</v>
      </c>
      <c r="G9" s="4">
        <v>1</v>
      </c>
      <c r="I9" t="s">
        <v>65</v>
      </c>
      <c r="J9" s="7">
        <f t="shared" si="0"/>
        <v>0.94500000000000006</v>
      </c>
      <c r="K9" s="7">
        <v>0.99</v>
      </c>
      <c r="L9" s="36">
        <v>0.97099999999999997</v>
      </c>
      <c r="M9" s="4">
        <f t="shared" si="1"/>
        <v>0.17028103258757138</v>
      </c>
      <c r="O9" t="s">
        <v>65</v>
      </c>
      <c r="P9" s="4">
        <f>VLOOKUP(O9,'Stripped Spread'!$C$18:$E$60,3,FALSE)</f>
        <v>5.2153815465916083E-2</v>
      </c>
      <c r="Z9" t="s">
        <v>65</v>
      </c>
      <c r="AA9" s="4">
        <f t="shared" si="2"/>
        <v>0.17028103258757138</v>
      </c>
      <c r="AB9" s="4">
        <f t="shared" si="3"/>
        <v>5.2153815465916083E-2</v>
      </c>
    </row>
    <row r="10" spans="1:28" x14ac:dyDescent="0.2">
      <c r="A10" t="s">
        <v>43</v>
      </c>
      <c r="B10" s="4">
        <v>0.25</v>
      </c>
      <c r="C10" s="4">
        <v>0.24</v>
      </c>
      <c r="D10" s="7"/>
      <c r="E10" t="s">
        <v>43</v>
      </c>
      <c r="F10" s="4">
        <v>0.19</v>
      </c>
      <c r="G10" s="4">
        <v>0.185</v>
      </c>
      <c r="I10" t="s">
        <v>43</v>
      </c>
      <c r="J10" s="7">
        <f t="shared" si="0"/>
        <v>0.22</v>
      </c>
      <c r="K10" s="7">
        <v>0.24399999999999999</v>
      </c>
      <c r="L10" s="37">
        <v>0.24299999999999999</v>
      </c>
      <c r="M10" s="4">
        <f t="shared" si="1"/>
        <v>-0.47563701516019802</v>
      </c>
      <c r="O10" t="s">
        <v>43</v>
      </c>
      <c r="P10" s="4">
        <f>VLOOKUP(O10,'Stripped Spread'!$C$18:$E$60,3,FALSE)</f>
        <v>0.23579793496626733</v>
      </c>
      <c r="Z10" t="s">
        <v>43</v>
      </c>
      <c r="AA10" s="4">
        <f t="shared" si="2"/>
        <v>-0.47563701516019802</v>
      </c>
      <c r="AB10" s="4">
        <f t="shared" si="3"/>
        <v>0.23579793496626733</v>
      </c>
    </row>
    <row r="11" spans="1:28" x14ac:dyDescent="0.2">
      <c r="A11" t="s">
        <v>2</v>
      </c>
      <c r="B11" s="4">
        <v>0.42</v>
      </c>
      <c r="C11" s="4">
        <v>0.48</v>
      </c>
      <c r="D11" s="7"/>
      <c r="E11" t="s">
        <v>2</v>
      </c>
      <c r="F11" s="4">
        <v>0.41</v>
      </c>
      <c r="G11" s="4">
        <v>0.41</v>
      </c>
      <c r="I11" t="s">
        <v>2</v>
      </c>
      <c r="J11" s="7">
        <f t="shared" si="0"/>
        <v>0.41499999999999998</v>
      </c>
      <c r="K11" s="7">
        <v>0.49099999999999999</v>
      </c>
      <c r="L11" s="37">
        <v>0.56999999999999995</v>
      </c>
      <c r="M11" s="4">
        <f t="shared" si="1"/>
        <v>-0.18550624371305438</v>
      </c>
      <c r="O11" t="s">
        <v>2</v>
      </c>
      <c r="P11" s="4">
        <f>VLOOKUP(O11,'Stripped Spread'!$C$18:$E$60,3,FALSE)</f>
        <v>-0.35838987515994025</v>
      </c>
      <c r="Z11" t="s">
        <v>2</v>
      </c>
      <c r="AA11" s="4">
        <f t="shared" si="2"/>
        <v>-0.18550624371305438</v>
      </c>
      <c r="AB11" s="4">
        <f t="shared" si="3"/>
        <v>-0.35838987515994025</v>
      </c>
    </row>
    <row r="12" spans="1:28" x14ac:dyDescent="0.2">
      <c r="A12" t="s">
        <v>45</v>
      </c>
      <c r="B12" s="4">
        <v>0.44</v>
      </c>
      <c r="C12" s="4">
        <v>0.56000000000000005</v>
      </c>
      <c r="D12" s="7"/>
      <c r="E12" t="s">
        <v>45</v>
      </c>
      <c r="F12" s="4">
        <v>0.41</v>
      </c>
      <c r="G12" s="4">
        <v>0.47</v>
      </c>
      <c r="I12" t="s">
        <v>45</v>
      </c>
      <c r="J12" s="7">
        <f t="shared" si="0"/>
        <v>0.42499999999999999</v>
      </c>
      <c r="K12" s="7">
        <v>0.55000000000000004</v>
      </c>
      <c r="L12" s="36">
        <v>0.5</v>
      </c>
      <c r="M12" s="4">
        <f t="shared" si="1"/>
        <v>-0.247613748304186</v>
      </c>
      <c r="O12" t="s">
        <v>45</v>
      </c>
      <c r="P12" s="4">
        <f>VLOOKUP(O12,'Stripped Spread'!$C$18:$E$60,3,FALSE)</f>
        <v>0.12883472578450098</v>
      </c>
      <c r="Z12" t="s">
        <v>45</v>
      </c>
      <c r="AA12" s="4">
        <f t="shared" si="2"/>
        <v>-0.247613748304186</v>
      </c>
      <c r="AB12" s="4">
        <f t="shared" si="3"/>
        <v>0.12883472578450098</v>
      </c>
    </row>
    <row r="13" spans="1:28" x14ac:dyDescent="0.2">
      <c r="A13" t="s">
        <v>3</v>
      </c>
      <c r="B13" s="4">
        <v>1.38</v>
      </c>
      <c r="C13" s="4">
        <v>1.56</v>
      </c>
      <c r="D13" s="7"/>
      <c r="E13" t="s">
        <v>3</v>
      </c>
      <c r="F13" s="4">
        <v>1.69</v>
      </c>
      <c r="G13" s="4">
        <v>1.58</v>
      </c>
      <c r="I13" t="s">
        <v>3</v>
      </c>
      <c r="J13" s="7">
        <f t="shared" si="0"/>
        <v>1.5349999999999999</v>
      </c>
      <c r="K13" s="7">
        <v>1.4359999999999999</v>
      </c>
      <c r="L13" s="37">
        <v>1.68</v>
      </c>
      <c r="M13" s="4">
        <f t="shared" si="1"/>
        <v>0.79934132908917643</v>
      </c>
      <c r="O13" t="s">
        <v>3</v>
      </c>
      <c r="P13" s="4">
        <f>VLOOKUP(O13,'Stripped Spread'!$C$18:$E$60,3,FALSE)</f>
        <v>-0.61809672118954739</v>
      </c>
      <c r="Z13" t="s">
        <v>3</v>
      </c>
      <c r="AA13" s="4">
        <f t="shared" si="2"/>
        <v>0.79934132908917643</v>
      </c>
      <c r="AB13" s="4">
        <f t="shared" si="3"/>
        <v>-0.61809672118954739</v>
      </c>
    </row>
    <row r="14" spans="1:28" x14ac:dyDescent="0.2">
      <c r="A14" t="s">
        <v>11</v>
      </c>
      <c r="B14" s="4">
        <v>0.5</v>
      </c>
      <c r="C14" s="4">
        <v>0.56000000000000005</v>
      </c>
      <c r="D14" s="7"/>
      <c r="E14" t="s">
        <v>11</v>
      </c>
      <c r="F14" s="4">
        <v>0.62</v>
      </c>
      <c r="G14" s="4">
        <v>0.55000000000000004</v>
      </c>
      <c r="I14" t="s">
        <v>11</v>
      </c>
      <c r="J14" s="7">
        <f t="shared" si="0"/>
        <v>0.56000000000000005</v>
      </c>
      <c r="K14" s="7">
        <v>0.61599999999999999</v>
      </c>
      <c r="L14" s="37">
        <v>0.629</v>
      </c>
      <c r="M14" s="4">
        <f t="shared" si="1"/>
        <v>-0.13315848984338621</v>
      </c>
      <c r="O14" t="s">
        <v>11</v>
      </c>
      <c r="P14" s="4">
        <f>VLOOKUP(O14,'Stripped Spread'!$C$18:$E$60,3,FALSE)</f>
        <v>-0.48422075013713889</v>
      </c>
      <c r="Z14" t="s">
        <v>11</v>
      </c>
      <c r="AA14" s="4">
        <f t="shared" si="2"/>
        <v>-0.13315848984338621</v>
      </c>
      <c r="AB14" s="4">
        <f t="shared" si="3"/>
        <v>-0.48422075013713889</v>
      </c>
    </row>
    <row r="15" spans="1:28" x14ac:dyDescent="0.2">
      <c r="A15" t="s">
        <v>70</v>
      </c>
      <c r="B15" s="4"/>
      <c r="C15" s="4"/>
      <c r="D15" s="7"/>
      <c r="E15" t="s">
        <v>70</v>
      </c>
      <c r="F15" s="4">
        <v>0.18</v>
      </c>
      <c r="G15" s="4">
        <v>0.18</v>
      </c>
      <c r="I15" t="s">
        <v>70</v>
      </c>
      <c r="J15" s="7">
        <f t="shared" si="0"/>
        <v>0.18</v>
      </c>
      <c r="K15" s="7">
        <v>0.25</v>
      </c>
      <c r="L15" s="36">
        <v>0.25900000000000001</v>
      </c>
      <c r="M15" s="4">
        <f t="shared" si="1"/>
        <v>-0.46144101411079647</v>
      </c>
      <c r="O15" t="s">
        <v>70</v>
      </c>
      <c r="P15" s="4">
        <f>VLOOKUP(O15,'Stripped Spread'!$C$18:$E$60,3,FALSE)</f>
        <v>2.1692475485534328</v>
      </c>
      <c r="Z15" t="s">
        <v>70</v>
      </c>
      <c r="AA15" s="4">
        <f t="shared" si="2"/>
        <v>-0.46144101411079647</v>
      </c>
      <c r="AB15" s="4">
        <f t="shared" si="3"/>
        <v>2.1692475485534328</v>
      </c>
    </row>
    <row r="16" spans="1:28" x14ac:dyDescent="0.2">
      <c r="A16" t="s">
        <v>71</v>
      </c>
      <c r="B16" s="4"/>
      <c r="C16" s="4"/>
      <c r="D16" s="7"/>
      <c r="E16" t="s">
        <v>71</v>
      </c>
      <c r="F16" s="4">
        <v>0.37</v>
      </c>
      <c r="G16" s="4">
        <v>0.4</v>
      </c>
      <c r="I16" t="s">
        <v>71</v>
      </c>
      <c r="J16" s="7">
        <f t="shared" si="0"/>
        <v>0.37</v>
      </c>
      <c r="K16" s="7">
        <v>0.3</v>
      </c>
      <c r="L16" s="36">
        <v>0.19600000000000001</v>
      </c>
      <c r="M16" s="4">
        <f t="shared" si="1"/>
        <v>-0.51733776824281497</v>
      </c>
      <c r="O16" t="s">
        <v>71</v>
      </c>
      <c r="P16" s="4">
        <f>VLOOKUP(O16,'Stripped Spread'!$C$18:$E$60,3,FALSE)</f>
        <v>-0.55505648603455771</v>
      </c>
      <c r="Z16" t="s">
        <v>71</v>
      </c>
      <c r="AA16" s="4">
        <f t="shared" si="2"/>
        <v>-0.51733776824281497</v>
      </c>
      <c r="AB16" s="4">
        <f t="shared" si="3"/>
        <v>-0.55505648603455771</v>
      </c>
    </row>
    <row r="17" spans="1:28" x14ac:dyDescent="0.2">
      <c r="A17" t="s">
        <v>47</v>
      </c>
      <c r="B17" s="4">
        <v>0.95</v>
      </c>
      <c r="C17" s="4">
        <v>1.01</v>
      </c>
      <c r="D17" s="7"/>
      <c r="E17" t="s">
        <v>47</v>
      </c>
      <c r="F17" s="4">
        <v>0.95</v>
      </c>
      <c r="G17" s="4">
        <v>0.94</v>
      </c>
      <c r="I17" t="s">
        <v>47</v>
      </c>
      <c r="J17" s="7">
        <f t="shared" si="0"/>
        <v>0.95</v>
      </c>
      <c r="K17" s="7">
        <v>1.2250000000000001</v>
      </c>
      <c r="L17" s="37">
        <v>1.1870000000000001</v>
      </c>
      <c r="M17" s="4">
        <f t="shared" si="1"/>
        <v>0.36192704675449205</v>
      </c>
      <c r="O17" t="s">
        <v>47</v>
      </c>
      <c r="P17" s="4">
        <f>VLOOKUP(O17,'Stripped Spread'!$C$18:$E$60,3,FALSE)</f>
        <v>-0.50718932529558414</v>
      </c>
      <c r="Z17" t="s">
        <v>47</v>
      </c>
      <c r="AA17" s="4">
        <f t="shared" si="2"/>
        <v>0.36192704675449205</v>
      </c>
      <c r="AB17" s="4">
        <f t="shared" si="3"/>
        <v>-0.50718932529558414</v>
      </c>
    </row>
    <row r="18" spans="1:28" x14ac:dyDescent="0.2">
      <c r="A18" t="s">
        <v>4</v>
      </c>
      <c r="B18" s="4">
        <v>0.82</v>
      </c>
      <c r="C18" s="4">
        <v>0.94</v>
      </c>
      <c r="D18" s="7"/>
      <c r="E18" t="s">
        <v>4</v>
      </c>
      <c r="F18" s="4">
        <v>0.74</v>
      </c>
      <c r="G18" s="4">
        <v>0.9</v>
      </c>
      <c r="I18" t="s">
        <v>4</v>
      </c>
      <c r="J18" s="7">
        <f t="shared" si="0"/>
        <v>0.78</v>
      </c>
      <c r="K18" s="7">
        <v>0.89200000000000002</v>
      </c>
      <c r="L18" s="37">
        <v>0.89500000000000002</v>
      </c>
      <c r="M18" s="4">
        <f t="shared" si="1"/>
        <v>0.10285002760291417</v>
      </c>
      <c r="O18" t="s">
        <v>4</v>
      </c>
      <c r="P18" s="4">
        <f>VLOOKUP(O18,'Stripped Spread'!$C$18:$E$60,3,FALSE)</f>
        <v>-0.46284842419996541</v>
      </c>
      <c r="Z18" t="s">
        <v>4</v>
      </c>
      <c r="AA18" s="4">
        <f t="shared" si="2"/>
        <v>0.10285002760291417</v>
      </c>
      <c r="AB18" s="4">
        <f t="shared" si="3"/>
        <v>-0.46284842419996541</v>
      </c>
    </row>
    <row r="19" spans="1:28" x14ac:dyDescent="0.2">
      <c r="A19" t="s">
        <v>48</v>
      </c>
      <c r="B19" s="4">
        <v>0.3</v>
      </c>
      <c r="C19" s="4">
        <v>0.3</v>
      </c>
      <c r="D19" s="7"/>
      <c r="E19" t="s">
        <v>48</v>
      </c>
      <c r="F19" s="4">
        <v>0.24</v>
      </c>
      <c r="G19" s="4">
        <v>0.24</v>
      </c>
      <c r="I19" t="s">
        <v>48</v>
      </c>
      <c r="J19" s="7">
        <f t="shared" si="0"/>
        <v>0.27</v>
      </c>
      <c r="K19" s="7">
        <v>0.28299999999999997</v>
      </c>
      <c r="L19" s="37">
        <v>0.309</v>
      </c>
      <c r="M19" s="4">
        <f t="shared" si="1"/>
        <v>-0.41707851083141673</v>
      </c>
      <c r="O19" t="s">
        <v>48</v>
      </c>
      <c r="P19" s="4">
        <f>VLOOKUP(O19,'Stripped Spread'!$C$18:$E$60,3,FALSE)</f>
        <v>-0.36315540465326435</v>
      </c>
      <c r="Z19" t="s">
        <v>48</v>
      </c>
      <c r="AA19" s="4">
        <f t="shared" si="2"/>
        <v>-0.41707851083141673</v>
      </c>
      <c r="AB19" s="4">
        <f t="shared" si="3"/>
        <v>-0.36315540465326435</v>
      </c>
    </row>
    <row r="20" spans="1:28" x14ac:dyDescent="0.2">
      <c r="A20" t="s">
        <v>13</v>
      </c>
      <c r="B20" s="4">
        <v>0.9</v>
      </c>
      <c r="C20" s="4">
        <v>0.91</v>
      </c>
      <c r="D20" s="7"/>
      <c r="E20" t="s">
        <v>13</v>
      </c>
      <c r="F20" s="4">
        <v>0.85</v>
      </c>
      <c r="G20" s="4">
        <v>0.74</v>
      </c>
      <c r="I20" t="s">
        <v>13</v>
      </c>
      <c r="J20" s="7">
        <f t="shared" si="0"/>
        <v>0.875</v>
      </c>
      <c r="K20" s="7">
        <v>0.93500000000000005</v>
      </c>
      <c r="L20" s="37">
        <v>0.98</v>
      </c>
      <c r="M20" s="4">
        <f t="shared" si="1"/>
        <v>0.17826628317785975</v>
      </c>
      <c r="O20" t="s">
        <v>13</v>
      </c>
      <c r="P20" s="4">
        <f>VLOOKUP(O20,'Stripped Spread'!$C$18:$E$60,3,FALSE)</f>
        <v>-0.16466036285246269</v>
      </c>
      <c r="Z20" t="s">
        <v>13</v>
      </c>
      <c r="AA20" s="4">
        <f t="shared" si="2"/>
        <v>0.17826628317785975</v>
      </c>
      <c r="AB20" s="4">
        <f t="shared" si="3"/>
        <v>-0.16466036285246269</v>
      </c>
    </row>
    <row r="21" spans="1:28" x14ac:dyDescent="0.2">
      <c r="A21" t="s">
        <v>23</v>
      </c>
      <c r="B21" s="4">
        <v>1.41</v>
      </c>
      <c r="C21" s="4">
        <v>1.44</v>
      </c>
      <c r="D21" s="7"/>
      <c r="E21" t="s">
        <v>23</v>
      </c>
      <c r="F21" s="4">
        <v>0.38</v>
      </c>
      <c r="G21" s="4">
        <v>0.39</v>
      </c>
      <c r="I21" t="s">
        <v>23</v>
      </c>
      <c r="J21" s="7">
        <f t="shared" si="0"/>
        <v>0.89500000000000002</v>
      </c>
      <c r="K21" s="7">
        <v>0.45700000000000002</v>
      </c>
      <c r="L21" s="37">
        <v>0.52</v>
      </c>
      <c r="M21" s="4">
        <f t="shared" si="1"/>
        <v>-0.22986874699243409</v>
      </c>
      <c r="O21" t="s">
        <v>23</v>
      </c>
      <c r="P21" s="4">
        <f>VLOOKUP(O21,'Stripped Spread'!$C$18:$E$60,3,FALSE)</f>
        <v>-0.49266345738201095</v>
      </c>
      <c r="Z21" t="s">
        <v>23</v>
      </c>
      <c r="AA21" s="4">
        <f t="shared" si="2"/>
        <v>-0.22986874699243409</v>
      </c>
      <c r="AB21" s="4">
        <f t="shared" si="3"/>
        <v>-0.49266345738201095</v>
      </c>
    </row>
    <row r="22" spans="1:28" x14ac:dyDescent="0.2">
      <c r="A22" t="s">
        <v>77</v>
      </c>
      <c r="B22" s="4">
        <v>0.28999999999999998</v>
      </c>
      <c r="C22" s="4">
        <v>0.39</v>
      </c>
      <c r="D22" s="7"/>
      <c r="E22" t="s">
        <v>77</v>
      </c>
      <c r="F22" s="4">
        <v>0.21</v>
      </c>
      <c r="G22" s="4">
        <v>0.12</v>
      </c>
      <c r="I22" t="s">
        <v>77</v>
      </c>
      <c r="J22" s="7">
        <f t="shared" si="0"/>
        <v>0.25</v>
      </c>
      <c r="K22" s="7">
        <v>0.35</v>
      </c>
      <c r="L22" s="36">
        <v>0.36199999999999999</v>
      </c>
      <c r="M22" s="4">
        <f t="shared" si="1"/>
        <v>-0.37005425735527414</v>
      </c>
      <c r="O22" t="s">
        <v>77</v>
      </c>
      <c r="P22" s="4">
        <f>VLOOKUP(O22,'Stripped Spread'!$C$18:$E$60,3,FALSE)</f>
        <v>0.16739140015649304</v>
      </c>
      <c r="Z22" t="s">
        <v>77</v>
      </c>
      <c r="AA22" s="4">
        <f t="shared" si="2"/>
        <v>-0.37005425735527414</v>
      </c>
      <c r="AB22" s="4">
        <f t="shared" si="3"/>
        <v>0.16739140015649304</v>
      </c>
    </row>
    <row r="23" spans="1:28" x14ac:dyDescent="0.2">
      <c r="A23" t="s">
        <v>14</v>
      </c>
      <c r="B23" s="4">
        <v>0.26</v>
      </c>
      <c r="C23" s="4">
        <v>0.24</v>
      </c>
      <c r="D23" s="7"/>
      <c r="E23" t="s">
        <v>14</v>
      </c>
      <c r="F23" s="4">
        <v>0.26</v>
      </c>
      <c r="G23" s="4">
        <v>0.26</v>
      </c>
      <c r="I23" t="s">
        <v>14</v>
      </c>
      <c r="J23" s="7">
        <f t="shared" si="0"/>
        <v>0.26</v>
      </c>
      <c r="K23" s="7">
        <v>0.28899999999999998</v>
      </c>
      <c r="L23" s="37">
        <v>0.29899999999999999</v>
      </c>
      <c r="M23" s="4">
        <f t="shared" si="1"/>
        <v>-0.4259510114872927</v>
      </c>
      <c r="O23" t="s">
        <v>14</v>
      </c>
      <c r="P23" s="4">
        <f>VLOOKUP(O23,'Stripped Spread'!$C$18:$E$60,3,FALSE)</f>
        <v>-0.24455989205539388</v>
      </c>
      <c r="Z23" t="s">
        <v>14</v>
      </c>
      <c r="AA23" s="4">
        <f t="shared" si="2"/>
        <v>-0.4259510114872927</v>
      </c>
      <c r="AB23" s="4">
        <f t="shared" si="3"/>
        <v>-0.24455989205539388</v>
      </c>
    </row>
    <row r="24" spans="1:28" x14ac:dyDescent="0.2">
      <c r="A24" t="s">
        <v>58</v>
      </c>
      <c r="B24" s="4">
        <v>0.28000000000000003</v>
      </c>
      <c r="C24" s="4">
        <v>0.34</v>
      </c>
      <c r="D24" s="7"/>
      <c r="E24" t="s">
        <v>58</v>
      </c>
      <c r="F24" s="4">
        <v>0.23</v>
      </c>
      <c r="G24" s="4">
        <v>0.17</v>
      </c>
      <c r="I24" t="s">
        <v>58</v>
      </c>
      <c r="J24" s="7">
        <f t="shared" si="0"/>
        <v>0.255</v>
      </c>
      <c r="K24" s="7">
        <v>0.3</v>
      </c>
      <c r="L24" s="36">
        <v>0.31900000000000001</v>
      </c>
      <c r="M24" s="4">
        <f t="shared" si="1"/>
        <v>-0.40820601017554076</v>
      </c>
      <c r="O24" t="s">
        <v>58</v>
      </c>
      <c r="P24" s="4">
        <f>VLOOKUP(O24,'Stripped Spread'!$C$18:$E$60,3,FALSE)</f>
        <v>1.5328752249159792</v>
      </c>
      <c r="Z24" t="s">
        <v>58</v>
      </c>
      <c r="AA24" s="4">
        <f t="shared" si="2"/>
        <v>-0.40820601017554076</v>
      </c>
      <c r="AB24" s="4">
        <f t="shared" si="3"/>
        <v>1.5328752249159792</v>
      </c>
    </row>
    <row r="25" spans="1:28" x14ac:dyDescent="0.2">
      <c r="A25" t="s">
        <v>72</v>
      </c>
      <c r="B25" s="4">
        <v>0.68</v>
      </c>
      <c r="C25" s="4">
        <v>0.76</v>
      </c>
      <c r="D25" s="7"/>
      <c r="E25" t="s">
        <v>72</v>
      </c>
      <c r="F25" s="4">
        <v>0.48</v>
      </c>
      <c r="G25" s="4">
        <v>0.59</v>
      </c>
      <c r="I25" t="s">
        <v>72</v>
      </c>
      <c r="J25" s="7">
        <f t="shared" si="0"/>
        <v>0.58000000000000007</v>
      </c>
      <c r="K25" s="7">
        <v>0.6</v>
      </c>
      <c r="L25" s="36">
        <v>0.56799999999999995</v>
      </c>
      <c r="M25" s="4">
        <f t="shared" si="1"/>
        <v>-0.18728074384422957</v>
      </c>
      <c r="O25" t="s">
        <v>72</v>
      </c>
      <c r="P25" s="4">
        <f>VLOOKUP(O25,'Stripped Spread'!$C$18:$E$60,3,FALSE)</f>
        <v>-0.34765727585037098</v>
      </c>
      <c r="Z25" t="s">
        <v>72</v>
      </c>
      <c r="AA25" s="4">
        <f t="shared" si="2"/>
        <v>-0.18728074384422957</v>
      </c>
      <c r="AB25" s="4">
        <f t="shared" si="3"/>
        <v>-0.34765727585037098</v>
      </c>
    </row>
    <row r="26" spans="1:28" x14ac:dyDescent="0.2">
      <c r="A26" t="s">
        <v>12</v>
      </c>
      <c r="B26" s="4">
        <v>0.55000000000000004</v>
      </c>
      <c r="C26" s="4">
        <v>0.52</v>
      </c>
      <c r="D26" s="7"/>
      <c r="E26" t="s">
        <v>12</v>
      </c>
      <c r="F26" s="4">
        <v>0.39</v>
      </c>
      <c r="G26" s="4">
        <v>0.32</v>
      </c>
      <c r="I26" t="s">
        <v>12</v>
      </c>
      <c r="J26" s="7">
        <f t="shared" si="0"/>
        <v>0.47000000000000003</v>
      </c>
      <c r="K26" s="7">
        <v>0.185</v>
      </c>
      <c r="L26" s="37">
        <v>0.161</v>
      </c>
      <c r="M26" s="4">
        <f t="shared" si="1"/>
        <v>-0.54839152053838081</v>
      </c>
      <c r="O26" t="s">
        <v>12</v>
      </c>
      <c r="P26" s="4">
        <f>VLOOKUP(O26,'Stripped Spread'!$C$18:$E$60,3,FALSE)</f>
        <v>2.7898082980863612</v>
      </c>
      <c r="Z26" t="s">
        <v>12</v>
      </c>
      <c r="AA26" s="4">
        <f t="shared" si="2"/>
        <v>-0.54839152053838081</v>
      </c>
      <c r="AB26" s="4">
        <f t="shared" si="3"/>
        <v>2.7898082980863612</v>
      </c>
    </row>
    <row r="27" spans="1:28" x14ac:dyDescent="0.2">
      <c r="A27" t="s">
        <v>64</v>
      </c>
      <c r="B27" s="4">
        <v>0.74</v>
      </c>
      <c r="C27" s="4">
        <v>0.6</v>
      </c>
      <c r="D27" s="7"/>
      <c r="E27" t="s">
        <v>64</v>
      </c>
      <c r="F27" s="4">
        <v>0.69</v>
      </c>
      <c r="G27" s="4">
        <v>0.6</v>
      </c>
      <c r="I27" t="s">
        <v>64</v>
      </c>
      <c r="J27" s="7">
        <f t="shared" si="0"/>
        <v>0.71499999999999997</v>
      </c>
      <c r="K27" s="36">
        <v>0.65</v>
      </c>
      <c r="L27" s="36">
        <v>0.6</v>
      </c>
      <c r="M27" s="4">
        <f t="shared" si="1"/>
        <v>-0.1588887417454265</v>
      </c>
      <c r="O27" t="s">
        <v>64</v>
      </c>
      <c r="P27" s="4">
        <f>VLOOKUP(O27,'Stripped Spread'!$C$18:$E$60,3,FALSE)</f>
        <v>0.45654469091159733</v>
      </c>
      <c r="Z27" t="s">
        <v>64</v>
      </c>
      <c r="AA27" s="4">
        <f t="shared" si="2"/>
        <v>-0.1588887417454265</v>
      </c>
      <c r="AB27" s="4">
        <f t="shared" si="3"/>
        <v>0.45654469091159733</v>
      </c>
    </row>
    <row r="28" spans="1:28" x14ac:dyDescent="0.2">
      <c r="D28" s="7"/>
      <c r="P28" s="4"/>
    </row>
    <row r="29" spans="1:28" ht="13.5" thickBot="1" x14ac:dyDescent="0.25">
      <c r="A29" t="s">
        <v>144</v>
      </c>
      <c r="E29" t="s">
        <v>144</v>
      </c>
      <c r="P29" s="4"/>
    </row>
    <row r="30" spans="1:28" x14ac:dyDescent="0.2">
      <c r="A30" t="s">
        <v>124</v>
      </c>
      <c r="E30" t="s">
        <v>124</v>
      </c>
      <c r="O30" s="53" t="s">
        <v>709</v>
      </c>
      <c r="P30" s="54">
        <f>LINEST(AB4:AB27,AA4:AA27,TRUE,FALSE)</f>
        <v>-1.4542829518588116</v>
      </c>
    </row>
    <row r="31" spans="1:28" ht="13.5" thickBot="1" x14ac:dyDescent="0.25">
      <c r="A31" t="s">
        <v>169</v>
      </c>
      <c r="E31" t="s">
        <v>169</v>
      </c>
      <c r="O31" s="55" t="s">
        <v>309</v>
      </c>
      <c r="P31" s="56">
        <f>INTERCEPT(AB4:AB27,AA4:AA27)</f>
        <v>-0.10727143539580408</v>
      </c>
    </row>
    <row r="32" spans="1:28" x14ac:dyDescent="0.2">
      <c r="P32" s="4"/>
    </row>
    <row r="33" spans="1:16" x14ac:dyDescent="0.2">
      <c r="A33" t="s">
        <v>68</v>
      </c>
      <c r="E33" t="s">
        <v>68</v>
      </c>
      <c r="I33" s="4"/>
      <c r="K33" s="4">
        <f>AVERAGE(K3:K27)</f>
        <v>0.78320000000000012</v>
      </c>
      <c r="L33" s="4">
        <f>AVERAGE(L3:L27)</f>
        <v>0.77907999999999988</v>
      </c>
      <c r="P33" s="4"/>
    </row>
    <row r="34" spans="1:16" x14ac:dyDescent="0.2">
      <c r="I34" s="4"/>
      <c r="K34" s="4">
        <f>STDEV(K3:K27)</f>
        <v>1.2003788638037021</v>
      </c>
      <c r="L34" s="4">
        <f>STDEV(L3:L27)</f>
        <v>1.1270779668387336</v>
      </c>
      <c r="P34" s="4"/>
    </row>
    <row r="35" spans="1:16" x14ac:dyDescent="0.2">
      <c r="P35" s="4"/>
    </row>
    <row r="36" spans="1:16" x14ac:dyDescent="0.2">
      <c r="P36" s="4"/>
    </row>
    <row r="37" spans="1:16" x14ac:dyDescent="0.2">
      <c r="P37" s="4"/>
    </row>
    <row r="38" spans="1:16" x14ac:dyDescent="0.2">
      <c r="P38" s="4"/>
    </row>
    <row r="39" spans="1:16" x14ac:dyDescent="0.2">
      <c r="P39" s="4"/>
    </row>
    <row r="40" spans="1:16" x14ac:dyDescent="0.2">
      <c r="P40" s="4"/>
    </row>
    <row r="41" spans="1:16" x14ac:dyDescent="0.2">
      <c r="P41" s="4"/>
    </row>
  </sheetData>
  <phoneticPr fontId="3" type="noConversion"/>
  <pageMargins left="0.75" right="0.75" top="1" bottom="1" header="0.5" footer="0.5"/>
  <pageSetup scale="54" orientation="landscape"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CC62"/>
  <sheetViews>
    <sheetView workbookViewId="0">
      <pane xSplit="3" ySplit="1" topLeftCell="D2" activePane="bottomRight" state="frozen"/>
      <selection pane="topRight" activeCell="D1" sqref="D1"/>
      <selection pane="bottomLeft" activeCell="A2" sqref="A2"/>
      <selection pane="bottomRight" activeCell="A2" sqref="A2"/>
    </sheetView>
  </sheetViews>
  <sheetFormatPr defaultRowHeight="12.75" x14ac:dyDescent="0.2"/>
  <cols>
    <col min="14" max="14" width="13.42578125" customWidth="1"/>
    <col min="24" max="24" width="7.7109375" customWidth="1"/>
    <col min="31" max="31" width="17" customWidth="1"/>
    <col min="32" max="32" width="11.7109375" customWidth="1"/>
    <col min="33" max="33" width="3.85546875" customWidth="1"/>
    <col min="34" max="34" width="3.140625" customWidth="1"/>
    <col min="39" max="39" width="11.28515625" customWidth="1"/>
    <col min="43" max="43" width="10.28515625" customWidth="1"/>
    <col min="44" max="44" width="9.5703125" customWidth="1"/>
    <col min="45" max="45" width="10.7109375" bestFit="1" customWidth="1"/>
    <col min="55" max="57" width="9.140625" customWidth="1"/>
    <col min="58" max="58" width="3.42578125" customWidth="1"/>
    <col min="59" max="59" width="9.140625" customWidth="1"/>
    <col min="62" max="62" width="2.7109375" customWidth="1"/>
    <col min="65" max="65" width="13.5703125" customWidth="1"/>
    <col min="66" max="66" width="11.140625" bestFit="1" customWidth="1"/>
    <col min="67" max="67" width="4.140625" customWidth="1"/>
    <col min="68" max="68" width="10.85546875" customWidth="1"/>
    <col min="69" max="69" width="11.28515625" customWidth="1"/>
    <col min="70" max="70" width="13" customWidth="1"/>
    <col min="72" max="72" width="5.5703125" customWidth="1"/>
    <col min="74" max="74" width="13.7109375" customWidth="1"/>
    <col min="75" max="75" width="13.42578125" customWidth="1"/>
    <col min="79" max="79" width="14.140625" customWidth="1"/>
    <col min="80" max="80" width="13.7109375" customWidth="1"/>
  </cols>
  <sheetData>
    <row r="1" spans="1:81" ht="36.75" customHeight="1" x14ac:dyDescent="0.2">
      <c r="A1" s="119" t="s">
        <v>210</v>
      </c>
      <c r="B1" s="119" t="s">
        <v>441</v>
      </c>
      <c r="C1" s="119" t="s">
        <v>203</v>
      </c>
      <c r="D1" s="120" t="s">
        <v>442</v>
      </c>
      <c r="E1" s="121" t="s">
        <v>443</v>
      </c>
      <c r="F1" s="121" t="s">
        <v>444</v>
      </c>
      <c r="G1" s="121" t="s">
        <v>445</v>
      </c>
      <c r="H1" s="121"/>
      <c r="I1" s="121" t="s">
        <v>446</v>
      </c>
      <c r="J1" s="121"/>
      <c r="K1" s="121" t="s">
        <v>447</v>
      </c>
      <c r="L1" s="121"/>
      <c r="M1" s="176" t="s">
        <v>629</v>
      </c>
      <c r="N1" s="122" t="s">
        <v>628</v>
      </c>
      <c r="O1" s="121"/>
      <c r="P1" s="118"/>
      <c r="Q1" s="121" t="s">
        <v>448</v>
      </c>
      <c r="R1" s="123"/>
      <c r="S1" s="121" t="s">
        <v>449</v>
      </c>
      <c r="T1" s="123"/>
      <c r="U1" s="121" t="s">
        <v>450</v>
      </c>
      <c r="V1" s="123"/>
      <c r="W1" s="176" t="s">
        <v>631</v>
      </c>
      <c r="X1" s="122" t="s">
        <v>630</v>
      </c>
      <c r="Y1" s="121"/>
      <c r="Z1" s="124"/>
      <c r="AA1" s="121" t="s">
        <v>451</v>
      </c>
      <c r="AB1" s="118"/>
      <c r="AC1" s="121" t="s">
        <v>452</v>
      </c>
      <c r="AD1" s="118"/>
      <c r="AE1" s="176" t="s">
        <v>453</v>
      </c>
      <c r="AF1" s="122" t="s">
        <v>632</v>
      </c>
      <c r="AG1" s="118"/>
      <c r="AH1" s="118"/>
      <c r="AI1" s="118" t="s">
        <v>210</v>
      </c>
      <c r="AJ1" s="125" t="s">
        <v>454</v>
      </c>
      <c r="AK1" s="125" t="s">
        <v>455</v>
      </c>
      <c r="AL1" s="125" t="s">
        <v>456</v>
      </c>
      <c r="AM1" s="122" t="s">
        <v>633</v>
      </c>
      <c r="AN1" s="125"/>
      <c r="AO1" s="175" t="s">
        <v>626</v>
      </c>
      <c r="AP1" s="125"/>
      <c r="AQ1" s="137" t="s">
        <v>634</v>
      </c>
      <c r="AR1" s="126" t="s">
        <v>627</v>
      </c>
      <c r="AS1" s="118"/>
      <c r="AT1" s="118"/>
      <c r="AU1" s="118"/>
      <c r="AV1" s="118"/>
      <c r="AW1" s="118"/>
      <c r="BD1" s="170" t="s">
        <v>627</v>
      </c>
      <c r="BE1" s="175" t="s">
        <v>626</v>
      </c>
      <c r="BF1" s="179"/>
      <c r="BG1" s="179"/>
      <c r="BH1" s="169" t="s">
        <v>632</v>
      </c>
      <c r="BI1" s="175" t="s">
        <v>626</v>
      </c>
      <c r="BJ1" s="179"/>
      <c r="BK1" s="179"/>
      <c r="BL1" s="179" t="s">
        <v>644</v>
      </c>
      <c r="BM1" s="168" t="s">
        <v>643</v>
      </c>
      <c r="BN1" s="175" t="s">
        <v>626</v>
      </c>
      <c r="BQ1" s="184" t="s">
        <v>645</v>
      </c>
      <c r="BR1" s="184" t="s">
        <v>646</v>
      </c>
      <c r="BS1" s="175" t="s">
        <v>626</v>
      </c>
      <c r="BV1" s="184" t="s">
        <v>647</v>
      </c>
      <c r="BW1" s="184" t="s">
        <v>648</v>
      </c>
      <c r="BX1" s="175" t="s">
        <v>626</v>
      </c>
      <c r="CA1" s="184" t="s">
        <v>649</v>
      </c>
      <c r="CB1" s="184" t="s">
        <v>650</v>
      </c>
      <c r="CC1" s="175" t="s">
        <v>626</v>
      </c>
    </row>
    <row r="2" spans="1:81" x14ac:dyDescent="0.2">
      <c r="A2" s="127" t="s">
        <v>0</v>
      </c>
      <c r="B2" s="127" t="s">
        <v>204</v>
      </c>
      <c r="C2" s="127" t="s">
        <v>16</v>
      </c>
      <c r="D2" s="128" t="str">
        <f>A2</f>
        <v>China</v>
      </c>
      <c r="E2" s="128">
        <f>VLOOKUP(D2,DoingBusiness!$A$1:$K$202,3,FALSE)</f>
        <v>151</v>
      </c>
      <c r="F2" s="129">
        <f>(E2-E$45)/E$46</f>
        <v>1.2140697986018443</v>
      </c>
      <c r="G2" s="128">
        <f>VLOOKUP(D2,DoingBusiness!$A$1:$K$202,5,FALSE)</f>
        <v>38</v>
      </c>
      <c r="H2" s="129">
        <f>(G2-G$45)/G$46</f>
        <v>-1.0748467828218378</v>
      </c>
      <c r="I2" s="128">
        <f>VLOOKUP(D2,DoingBusiness!$A$1:$K$202,9,FALSE)</f>
        <v>50</v>
      </c>
      <c r="J2" s="129">
        <f>(I2-I$45)/I$46</f>
        <v>-0.82131384598740043</v>
      </c>
      <c r="K2" s="128">
        <f>VLOOKUP(D2,DoingBusiness!$A$1:$K$202,10,FALSE)</f>
        <v>15</v>
      </c>
      <c r="L2" s="129">
        <f>(K2-K$45)/K$46</f>
        <v>-1.5432180335841048</v>
      </c>
      <c r="M2" s="130">
        <f>((E$48*F2^2)+E$49*F2)+((G$48*H2^2)+G$49*H2+G$50)+((I$48*J2^2)+I$49*J2)+((K$48*L2^2)+K$49*L2+K$50)</f>
        <v>0.65032655818069518</v>
      </c>
      <c r="N2" s="130">
        <f>(M2-M$45)/M$46</f>
        <v>6.900336095380237E-2</v>
      </c>
      <c r="O2" s="130"/>
      <c r="P2" s="118" t="s">
        <v>0</v>
      </c>
      <c r="Q2" s="118">
        <f>VLOOKUP(P2,ONDD!$A$5:$H$246,3,FALSE)</f>
        <v>2</v>
      </c>
      <c r="R2" s="130">
        <f>(Q2-Q$45)/Q$46</f>
        <v>-1.4786442064243945</v>
      </c>
      <c r="S2" s="118">
        <f>VLOOKUP(P2,ONDD!$A$5:$H$246,7,FALSE)</f>
        <v>4</v>
      </c>
      <c r="T2" s="130">
        <f>(S2-S$45)/S$46</f>
        <v>0.43817267136761756</v>
      </c>
      <c r="U2" s="118">
        <f>VLOOKUP(P2,ONDD!$A$5:$H$246,8,FALSE)</f>
        <v>2</v>
      </c>
      <c r="V2" s="130">
        <f>(U2-U$45)/U$46</f>
        <v>-1.4528222781994979</v>
      </c>
      <c r="W2" s="130">
        <f>((Q$48*R2^2)+Q$49*R2+Q$50)+((S$48*T2^2)+S$49*T2)+(U$48*V2^2)+(U$49*V2+U$50)</f>
        <v>-0.35535750919257403</v>
      </c>
      <c r="X2" s="130">
        <f>(W2-W$45)/W$46</f>
        <v>-0.57907100181350935</v>
      </c>
      <c r="Y2" s="130"/>
      <c r="Z2" s="118" t="str">
        <f>$D2</f>
        <v>China</v>
      </c>
      <c r="AA2" s="118">
        <f>VLOOKUP(Z2,Coface!$A$2:$G$161,7,FALSE)</f>
        <v>8</v>
      </c>
      <c r="AB2" s="132">
        <f>(AA2-AA$45)/AA$46</f>
        <v>0.15397760524808318</v>
      </c>
      <c r="AC2" s="118">
        <f>VLOOKUP(Z2,Coface!$A$2:$G$161,4,FALSE)</f>
        <v>3</v>
      </c>
      <c r="AD2" s="132">
        <f>(AC2-AC$45)/AC$46</f>
        <v>-1.1315202847301109</v>
      </c>
      <c r="AE2" s="132">
        <f>AC2*0.7+AA2*0.3</f>
        <v>4.5</v>
      </c>
      <c r="AF2" s="132">
        <f>(AE2-AE$45)/AE$46</f>
        <v>-0.8014879197603727</v>
      </c>
      <c r="AG2" s="118"/>
      <c r="AH2" s="118"/>
      <c r="AI2" s="118" t="str">
        <f>$D2</f>
        <v>China</v>
      </c>
      <c r="AJ2" s="118">
        <v>36</v>
      </c>
      <c r="AK2" s="118">
        <v>37</v>
      </c>
      <c r="AL2" s="118">
        <v>34</v>
      </c>
      <c r="AM2" s="130">
        <f>(AL2-AL$45)/AL$46</f>
        <v>0.53983243035358208</v>
      </c>
      <c r="AN2" s="118" t="str">
        <f>$Z2</f>
        <v>China</v>
      </c>
      <c r="AO2" s="132">
        <f>VLOOKUP(AN2,'Stripped Spread'!$C$18:$E$60,3,FALSE)</f>
        <v>-0.36041566053529961</v>
      </c>
      <c r="AP2" s="118"/>
      <c r="AQ2" s="130">
        <f>((M$48*N2^2)+M$49*N2+M$50)+((W$48*X2^2)+W$49*X2+W$50)+((AE$48*AF2^2)+AE$49*AF2+AE$50)+((AL$48*AM2^2)+AL$49*AM2+AL$50)</f>
        <v>-0.46493242973913307</v>
      </c>
      <c r="AR2" s="132">
        <f>(AQ2-AQ$45)/AQ$46</f>
        <v>-0.60726175792252624</v>
      </c>
      <c r="AS2" s="132">
        <f>AO2</f>
        <v>-0.36041566053529961</v>
      </c>
      <c r="AT2" s="118"/>
      <c r="AU2" s="118"/>
      <c r="AV2" s="130"/>
      <c r="AW2" s="130"/>
      <c r="BC2" s="167" t="s">
        <v>0</v>
      </c>
      <c r="BD2" s="171">
        <f>VLOOKUP(BC2,$AN$2:$AR$40,5,FALSE)</f>
        <v>-0.60726175792252624</v>
      </c>
      <c r="BE2" s="171">
        <f>VLOOKUP(BC2,$AN$2:$AO$40,2,FALSE)</f>
        <v>-0.36041566053529961</v>
      </c>
      <c r="BF2" s="182"/>
      <c r="BG2" s="167" t="s">
        <v>0</v>
      </c>
      <c r="BH2" s="7">
        <f>VLOOKUP(BG2,$Z$2:$AF$40,7,FALSE)</f>
        <v>-0.8014879197603727</v>
      </c>
      <c r="BI2" s="171">
        <f>VLOOKUP(BG2,$AN$2:$AO$40,2,FALSE)</f>
        <v>-0.36041566053529961</v>
      </c>
      <c r="BJ2" s="182"/>
      <c r="BK2" s="183" t="s">
        <v>10</v>
      </c>
      <c r="BL2" s="183">
        <f>VLOOKUP(BK2,$D$2:$E$40,2,FALSE)</f>
        <v>142</v>
      </c>
      <c r="BM2" s="7">
        <f>(BL2-$BL$37)/$BL$38</f>
        <v>1.0610485467937543</v>
      </c>
      <c r="BN2" s="7">
        <f t="shared" ref="BN2:BN10" si="0">VLOOKUP(BK2,$AN$2:$AO$40,2,FALSE)</f>
        <v>1.4255405250063531</v>
      </c>
      <c r="BP2" s="186" t="s">
        <v>10</v>
      </c>
      <c r="BQ2">
        <f>VLOOKUP(BP2,$D$2:$G$40,4,FALSE)</f>
        <v>118</v>
      </c>
      <c r="BR2" s="7">
        <f>(BQ2-$BQ$38)/$BQ$39</f>
        <v>0.8649520538218296</v>
      </c>
      <c r="BS2" s="7">
        <f>VLOOKUP(BP2,$BK$2:$BN$35,4,FALSE)</f>
        <v>1.4255405250063531</v>
      </c>
      <c r="BU2" s="187" t="s">
        <v>10</v>
      </c>
      <c r="BV2">
        <f>VLOOKUP(BU2,$D$2:$I$40,6,FALSE)</f>
        <v>115</v>
      </c>
      <c r="BW2" s="14">
        <f>(BV2-$BV$38)/$BV$39</f>
        <v>0.97282357970243072</v>
      </c>
      <c r="BX2" s="7">
        <f>BS2</f>
        <v>1.4255405250063531</v>
      </c>
      <c r="BZ2" s="188" t="s">
        <v>243</v>
      </c>
      <c r="CA2">
        <f>VLOOKUP(BZ2,$D$2:$K$40,8,FALSE)</f>
        <v>168</v>
      </c>
      <c r="CB2" s="7">
        <f>(CA2-$CA$37)/$CA$38</f>
        <v>1.6964696403805843</v>
      </c>
      <c r="CC2" s="7">
        <f>VLOOKUP(BZ2,$AN$2:$AO$40,2,FALSE)</f>
        <v>2.5816515950898986</v>
      </c>
    </row>
    <row r="3" spans="1:81" x14ac:dyDescent="0.2">
      <c r="A3" s="127" t="s">
        <v>2</v>
      </c>
      <c r="B3" s="127" t="s">
        <v>206</v>
      </c>
      <c r="C3" s="127" t="s">
        <v>16</v>
      </c>
      <c r="D3" s="128" t="str">
        <f t="shared" ref="D3:D40" si="1">A3</f>
        <v>Indonesia</v>
      </c>
      <c r="E3" s="147">
        <f>VLOOKUP(D3,DoingBusiness!$A$1:$K$202,3,FALSE)</f>
        <v>155</v>
      </c>
      <c r="F3" s="148">
        <f t="shared" ref="F3:F40" si="2">(E3-E$45)/E$46</f>
        <v>1.2985456632681636</v>
      </c>
      <c r="G3" s="147">
        <f>VLOOKUP(D3,DoingBusiness!$A$1:$K$202,5,FALSE)</f>
        <v>98</v>
      </c>
      <c r="H3" s="148">
        <f t="shared" ref="H3:H40" si="3">(G3-G$45)/G$46</f>
        <v>0.34935563609271503</v>
      </c>
      <c r="I3" s="147">
        <f>VLOOKUP(D3,DoingBusiness!$A$1:$K$202,9,FALSE)</f>
        <v>47</v>
      </c>
      <c r="J3" s="148">
        <f t="shared" ref="J3:J40" si="4">(I3-I$45)/I$46</f>
        <v>-0.88735763978844917</v>
      </c>
      <c r="K3" s="147">
        <f>VLOOKUP(D3,DoingBusiness!$A$1:$K$202,10,FALSE)</f>
        <v>154</v>
      </c>
      <c r="L3" s="148">
        <f t="shared" ref="L3:L40" si="5">(K3-K$45)/K$46</f>
        <v>1.5189287307129051</v>
      </c>
      <c r="M3" s="149">
        <f t="shared" ref="M3:M40" si="6">((E$48*F3^2)+E$49*F3)+((G$48*H3^2)+G$49*H3+G$50)+((I$48*J3^2)+I$49*J3)+((K$48*L3^2)+K$49*L3+K$50)</f>
        <v>1.5899843145395125</v>
      </c>
      <c r="N3" s="149">
        <f t="shared" ref="N3:N40" si="7">(M3-M$45)/M$46</f>
        <v>0.86630241236012828</v>
      </c>
      <c r="O3" s="130"/>
      <c r="P3" s="118" t="s">
        <v>2</v>
      </c>
      <c r="Q3" s="146">
        <f>VLOOKUP(P3,ONDD!$A$5:$H$246,3,FALSE)</f>
        <v>4</v>
      </c>
      <c r="R3" s="149">
        <f t="shared" ref="R3:R40" si="8">(Q3-Q$45)/Q$46</f>
        <v>-0.30176412376008049</v>
      </c>
      <c r="S3" s="146">
        <f>VLOOKUP(P3,ONDD!$A$5:$H$246,7,FALSE)</f>
        <v>5</v>
      </c>
      <c r="T3" s="149">
        <f t="shared" ref="T3:T40" si="9">(S3-S$45)/S$46</f>
        <v>1.0274393673447584</v>
      </c>
      <c r="U3" s="146">
        <f>VLOOKUP(P3,ONDD!$A$5:$H$246,8,FALSE)</f>
        <v>3</v>
      </c>
      <c r="V3" s="149">
        <f t="shared" ref="V3:V40" si="10">(U3-U$45)/U$46</f>
        <v>-0.76184582881193175</v>
      </c>
      <c r="W3" s="149">
        <f t="shared" ref="W3:W39" si="11">((Q$48*R3^2)+Q$49*R3+Q$50)+((S$48*T3^2)+S$49*T3)+(U$48*V3^2)+(U$49*V3+U$50)</f>
        <v>0.18279888291963764</v>
      </c>
      <c r="X3" s="149">
        <f t="shared" ref="X3:X40" si="12">(W3-W$45)/W$46</f>
        <v>-0.33149078460864051</v>
      </c>
      <c r="Y3" s="130"/>
      <c r="Z3" s="146" t="str">
        <f t="shared" ref="Z3:Z39" si="13">$D3</f>
        <v>Indonesia</v>
      </c>
      <c r="AA3" s="146">
        <f>VLOOKUP(Z3,Coface!$A$2:$G$161,7,FALSE)</f>
        <v>12</v>
      </c>
      <c r="AB3" s="165">
        <f t="shared" ref="AB3:AB40" si="14">(AA3-AA$45)/AA$46</f>
        <v>1.1983474495394306</v>
      </c>
      <c r="AC3" s="163">
        <f>VLOOKUP(Z3,Coface!$A$2:$G$161,4,FALSE)</f>
        <v>8</v>
      </c>
      <c r="AD3" s="165">
        <f t="shared" ref="AD3:AD40" si="15">(AC3-AC$45)/AC$46</f>
        <v>4.8407284908240082E-2</v>
      </c>
      <c r="AE3" s="165">
        <f t="shared" ref="AE3:AE40" si="16">AC3*0.7+AA3*0.3</f>
        <v>9.1999999999999993</v>
      </c>
      <c r="AF3" s="165">
        <f t="shared" ref="AF3:AF40" si="17">(AE3-AE$45)/AE$46</f>
        <v>0.38329220678862957</v>
      </c>
      <c r="AG3" s="118"/>
      <c r="AH3" s="118"/>
      <c r="AI3" s="163" t="str">
        <f t="shared" ref="AI3:AI40" si="18">$D3</f>
        <v>Indonesia</v>
      </c>
      <c r="AJ3" s="118">
        <v>34</v>
      </c>
      <c r="AK3" s="118">
        <v>34</v>
      </c>
      <c r="AL3" s="118">
        <v>33</v>
      </c>
      <c r="AM3" s="164">
        <f t="shared" ref="AM3:AM40" si="19">(AL3-AL$45)/AL$46</f>
        <v>0.39563061676598138</v>
      </c>
      <c r="AN3" s="163" t="str">
        <f t="shared" ref="AN3:AN40" si="20">$Z3</f>
        <v>Indonesia</v>
      </c>
      <c r="AO3" s="165">
        <f>VLOOKUP(AN3,'Stripped Spread'!$C$18:$E$60,3,FALSE)</f>
        <v>-0.35838987515994025</v>
      </c>
      <c r="AP3" s="118"/>
      <c r="AQ3" s="164">
        <f t="shared" ref="AQ3:AQ39" si="21">((M$48*N3^2)+M$49*N3+M$50)+((W$48*X3^2)+W$49*X3+W$50)+((AE$48*AF3^2)+AE$49*AF3+AE$50)+((AL$48*AM3^2)+AL$49*AM3+AL$50)</f>
        <v>1.0052104312042225</v>
      </c>
      <c r="AR3" s="165">
        <f t="shared" ref="AR3:AR40" si="22">(AQ3-AQ$45)/AQ$46</f>
        <v>-6.280273147582198E-2</v>
      </c>
      <c r="AS3" s="165">
        <f t="shared" ref="AS3:AS40" si="23">AO3</f>
        <v>-0.35838987515994025</v>
      </c>
      <c r="AT3" s="118"/>
      <c r="AU3" s="118"/>
      <c r="AV3" s="130"/>
      <c r="AW3" s="130"/>
      <c r="BC3" s="167" t="s">
        <v>2</v>
      </c>
      <c r="BD3" s="171">
        <f t="shared" ref="BD3:BD39" si="24">VLOOKUP(BC3,$AN$2:$AR$40,5,FALSE)</f>
        <v>-6.280273147582198E-2</v>
      </c>
      <c r="BE3" s="171">
        <f t="shared" ref="BE3:BE39" si="25">VLOOKUP(BC3,$AN$2:$AO$40,2,FALSE)</f>
        <v>-0.35838987515994025</v>
      </c>
      <c r="BF3" s="182"/>
      <c r="BG3" s="167" t="s">
        <v>2</v>
      </c>
      <c r="BH3" s="7">
        <f t="shared" ref="BH3:BH39" si="26">VLOOKUP(BG3,$Z$2:$AF$40,7,FALSE)</f>
        <v>0.38329220678862957</v>
      </c>
      <c r="BI3" s="171">
        <f t="shared" ref="BI3:BI39" si="27">VLOOKUP(BC3,$AN$2:$AO$40,2,FALSE)</f>
        <v>-0.35838987515994025</v>
      </c>
      <c r="BJ3" s="182"/>
      <c r="BK3" s="183" t="s">
        <v>243</v>
      </c>
      <c r="BL3" s="183">
        <f t="shared" ref="BL3:BL35" si="28">VLOOKUP(BK3,$D$2:$E$40,2,FALSE)</f>
        <v>148</v>
      </c>
      <c r="BM3" s="7">
        <f>VLOOKUP(BK3,$D$2:$F$40,3,FALSE)</f>
        <v>1.1507129001021048</v>
      </c>
      <c r="BN3" s="7">
        <f t="shared" si="0"/>
        <v>2.5816515950898986</v>
      </c>
      <c r="BP3" s="186" t="s">
        <v>243</v>
      </c>
      <c r="BQ3">
        <f t="shared" ref="BQ3:BQ36" si="29">VLOOKUP(BP3,$D$2:$G$40,4,FALSE)</f>
        <v>134</v>
      </c>
      <c r="BR3" s="7">
        <f t="shared" ref="BR3:BR36" si="30">(BQ3-$BQ$38)/$BQ$39</f>
        <v>1.2642703968887912</v>
      </c>
      <c r="BS3" s="7">
        <f t="shared" ref="BS3:BS36" si="31">VLOOKUP(BP3,$BK$2:$BN$35,4,FALSE)</f>
        <v>2.5816515950898986</v>
      </c>
      <c r="BU3" s="187" t="s">
        <v>243</v>
      </c>
      <c r="BV3">
        <f t="shared" ref="BV3:BV36" si="32">VLOOKUP(BU3,$D$2:$I$40,6,FALSE)</f>
        <v>119</v>
      </c>
      <c r="BW3" s="14">
        <f t="shared" ref="BW3:BW36" si="33">(BV3-$BV$38)/$BV$39</f>
        <v>1.0783195527143132</v>
      </c>
      <c r="BX3" s="7">
        <f t="shared" ref="BX3:BX10" si="34">BS3</f>
        <v>2.5816515950898986</v>
      </c>
      <c r="BZ3" s="188" t="s">
        <v>9</v>
      </c>
      <c r="CA3">
        <f t="shared" ref="CA3:CA35" si="35">VLOOKUP(BZ3,$D$2:$K$40,8,FALSE)</f>
        <v>98</v>
      </c>
      <c r="CB3" s="7">
        <f t="shared" ref="CB3:CB35" si="36">(CA3-$CA$37)/$CA$38</f>
        <v>0.19995453878466499</v>
      </c>
      <c r="CC3" s="7">
        <f t="shared" ref="CC3:CC35" si="37">VLOOKUP(BZ3,$AN$2:$AO$40,2,FALSE)</f>
        <v>-0.49043451301485325</v>
      </c>
    </row>
    <row r="4" spans="1:81" x14ac:dyDescent="0.2">
      <c r="A4" s="127" t="s">
        <v>3</v>
      </c>
      <c r="B4" s="127" t="s">
        <v>204</v>
      </c>
      <c r="C4" s="127" t="s">
        <v>16</v>
      </c>
      <c r="D4" s="128" t="str">
        <f t="shared" si="1"/>
        <v>Malaysia</v>
      </c>
      <c r="E4" s="147">
        <f>VLOOKUP(D4,DoingBusiness!$A$1:$K$202,3,FALSE)</f>
        <v>113</v>
      </c>
      <c r="F4" s="148">
        <f t="shared" si="2"/>
        <v>0.41154908427181164</v>
      </c>
      <c r="G4" s="147">
        <f>VLOOKUP(D4,DoingBusiness!$A$1:$K$202,5,FALSE)</f>
        <v>60</v>
      </c>
      <c r="H4" s="148">
        <f t="shared" si="3"/>
        <v>-0.55263922921983499</v>
      </c>
      <c r="I4" s="147">
        <f>VLOOKUP(D4,DoingBusiness!$A$1:$K$202,9,FALSE)</f>
        <v>37</v>
      </c>
      <c r="J4" s="148">
        <f t="shared" si="4"/>
        <v>-1.1075036191252781</v>
      </c>
      <c r="K4" s="147">
        <f>VLOOKUP(D4,DoingBusiness!$A$1:$K$202,10,FALSE)</f>
        <v>59</v>
      </c>
      <c r="L4" s="148">
        <f t="shared" si="5"/>
        <v>-0.57390538877066277</v>
      </c>
      <c r="M4" s="149">
        <f t="shared" si="6"/>
        <v>-0.63592914721862914</v>
      </c>
      <c r="N4" s="149">
        <f t="shared" si="7"/>
        <v>-1.0223838455486969</v>
      </c>
      <c r="O4" s="130"/>
      <c r="P4" s="118" t="s">
        <v>3</v>
      </c>
      <c r="Q4" s="146">
        <f>VLOOKUP(P4,ONDD!$A$5:$H$246,3,FALSE)</f>
        <v>2</v>
      </c>
      <c r="R4" s="149">
        <f t="shared" si="8"/>
        <v>-1.4786442064243945</v>
      </c>
      <c r="S4" s="146">
        <f>VLOOKUP(P4,ONDD!$A$5:$H$246,7,FALSE)</f>
        <v>2</v>
      </c>
      <c r="T4" s="149">
        <f t="shared" si="9"/>
        <v>-0.74036072058666413</v>
      </c>
      <c r="U4" s="146">
        <f>VLOOKUP(P4,ONDD!$A$5:$H$246,8,FALSE)</f>
        <v>2</v>
      </c>
      <c r="V4" s="149">
        <f t="shared" si="10"/>
        <v>-1.4528222781994979</v>
      </c>
      <c r="W4" s="149">
        <f t="shared" si="11"/>
        <v>-0.83476837699924245</v>
      </c>
      <c r="X4" s="149">
        <f t="shared" si="12"/>
        <v>-0.79962519111913566</v>
      </c>
      <c r="Y4" s="130"/>
      <c r="Z4" s="146" t="str">
        <f t="shared" si="13"/>
        <v>Malaysia</v>
      </c>
      <c r="AA4" s="146">
        <f>VLOOKUP(Z4,Coface!$A$2:$G$161,7,FALSE)</f>
        <v>3</v>
      </c>
      <c r="AB4" s="165">
        <f t="shared" si="14"/>
        <v>-1.151484700116101</v>
      </c>
      <c r="AC4" s="163">
        <f>VLOOKUP(Z4,Coface!$A$2:$G$161,4,FALSE)</f>
        <v>2</v>
      </c>
      <c r="AD4" s="165">
        <f t="shared" si="15"/>
        <v>-1.3675057986577812</v>
      </c>
      <c r="AE4" s="165">
        <f t="shared" si="16"/>
        <v>2.2999999999999998</v>
      </c>
      <c r="AF4" s="165">
        <f t="shared" si="17"/>
        <v>-1.3560658513365016</v>
      </c>
      <c r="AG4" s="118"/>
      <c r="AH4" s="118"/>
      <c r="AI4" s="163" t="str">
        <f t="shared" si="18"/>
        <v>Malaysia</v>
      </c>
      <c r="AJ4" s="118">
        <v>31</v>
      </c>
      <c r="AK4" s="118">
        <v>31</v>
      </c>
      <c r="AL4" s="118">
        <v>32</v>
      </c>
      <c r="AM4" s="164">
        <f t="shared" si="19"/>
        <v>0.25142880317838073</v>
      </c>
      <c r="AN4" s="163" t="str">
        <f t="shared" si="20"/>
        <v>Malaysia</v>
      </c>
      <c r="AO4" s="165">
        <f>VLOOKUP(AN4,'Stripped Spread'!$C$18:$E$60,3,FALSE)</f>
        <v>-0.61809672118954739</v>
      </c>
      <c r="AP4" s="118"/>
      <c r="AQ4" s="164">
        <f>((M$48*N4^2)+M$49*N4+M$50)+((W$48*X4^2)+W$49*X4+W$50)+((AE$48*AF4^2)+AE$49*AF4+AE$50)+((AL$48*AM4^2)+AL$49*AM4+AL$50)</f>
        <v>-0.98105313308093411</v>
      </c>
      <c r="AR4" s="165">
        <f t="shared" si="22"/>
        <v>-0.79840411771343123</v>
      </c>
      <c r="AS4" s="165">
        <f t="shared" si="23"/>
        <v>-0.61809672118954739</v>
      </c>
      <c r="AT4" s="118"/>
      <c r="AU4" s="118"/>
      <c r="AV4" s="130"/>
      <c r="AW4" s="130"/>
      <c r="BC4" s="167" t="s">
        <v>3</v>
      </c>
      <c r="BD4" s="171">
        <f t="shared" si="24"/>
        <v>-0.79840411771343123</v>
      </c>
      <c r="BE4" s="171">
        <f t="shared" si="25"/>
        <v>-0.61809672118954739</v>
      </c>
      <c r="BF4" s="182"/>
      <c r="BG4" s="167" t="s">
        <v>3</v>
      </c>
      <c r="BH4" s="7">
        <f t="shared" si="26"/>
        <v>-1.3560658513365016</v>
      </c>
      <c r="BI4" s="171">
        <f t="shared" si="27"/>
        <v>-0.61809672118954739</v>
      </c>
      <c r="BJ4" s="182"/>
      <c r="BK4" s="183" t="s">
        <v>9</v>
      </c>
      <c r="BL4" s="183">
        <f t="shared" si="28"/>
        <v>128</v>
      </c>
      <c r="BM4" s="7">
        <f t="shared" ref="BM4:BM35" si="38">VLOOKUP(BK4,$D$2:$F$40,3,FALSE)</f>
        <v>0.72833357677050881</v>
      </c>
      <c r="BN4" s="7">
        <f t="shared" si="0"/>
        <v>-0.49043451301485325</v>
      </c>
      <c r="BP4" s="186" t="s">
        <v>9</v>
      </c>
      <c r="BQ4">
        <f t="shared" si="29"/>
        <v>122</v>
      </c>
      <c r="BR4" s="7">
        <f t="shared" si="30"/>
        <v>0.96478163958856999</v>
      </c>
      <c r="BS4" s="7">
        <f t="shared" si="31"/>
        <v>-0.49043451301485325</v>
      </c>
      <c r="BU4" s="187" t="s">
        <v>9</v>
      </c>
      <c r="BV4">
        <f t="shared" si="32"/>
        <v>114</v>
      </c>
      <c r="BW4" s="14">
        <f t="shared" si="33"/>
        <v>0.94644958644946009</v>
      </c>
      <c r="BX4" s="7">
        <f t="shared" si="34"/>
        <v>-0.49043451301485325</v>
      </c>
      <c r="BZ4" s="188" t="s">
        <v>246</v>
      </c>
      <c r="CA4">
        <f t="shared" si="35"/>
        <v>87</v>
      </c>
      <c r="CB4" s="7">
        <f t="shared" si="36"/>
        <v>-3.521212003755092E-2</v>
      </c>
      <c r="CC4" s="7">
        <f t="shared" si="37"/>
        <v>-0.16621307800406349</v>
      </c>
    </row>
    <row r="5" spans="1:81" ht="25.5" x14ac:dyDescent="0.2">
      <c r="A5" s="127" t="s">
        <v>4</v>
      </c>
      <c r="B5" s="127" t="s">
        <v>206</v>
      </c>
      <c r="C5" s="127" t="s">
        <v>16</v>
      </c>
      <c r="D5" s="128" t="str">
        <f t="shared" si="1"/>
        <v>Philippines</v>
      </c>
      <c r="E5" s="147">
        <f>VLOOKUP(D5,DoingBusiness!$A$1:$K$202,3,FALSE)</f>
        <v>156</v>
      </c>
      <c r="F5" s="148">
        <f t="shared" si="2"/>
        <v>1.3196646294347434</v>
      </c>
      <c r="G5" s="147">
        <f>VLOOKUP(D5,DoingBusiness!$A$1:$K$202,5,FALSE)</f>
        <v>102</v>
      </c>
      <c r="H5" s="148">
        <f t="shared" si="3"/>
        <v>0.44430246402035184</v>
      </c>
      <c r="I5" s="147">
        <f>VLOOKUP(D5,DoingBusiness!$A$1:$K$202,9,FALSE)</f>
        <v>61</v>
      </c>
      <c r="J5" s="148">
        <f t="shared" si="4"/>
        <v>-0.57915326871688855</v>
      </c>
      <c r="K5" s="147">
        <f>VLOOKUP(D5,DoingBusiness!$A$1:$K$202,10,FALSE)</f>
        <v>118</v>
      </c>
      <c r="L5" s="148">
        <f t="shared" si="5"/>
        <v>0.72585474859281629</v>
      </c>
      <c r="M5" s="149">
        <f t="shared" si="6"/>
        <v>0.84026490930819286</v>
      </c>
      <c r="N5" s="149">
        <f t="shared" si="7"/>
        <v>0.23016593972765076</v>
      </c>
      <c r="O5" s="130"/>
      <c r="P5" s="118" t="s">
        <v>4</v>
      </c>
      <c r="Q5" s="146">
        <f>VLOOKUP(P5,ONDD!$A$5:$H$246,3,FALSE)</f>
        <v>4</v>
      </c>
      <c r="R5" s="149">
        <f t="shared" si="8"/>
        <v>-0.30176412376008049</v>
      </c>
      <c r="S5" s="146">
        <f>VLOOKUP(P5,ONDD!$A$5:$H$246,7,FALSE)</f>
        <v>3</v>
      </c>
      <c r="T5" s="149">
        <f t="shared" si="9"/>
        <v>-0.15109402460952329</v>
      </c>
      <c r="U5" s="146">
        <f>VLOOKUP(P5,ONDD!$A$5:$H$246,8,FALSE)</f>
        <v>4</v>
      </c>
      <c r="V5" s="149">
        <f t="shared" si="10"/>
        <v>-7.0869379424365511E-2</v>
      </c>
      <c r="W5" s="149">
        <f t="shared" si="11"/>
        <v>-0.39103607025023945</v>
      </c>
      <c r="X5" s="149">
        <f t="shared" si="12"/>
        <v>-0.59548501459062064</v>
      </c>
      <c r="Y5" s="130"/>
      <c r="Z5" s="146" t="str">
        <f t="shared" si="13"/>
        <v>Philippines</v>
      </c>
      <c r="AA5" s="146">
        <f>VLOOKUP(Z5,Coface!$A$2:$G$161,7,FALSE)</f>
        <v>8</v>
      </c>
      <c r="AB5" s="165">
        <f t="shared" si="14"/>
        <v>0.15397760524808318</v>
      </c>
      <c r="AC5" s="163">
        <f>VLOOKUP(Z5,Coface!$A$2:$G$161,4,FALSE)</f>
        <v>8</v>
      </c>
      <c r="AD5" s="165">
        <f t="shared" si="15"/>
        <v>4.8407284908240082E-2</v>
      </c>
      <c r="AE5" s="165">
        <f t="shared" si="16"/>
        <v>8</v>
      </c>
      <c r="AF5" s="165">
        <f t="shared" si="17"/>
        <v>8.0795153201650399E-2</v>
      </c>
      <c r="AG5" s="118"/>
      <c r="AH5" s="118"/>
      <c r="AI5" s="163" t="str">
        <f t="shared" si="18"/>
        <v>Philippines</v>
      </c>
      <c r="AJ5" s="118">
        <v>35</v>
      </c>
      <c r="AK5" s="118">
        <v>35</v>
      </c>
      <c r="AL5" s="118">
        <v>32</v>
      </c>
      <c r="AM5" s="164">
        <f t="shared" si="19"/>
        <v>0.25142880317838073</v>
      </c>
      <c r="AN5" s="163" t="str">
        <f t="shared" si="20"/>
        <v>Philippines</v>
      </c>
      <c r="AO5" s="165">
        <f>VLOOKUP(AN5,'Stripped Spread'!$C$18:$E$60,3,FALSE)</f>
        <v>-0.46284842419996541</v>
      </c>
      <c r="AP5" s="118"/>
      <c r="AQ5" s="164">
        <f t="shared" si="21"/>
        <v>0.25929215761190327</v>
      </c>
      <c r="AR5" s="165">
        <f t="shared" si="22"/>
        <v>-0.33904931120500675</v>
      </c>
      <c r="AS5" s="165">
        <f t="shared" si="23"/>
        <v>-0.46284842419996541</v>
      </c>
      <c r="AT5" s="118"/>
      <c r="AU5" s="118"/>
      <c r="AV5" s="130"/>
      <c r="AW5" s="130"/>
      <c r="BC5" s="167" t="s">
        <v>4</v>
      </c>
      <c r="BD5" s="171">
        <f t="shared" si="24"/>
        <v>-0.33904931120500675</v>
      </c>
      <c r="BE5" s="171">
        <f t="shared" si="25"/>
        <v>-0.46284842419996541</v>
      </c>
      <c r="BF5" s="182"/>
      <c r="BG5" s="167" t="s">
        <v>4</v>
      </c>
      <c r="BH5" s="7">
        <f t="shared" si="26"/>
        <v>8.0795153201650399E-2</v>
      </c>
      <c r="BI5" s="171">
        <f t="shared" si="27"/>
        <v>-0.46284842419996541</v>
      </c>
      <c r="BJ5" s="182"/>
      <c r="BK5" s="183" t="s">
        <v>246</v>
      </c>
      <c r="BL5" s="183">
        <f t="shared" si="28"/>
        <v>43</v>
      </c>
      <c r="BM5" s="7">
        <f t="shared" si="38"/>
        <v>-1.0667785473887748</v>
      </c>
      <c r="BN5" s="7">
        <f t="shared" si="0"/>
        <v>-0.16621307800406349</v>
      </c>
      <c r="BP5" s="186" t="s">
        <v>246</v>
      </c>
      <c r="BQ5">
        <f t="shared" si="29"/>
        <v>62</v>
      </c>
      <c r="BR5" s="7">
        <f t="shared" si="30"/>
        <v>-0.53266214691253644</v>
      </c>
      <c r="BS5" s="7">
        <f t="shared" si="31"/>
        <v>-0.16621307800406349</v>
      </c>
      <c r="BU5" s="187" t="s">
        <v>246</v>
      </c>
      <c r="BV5">
        <f t="shared" si="32"/>
        <v>108</v>
      </c>
      <c r="BW5" s="14">
        <f t="shared" si="33"/>
        <v>0.78820562693163632</v>
      </c>
      <c r="BX5" s="7">
        <f t="shared" si="34"/>
        <v>-0.16621307800406349</v>
      </c>
      <c r="BZ5" s="188" t="s">
        <v>36</v>
      </c>
      <c r="CA5">
        <f t="shared" si="35"/>
        <v>68</v>
      </c>
      <c r="CB5" s="7">
        <f t="shared" si="36"/>
        <v>-0.44140907618501474</v>
      </c>
      <c r="CC5" s="7">
        <f t="shared" si="37"/>
        <v>-0.6767951584626779</v>
      </c>
    </row>
    <row r="6" spans="1:81" x14ac:dyDescent="0.2">
      <c r="A6" s="127" t="s">
        <v>77</v>
      </c>
      <c r="B6" s="127" t="s">
        <v>207</v>
      </c>
      <c r="C6" s="127" t="s">
        <v>16</v>
      </c>
      <c r="D6" s="128" t="str">
        <f t="shared" si="1"/>
        <v>Sri Lanka</v>
      </c>
      <c r="E6" s="147">
        <f>VLOOKUP(D6,DoingBusiness!$A$1:$K$202,3,FALSE)</f>
        <v>34</v>
      </c>
      <c r="F6" s="148">
        <f t="shared" si="2"/>
        <v>-1.2568492428879932</v>
      </c>
      <c r="G6" s="147">
        <f>VLOOKUP(D6,DoingBusiness!$A$1:$K$202,5,FALSE)</f>
        <v>155</v>
      </c>
      <c r="H6" s="148">
        <f t="shared" si="3"/>
        <v>1.7023479340615402</v>
      </c>
      <c r="I6" s="147">
        <f>VLOOKUP(D6,DoingBusiness!$A$1:$K$202,9,FALSE)</f>
        <v>72</v>
      </c>
      <c r="J6" s="148">
        <f t="shared" si="4"/>
        <v>-0.33699269144637667</v>
      </c>
      <c r="K6" s="147">
        <f>VLOOKUP(D6,DoingBusiness!$A$1:$K$202,10,FALSE)</f>
        <v>137</v>
      </c>
      <c r="L6" s="148">
        <f t="shared" si="5"/>
        <v>1.1444215724895299</v>
      </c>
      <c r="M6" s="149">
        <f t="shared" si="6"/>
        <v>1.2889953057431629</v>
      </c>
      <c r="N6" s="149">
        <f t="shared" si="7"/>
        <v>0.61091341612922623</v>
      </c>
      <c r="O6" s="130"/>
      <c r="P6" s="118" t="s">
        <v>77</v>
      </c>
      <c r="Q6" s="146">
        <f>VLOOKUP(P6,ONDD!$A$5:$H$246,3,FALSE)</f>
        <v>6</v>
      </c>
      <c r="R6" s="149">
        <f t="shared" si="8"/>
        <v>0.87511595890423355</v>
      </c>
      <c r="S6" s="146">
        <f>VLOOKUP(P6,ONDD!$A$5:$H$246,7,FALSE)</f>
        <v>3</v>
      </c>
      <c r="T6" s="149">
        <f t="shared" si="9"/>
        <v>-0.15109402460952329</v>
      </c>
      <c r="U6" s="146">
        <f>VLOOKUP(P6,ONDD!$A$5:$H$246,8,FALSE)</f>
        <v>5</v>
      </c>
      <c r="V6" s="149">
        <f t="shared" si="10"/>
        <v>0.62010706996320064</v>
      </c>
      <c r="W6" s="149">
        <f t="shared" si="11"/>
        <v>1.3765886997201502</v>
      </c>
      <c r="X6" s="149">
        <f t="shared" si="12"/>
        <v>0.21771525748702622</v>
      </c>
      <c r="Y6" s="130"/>
      <c r="Z6" s="146" t="str">
        <f t="shared" si="13"/>
        <v>Sri Lanka</v>
      </c>
      <c r="AA6" s="146">
        <f>VLOOKUP(Z6,Coface!$A$2:$G$161,7,FALSE)</f>
        <v>8</v>
      </c>
      <c r="AB6" s="165">
        <f t="shared" si="14"/>
        <v>0.15397760524808318</v>
      </c>
      <c r="AC6" s="163">
        <f>VLOOKUP(Z6,Coface!$A$2:$G$161,4,FALSE)</f>
        <v>12</v>
      </c>
      <c r="AD6" s="165">
        <f t="shared" si="15"/>
        <v>0.99234934061892088</v>
      </c>
      <c r="AE6" s="165">
        <f>AC6*0.7+AA6*0.3</f>
        <v>10.799999999999999</v>
      </c>
      <c r="AF6" s="165">
        <f t="shared" si="17"/>
        <v>0.78662161157126864</v>
      </c>
      <c r="AG6" s="118"/>
      <c r="AH6" s="118"/>
      <c r="AI6" s="163" t="str">
        <f t="shared" si="18"/>
        <v>Sri Lanka</v>
      </c>
      <c r="AJ6" s="118">
        <v>22</v>
      </c>
      <c r="AK6" s="118">
        <v>20</v>
      </c>
      <c r="AL6" s="118">
        <v>26</v>
      </c>
      <c r="AM6" s="164">
        <f t="shared" si="19"/>
        <v>-0.61378207834722309</v>
      </c>
      <c r="AN6" s="163" t="str">
        <f t="shared" si="20"/>
        <v>Sri Lanka</v>
      </c>
      <c r="AO6" s="165">
        <f>VLOOKUP(AN6,'Stripped Spread'!$C$18:$E$60,3,FALSE)</f>
        <v>0.16739140015649304</v>
      </c>
      <c r="AP6" s="118"/>
      <c r="AQ6" s="164">
        <f t="shared" si="21"/>
        <v>2.3804628391676967</v>
      </c>
      <c r="AR6" s="165">
        <f t="shared" si="22"/>
        <v>0.44651415673313205</v>
      </c>
      <c r="AS6" s="165">
        <f t="shared" si="23"/>
        <v>0.16739140015649304</v>
      </c>
      <c r="AT6" s="118"/>
      <c r="AU6" s="118"/>
      <c r="AV6" s="118"/>
      <c r="AW6" s="118"/>
      <c r="BC6" s="167" t="s">
        <v>77</v>
      </c>
      <c r="BD6" s="171">
        <f t="shared" si="24"/>
        <v>0.44651415673313205</v>
      </c>
      <c r="BE6" s="171">
        <f t="shared" si="25"/>
        <v>0.16739140015649304</v>
      </c>
      <c r="BF6" s="182"/>
      <c r="BG6" s="167" t="s">
        <v>77</v>
      </c>
      <c r="BH6" s="7">
        <f t="shared" si="26"/>
        <v>0.78662161157126864</v>
      </c>
      <c r="BI6" s="171">
        <f t="shared" si="27"/>
        <v>0.16739140015649304</v>
      </c>
      <c r="BJ6" s="182"/>
      <c r="BK6" s="183" t="s">
        <v>36</v>
      </c>
      <c r="BL6" s="183">
        <f t="shared" si="28"/>
        <v>62</v>
      </c>
      <c r="BM6" s="7">
        <f t="shared" si="38"/>
        <v>-0.66551819022375847</v>
      </c>
      <c r="BN6" s="7">
        <f t="shared" si="0"/>
        <v>-0.6767951584626779</v>
      </c>
      <c r="BP6" s="186" t="s">
        <v>36</v>
      </c>
      <c r="BQ6">
        <f t="shared" si="29"/>
        <v>45</v>
      </c>
      <c r="BR6" s="7">
        <f t="shared" si="30"/>
        <v>-0.95693788642118316</v>
      </c>
      <c r="BS6" s="7">
        <f t="shared" si="31"/>
        <v>-0.6767951584626779</v>
      </c>
      <c r="BU6" s="187" t="s">
        <v>36</v>
      </c>
      <c r="BV6">
        <f t="shared" si="32"/>
        <v>68</v>
      </c>
      <c r="BW6" s="14">
        <f t="shared" si="33"/>
        <v>-0.26675410318718856</v>
      </c>
      <c r="BX6" s="7">
        <f t="shared" si="34"/>
        <v>-0.6767951584626779</v>
      </c>
      <c r="BZ6" s="188" t="s">
        <v>0</v>
      </c>
      <c r="CA6">
        <f t="shared" si="35"/>
        <v>15</v>
      </c>
      <c r="CB6" s="7">
        <f t="shared" si="36"/>
        <v>-1.5744847959647823</v>
      </c>
      <c r="CC6" s="7">
        <f t="shared" si="37"/>
        <v>-0.36041566053529961</v>
      </c>
    </row>
    <row r="7" spans="1:81" ht="15" x14ac:dyDescent="0.25">
      <c r="A7" s="127" t="s">
        <v>64</v>
      </c>
      <c r="B7" s="127" t="s">
        <v>206</v>
      </c>
      <c r="C7" s="127" t="s">
        <v>16</v>
      </c>
      <c r="D7" s="128" t="str">
        <f t="shared" si="1"/>
        <v>Vietnam</v>
      </c>
      <c r="E7" s="147">
        <f>VLOOKUP(D7,DoingBusiness!$A$1:$K$202,3,FALSE)</f>
        <v>100</v>
      </c>
      <c r="F7" s="148">
        <f t="shared" si="2"/>
        <v>0.13700252410627417</v>
      </c>
      <c r="G7" s="147">
        <f>VLOOKUP(D7,DoingBusiness!$A$1:$K$202,5,FALSE)</f>
        <v>43</v>
      </c>
      <c r="H7" s="148">
        <f t="shared" si="3"/>
        <v>-0.95616324791229168</v>
      </c>
      <c r="I7" s="147">
        <f>VLOOKUP(D7,DoingBusiness!$A$1:$K$202,9,FALSE)</f>
        <v>63</v>
      </c>
      <c r="J7" s="148">
        <f t="shared" si="4"/>
        <v>-0.53512407284952279</v>
      </c>
      <c r="K7" s="147">
        <f>VLOOKUP(D7,DoingBusiness!$A$1:$K$202,10,FALSE)</f>
        <v>31</v>
      </c>
      <c r="L7" s="148">
        <f t="shared" si="5"/>
        <v>-1.1907407081973986</v>
      </c>
      <c r="M7" s="149">
        <f t="shared" si="6"/>
        <v>-0.36461358920565295</v>
      </c>
      <c r="N7" s="149">
        <f t="shared" si="7"/>
        <v>-0.7921727547854337</v>
      </c>
      <c r="O7" s="130"/>
      <c r="P7" s="118" t="s">
        <v>457</v>
      </c>
      <c r="Q7" s="146">
        <f>VLOOKUP(P7,ONDD!$A$5:$H$246,3,FALSE)</f>
        <v>5</v>
      </c>
      <c r="R7" s="149">
        <f t="shared" si="8"/>
        <v>0.28667591757207656</v>
      </c>
      <c r="S7" s="146">
        <f>VLOOKUP(P7,ONDD!$A$5:$H$246,7,FALSE)</f>
        <v>3</v>
      </c>
      <c r="T7" s="149">
        <f t="shared" si="9"/>
        <v>-0.15109402460952329</v>
      </c>
      <c r="U7" s="146">
        <f>VLOOKUP(P7,ONDD!$A$5:$H$246,8,FALSE)</f>
        <v>4</v>
      </c>
      <c r="V7" s="149">
        <f t="shared" si="10"/>
        <v>-7.0869379424365511E-2</v>
      </c>
      <c r="W7" s="149">
        <f t="shared" si="11"/>
        <v>4.8055334671769062E-2</v>
      </c>
      <c r="X7" s="149">
        <f t="shared" si="12"/>
        <v>-0.39347989675358391</v>
      </c>
      <c r="Y7" s="130"/>
      <c r="Z7" s="161" t="s">
        <v>457</v>
      </c>
      <c r="AA7" s="146">
        <f>VLOOKUP(Z7,Coface!$A$2:$G$161,7,FALSE)</f>
        <v>12</v>
      </c>
      <c r="AB7" s="165">
        <f t="shared" si="14"/>
        <v>1.1983474495394306</v>
      </c>
      <c r="AC7" s="163">
        <f>VLOOKUP(Z7,Coface!$A$2:$G$161,4,FALSE)</f>
        <v>12</v>
      </c>
      <c r="AD7" s="165">
        <f>(AC7-AC$45)/AC$46</f>
        <v>0.99234934061892088</v>
      </c>
      <c r="AE7" s="165">
        <f t="shared" si="16"/>
        <v>11.999999999999998</v>
      </c>
      <c r="AF7" s="165">
        <f t="shared" si="17"/>
        <v>1.0891186651582478</v>
      </c>
      <c r="AG7" s="118"/>
      <c r="AH7" s="118"/>
      <c r="AI7" s="163" t="str">
        <f t="shared" si="18"/>
        <v>Vietnam</v>
      </c>
      <c r="AJ7" s="118">
        <v>29</v>
      </c>
      <c r="AK7" s="118">
        <v>29</v>
      </c>
      <c r="AL7" s="118">
        <v>30</v>
      </c>
      <c r="AM7" s="164">
        <f t="shared" si="19"/>
        <v>-3.6974823996820547E-2</v>
      </c>
      <c r="AN7" s="163" t="s">
        <v>64</v>
      </c>
      <c r="AO7" s="165">
        <f>VLOOKUP(AN7,'Stripped Spread'!$C$18:$E$60,3,FALSE)</f>
        <v>0.45654469091159733</v>
      </c>
      <c r="AP7" s="118"/>
      <c r="AQ7" s="164">
        <f t="shared" si="21"/>
        <v>1.0199311111404934</v>
      </c>
      <c r="AR7" s="165">
        <f t="shared" si="22"/>
        <v>-5.7351011592223271E-2</v>
      </c>
      <c r="AS7" s="165">
        <f t="shared" si="23"/>
        <v>0.45654469091159733</v>
      </c>
      <c r="AT7" s="118"/>
      <c r="AU7" s="118"/>
      <c r="AV7" s="118"/>
      <c r="AW7" s="118"/>
      <c r="BC7" s="167" t="s">
        <v>64</v>
      </c>
      <c r="BD7" s="171">
        <f t="shared" si="24"/>
        <v>-5.7351011592223271E-2</v>
      </c>
      <c r="BE7" s="171">
        <f t="shared" si="25"/>
        <v>0.45654469091159733</v>
      </c>
      <c r="BF7" s="182"/>
      <c r="BG7" s="174" t="s">
        <v>457</v>
      </c>
      <c r="BH7" s="7">
        <f t="shared" si="26"/>
        <v>1.0891186651582478</v>
      </c>
      <c r="BI7" s="171">
        <f t="shared" si="27"/>
        <v>0.45654469091159733</v>
      </c>
      <c r="BJ7" s="182"/>
      <c r="BK7" s="183" t="s">
        <v>37</v>
      </c>
      <c r="BL7" s="183">
        <f t="shared" si="28"/>
        <v>73</v>
      </c>
      <c r="BM7" s="7">
        <f t="shared" si="38"/>
        <v>-0.43320956239138064</v>
      </c>
      <c r="BN7" s="7">
        <f t="shared" si="0"/>
        <v>-0.58302567466255073</v>
      </c>
      <c r="BP7" s="186" t="s">
        <v>0</v>
      </c>
      <c r="BQ7">
        <f t="shared" si="29"/>
        <v>38</v>
      </c>
      <c r="BR7" s="7">
        <f t="shared" si="30"/>
        <v>-1.1316396615129789</v>
      </c>
      <c r="BS7" s="7">
        <f>BI2</f>
        <v>-0.36041566053529961</v>
      </c>
      <c r="BU7" s="187" t="s">
        <v>0</v>
      </c>
      <c r="BV7">
        <f t="shared" si="32"/>
        <v>50</v>
      </c>
      <c r="BW7" s="14">
        <f t="shared" si="33"/>
        <v>-0.74148598174065983</v>
      </c>
      <c r="BX7" s="7">
        <f t="shared" si="34"/>
        <v>-0.36041566053529961</v>
      </c>
      <c r="BZ7" s="188" t="s">
        <v>37</v>
      </c>
      <c r="CA7">
        <f t="shared" si="35"/>
        <v>150</v>
      </c>
      <c r="CB7" s="7">
        <f t="shared" si="36"/>
        <v>1.3116514713987766</v>
      </c>
      <c r="CC7" s="7">
        <f t="shared" si="37"/>
        <v>-0.58302567466255073</v>
      </c>
    </row>
    <row r="8" spans="1:81" x14ac:dyDescent="0.2">
      <c r="A8" s="127" t="s">
        <v>246</v>
      </c>
      <c r="B8" s="127" t="s">
        <v>205</v>
      </c>
      <c r="C8" s="127" t="s">
        <v>124</v>
      </c>
      <c r="D8" s="128" t="str">
        <f t="shared" si="1"/>
        <v>Bulgaria</v>
      </c>
      <c r="E8" s="147">
        <f>VLOOKUP(D8,DoingBusiness!$A$1:$K$202,3,FALSE)</f>
        <v>43</v>
      </c>
      <c r="F8" s="148">
        <f t="shared" si="2"/>
        <v>-1.0667785473887748</v>
      </c>
      <c r="G8" s="147">
        <f>VLOOKUP(D8,DoingBusiness!$A$1:$K$202,5,FALSE)</f>
        <v>62</v>
      </c>
      <c r="H8" s="148">
        <f t="shared" si="3"/>
        <v>-0.50516581525601667</v>
      </c>
      <c r="I8" s="147">
        <f>VLOOKUP(D8,DoingBusiness!$A$1:$K$202,9,FALSE)</f>
        <v>108</v>
      </c>
      <c r="J8" s="148">
        <f t="shared" si="4"/>
        <v>0.45553283416620771</v>
      </c>
      <c r="K8" s="147">
        <f>VLOOKUP(D8,DoingBusiness!$A$1:$K$202,10,FALSE)</f>
        <v>87</v>
      </c>
      <c r="L8" s="148">
        <f t="shared" si="5"/>
        <v>4.2929930656073034E-2</v>
      </c>
      <c r="M8" s="149">
        <f t="shared" si="6"/>
        <v>-0.50146676472088858</v>
      </c>
      <c r="N8" s="149">
        <f t="shared" si="7"/>
        <v>-0.9082925933988607</v>
      </c>
      <c r="O8" s="130"/>
      <c r="P8" s="118" t="s">
        <v>246</v>
      </c>
      <c r="Q8" s="146">
        <f>VLOOKUP(P8,ONDD!$A$5:$H$246,3,FALSE)</f>
        <v>4</v>
      </c>
      <c r="R8" s="149">
        <f t="shared" si="8"/>
        <v>-0.30176412376008049</v>
      </c>
      <c r="S8" s="146">
        <f>VLOOKUP(P8,ONDD!$A$5:$H$246,7,FALSE)</f>
        <v>1</v>
      </c>
      <c r="T8" s="149">
        <f t="shared" si="9"/>
        <v>-1.3296274165638051</v>
      </c>
      <c r="U8" s="146">
        <f>VLOOKUP(P8,ONDD!$A$5:$H$246,8,FALSE)</f>
        <v>3</v>
      </c>
      <c r="V8" s="149">
        <f t="shared" si="10"/>
        <v>-0.76184582881193175</v>
      </c>
      <c r="W8" s="149">
        <f t="shared" si="11"/>
        <v>-0.77602285269369908</v>
      </c>
      <c r="X8" s="149">
        <f t="shared" si="12"/>
        <v>-0.77259916321989308</v>
      </c>
      <c r="Y8" s="130"/>
      <c r="Z8" s="146" t="str">
        <f t="shared" si="13"/>
        <v>Bulgaria</v>
      </c>
      <c r="AA8" s="146">
        <f>VLOOKUP(Z8,Coface!$A$2:$G$161,7,FALSE)</f>
        <v>4</v>
      </c>
      <c r="AB8" s="165">
        <f t="shared" si="14"/>
        <v>-0.89039223904326426</v>
      </c>
      <c r="AC8" s="163">
        <f>VLOOKUP(Z8,Coface!$A$2:$G$161,4,FALSE)</f>
        <v>8</v>
      </c>
      <c r="AD8" s="165">
        <f t="shared" si="15"/>
        <v>4.8407284908240082E-2</v>
      </c>
      <c r="AE8" s="165">
        <f t="shared" si="16"/>
        <v>6.8</v>
      </c>
      <c r="AF8" s="165">
        <f t="shared" si="17"/>
        <v>-0.221701900385329</v>
      </c>
      <c r="AG8" s="118"/>
      <c r="AH8" s="118"/>
      <c r="AI8" s="163" t="str">
        <f t="shared" si="18"/>
        <v>Bulgaria</v>
      </c>
      <c r="AJ8" s="118">
        <v>34</v>
      </c>
      <c r="AK8" s="118">
        <v>33</v>
      </c>
      <c r="AL8" s="118">
        <v>37</v>
      </c>
      <c r="AM8" s="164">
        <f t="shared" si="19"/>
        <v>0.97243787111638402</v>
      </c>
      <c r="AN8" s="163" t="str">
        <f t="shared" si="20"/>
        <v>Bulgaria</v>
      </c>
      <c r="AO8" s="165">
        <f>VLOOKUP(AN8,'Stripped Spread'!$C$18:$E$60,3,FALSE)</f>
        <v>-0.16621307800406349</v>
      </c>
      <c r="AP8" s="118"/>
      <c r="AQ8" s="164">
        <f t="shared" si="21"/>
        <v>-1.0623999233286154</v>
      </c>
      <c r="AR8" s="165">
        <f t="shared" si="22"/>
        <v>-0.82853043767827927</v>
      </c>
      <c r="AS8" s="165">
        <f t="shared" si="23"/>
        <v>-0.16621307800406349</v>
      </c>
      <c r="AT8" s="118"/>
      <c r="AU8" s="118"/>
      <c r="AV8" s="130"/>
      <c r="AW8" s="130"/>
      <c r="AY8" s="7"/>
      <c r="BC8" s="167" t="s">
        <v>246</v>
      </c>
      <c r="BD8" s="171">
        <f t="shared" si="24"/>
        <v>-0.82853043767827927</v>
      </c>
      <c r="BE8" s="171">
        <f t="shared" si="25"/>
        <v>-0.16621307800406349</v>
      </c>
      <c r="BF8" s="182"/>
      <c r="BG8" s="167" t="s">
        <v>246</v>
      </c>
      <c r="BH8" s="7">
        <f t="shared" si="26"/>
        <v>-0.221701900385329</v>
      </c>
      <c r="BI8" s="171">
        <f t="shared" si="27"/>
        <v>-0.16621307800406349</v>
      </c>
      <c r="BJ8" s="182"/>
      <c r="BK8" s="183" t="s">
        <v>251</v>
      </c>
      <c r="BL8" s="183">
        <f t="shared" si="28"/>
        <v>56</v>
      </c>
      <c r="BM8" s="7">
        <f t="shared" si="38"/>
        <v>-0.79223198722323729</v>
      </c>
      <c r="BN8" s="7">
        <f t="shared" si="0"/>
        <v>0.52258007005995533</v>
      </c>
      <c r="BP8" s="186" t="s">
        <v>37</v>
      </c>
      <c r="BQ8">
        <f t="shared" si="29"/>
        <v>55</v>
      </c>
      <c r="BR8" s="7">
        <f t="shared" si="30"/>
        <v>-0.70736392200433218</v>
      </c>
      <c r="BS8" s="7">
        <f t="shared" si="31"/>
        <v>-0.58302567466255073</v>
      </c>
      <c r="BU8" s="187" t="s">
        <v>37</v>
      </c>
      <c r="BV8">
        <f t="shared" si="32"/>
        <v>99</v>
      </c>
      <c r="BW8" s="14">
        <f t="shared" si="33"/>
        <v>0.55083968765490077</v>
      </c>
      <c r="BX8" s="7">
        <f t="shared" si="34"/>
        <v>-0.58302567466255073</v>
      </c>
      <c r="BZ8" s="188" t="s">
        <v>251</v>
      </c>
      <c r="CA8">
        <f t="shared" si="35"/>
        <v>47</v>
      </c>
      <c r="CB8" s="7">
        <f t="shared" si="36"/>
        <v>-0.89036360666379055</v>
      </c>
      <c r="CC8" s="7">
        <f t="shared" si="37"/>
        <v>0.52258007005995533</v>
      </c>
    </row>
    <row r="9" spans="1:81" ht="38.25" x14ac:dyDescent="0.2">
      <c r="A9" s="127" t="s">
        <v>251</v>
      </c>
      <c r="B9" s="127" t="s">
        <v>205</v>
      </c>
      <c r="C9" s="127" t="s">
        <v>124</v>
      </c>
      <c r="D9" s="128" t="str">
        <f t="shared" si="1"/>
        <v>Croatia</v>
      </c>
      <c r="E9" s="147">
        <f>VLOOKUP(D9,DoingBusiness!$A$1:$K$202,3,FALSE)</f>
        <v>56</v>
      </c>
      <c r="F9" s="148">
        <f t="shared" si="2"/>
        <v>-0.79223198722323729</v>
      </c>
      <c r="G9" s="147">
        <f>VLOOKUP(D9,DoingBusiness!$A$1:$K$202,5,FALSE)</f>
        <v>110</v>
      </c>
      <c r="H9" s="148">
        <f t="shared" si="3"/>
        <v>0.63419611987562552</v>
      </c>
      <c r="I9" s="147">
        <f>VLOOKUP(D9,DoingBusiness!$A$1:$K$202,9,FALSE)</f>
        <v>98</v>
      </c>
      <c r="J9" s="148">
        <f t="shared" si="4"/>
        <v>0.23538685482937871</v>
      </c>
      <c r="K9" s="147">
        <f>VLOOKUP(D9,DoingBusiness!$A$1:$K$202,10,FALSE)</f>
        <v>47</v>
      </c>
      <c r="L9" s="148">
        <f t="shared" si="5"/>
        <v>-0.83826338281069246</v>
      </c>
      <c r="M9" s="149">
        <f t="shared" si="6"/>
        <v>-0.10149208683750696</v>
      </c>
      <c r="N9" s="149">
        <f t="shared" si="7"/>
        <v>-0.56891431539825221</v>
      </c>
      <c r="O9" s="130"/>
      <c r="P9" s="118" t="s">
        <v>251</v>
      </c>
      <c r="Q9" s="146">
        <f>VLOOKUP(P9,ONDD!$A$5:$H$246,3,FALSE)</f>
        <v>5</v>
      </c>
      <c r="R9" s="149">
        <f t="shared" si="8"/>
        <v>0.28667591757207656</v>
      </c>
      <c r="S9" s="146">
        <f>VLOOKUP(P9,ONDD!$A$5:$H$246,7,FALSE)</f>
        <v>1</v>
      </c>
      <c r="T9" s="149">
        <f t="shared" si="9"/>
        <v>-1.3296274165638051</v>
      </c>
      <c r="U9" s="146">
        <f>VLOOKUP(P9,ONDD!$A$5:$H$246,8,FALSE)</f>
        <v>4</v>
      </c>
      <c r="V9" s="149">
        <f t="shared" si="10"/>
        <v>-7.0869379424365511E-2</v>
      </c>
      <c r="W9" s="149">
        <f>((Q$48*R9^2)+Q$49*R9+Q$50)+((S$48*T9^2)+S$49*T9)+(U$48*V9^2)+(U$49*V9+U$50)</f>
        <v>-7.9675683088039129E-2</v>
      </c>
      <c r="X9" s="149">
        <f t="shared" si="12"/>
        <v>-0.45224287640835009</v>
      </c>
      <c r="Y9" s="130"/>
      <c r="Z9" s="146" t="str">
        <f t="shared" si="13"/>
        <v>Croatia</v>
      </c>
      <c r="AA9" s="146">
        <f>VLOOKUP(Z9,Coface!$A$2:$G$161,7,FALSE)</f>
        <v>3</v>
      </c>
      <c r="AB9" s="165">
        <f t="shared" si="14"/>
        <v>-1.151484700116101</v>
      </c>
      <c r="AC9" s="163">
        <f>VLOOKUP(Z9,Coface!$A$2:$G$161,4,FALSE)</f>
        <v>4</v>
      </c>
      <c r="AD9" s="165">
        <f t="shared" si="15"/>
        <v>-0.8955347708024407</v>
      </c>
      <c r="AE9" s="165">
        <f t="shared" si="16"/>
        <v>3.6999999999999997</v>
      </c>
      <c r="AF9" s="165">
        <f t="shared" si="17"/>
        <v>-1.0031526221516924</v>
      </c>
      <c r="AG9" s="118"/>
      <c r="AH9" s="118"/>
      <c r="AI9" s="163" t="str">
        <f t="shared" si="18"/>
        <v>Croatia</v>
      </c>
      <c r="AJ9" s="118">
        <v>31</v>
      </c>
      <c r="AK9" s="118">
        <v>34</v>
      </c>
      <c r="AL9" s="118">
        <v>34</v>
      </c>
      <c r="AM9" s="164">
        <f t="shared" si="19"/>
        <v>0.53983243035358208</v>
      </c>
      <c r="AN9" s="163" t="str">
        <f t="shared" si="20"/>
        <v>Croatia</v>
      </c>
      <c r="AO9" s="165">
        <f>VLOOKUP(AN9,'Stripped Spread'!$C$18:$E$60,3,FALSE)</f>
        <v>0.52258007005995533</v>
      </c>
      <c r="AP9" s="118"/>
      <c r="AQ9" s="164">
        <f t="shared" si="21"/>
        <v>-0.72847733354544308</v>
      </c>
      <c r="AR9" s="165">
        <f t="shared" si="22"/>
        <v>-0.70486411043083974</v>
      </c>
      <c r="AS9" s="165">
        <f t="shared" si="23"/>
        <v>0.52258007005995533</v>
      </c>
      <c r="AT9" s="118"/>
      <c r="AU9" s="118"/>
      <c r="AV9" s="130"/>
      <c r="AW9" s="130"/>
      <c r="BC9" s="167" t="s">
        <v>251</v>
      </c>
      <c r="BD9" s="171">
        <f t="shared" si="24"/>
        <v>-0.70486411043083974</v>
      </c>
      <c r="BE9" s="171">
        <f t="shared" si="25"/>
        <v>0.52258007005995533</v>
      </c>
      <c r="BF9" s="182"/>
      <c r="BG9" s="167" t="s">
        <v>251</v>
      </c>
      <c r="BH9" s="7">
        <f t="shared" si="26"/>
        <v>-1.0031526221516924</v>
      </c>
      <c r="BI9" s="171">
        <f t="shared" si="27"/>
        <v>0.52258007005995533</v>
      </c>
      <c r="BJ9" s="182"/>
      <c r="BK9" s="183" t="s">
        <v>253</v>
      </c>
      <c r="BL9" s="183">
        <f t="shared" si="28"/>
        <v>137</v>
      </c>
      <c r="BM9" s="7">
        <f t="shared" si="38"/>
        <v>0.91840427226972698</v>
      </c>
      <c r="BN9" s="7">
        <f t="shared" si="0"/>
        <v>0.4698109730760216</v>
      </c>
      <c r="BP9" s="186" t="s">
        <v>251</v>
      </c>
      <c r="BQ9">
        <f t="shared" si="29"/>
        <v>110</v>
      </c>
      <c r="BR9" s="7">
        <f t="shared" si="30"/>
        <v>0.66529288228834871</v>
      </c>
      <c r="BS9" s="7">
        <f t="shared" si="31"/>
        <v>0.52258007005995533</v>
      </c>
      <c r="BU9" s="187" t="s">
        <v>251</v>
      </c>
      <c r="BV9">
        <f t="shared" si="32"/>
        <v>98</v>
      </c>
      <c r="BW9" s="14">
        <f t="shared" si="33"/>
        <v>0.52446569440193014</v>
      </c>
      <c r="BX9" s="7">
        <f t="shared" si="34"/>
        <v>0.52258007005995533</v>
      </c>
      <c r="BZ9" s="188" t="s">
        <v>253</v>
      </c>
      <c r="CA9">
        <f t="shared" si="35"/>
        <v>84</v>
      </c>
      <c r="CB9" s="7">
        <f t="shared" si="36"/>
        <v>-9.934848153451889E-2</v>
      </c>
      <c r="CC9" s="7">
        <f t="shared" si="37"/>
        <v>0.4698109730760216</v>
      </c>
    </row>
    <row r="10" spans="1:81" ht="39" x14ac:dyDescent="0.25">
      <c r="A10" s="127" t="s">
        <v>458</v>
      </c>
      <c r="B10" s="127" t="s">
        <v>206</v>
      </c>
      <c r="C10" s="127" t="s">
        <v>124</v>
      </c>
      <c r="D10" s="128" t="str">
        <f t="shared" si="1"/>
        <v>Egypt, Arab Rep.</v>
      </c>
      <c r="E10" s="147">
        <f>VLOOKUP(D10,DoingBusiness!$A$1:$K$202,3,FALSE)</f>
        <v>18</v>
      </c>
      <c r="F10" s="148">
        <f t="shared" si="2"/>
        <v>-1.5947527015532701</v>
      </c>
      <c r="G10" s="147">
        <f>VLOOKUP(D10,DoingBusiness!$A$1:$K$202,5,FALSE)</f>
        <v>93</v>
      </c>
      <c r="H10" s="148">
        <f t="shared" si="3"/>
        <v>0.23067210118316894</v>
      </c>
      <c r="I10" s="147">
        <f>VLOOKUP(D10,DoingBusiness!$A$1:$K$202,9,FALSE)</f>
        <v>21</v>
      </c>
      <c r="J10" s="148">
        <f t="shared" si="4"/>
        <v>-1.4597371860642046</v>
      </c>
      <c r="K10" s="147">
        <f>VLOOKUP(D10,DoingBusiness!$A$1:$K$202,10,FALSE)</f>
        <v>143</v>
      </c>
      <c r="L10" s="148">
        <f t="shared" si="5"/>
        <v>1.2766005695095446</v>
      </c>
      <c r="M10" s="149">
        <f t="shared" si="6"/>
        <v>0.11953342374753051</v>
      </c>
      <c r="N10" s="149">
        <f t="shared" si="7"/>
        <v>-0.38137430018152407</v>
      </c>
      <c r="O10" s="130"/>
      <c r="P10" s="139" t="s">
        <v>65</v>
      </c>
      <c r="Q10" s="146">
        <f>VLOOKUP(P10,ONDD!$A$5:$H$246,3,FALSE)</f>
        <v>4</v>
      </c>
      <c r="R10" s="149">
        <f t="shared" si="8"/>
        <v>-0.30176412376008049</v>
      </c>
      <c r="S10" s="146">
        <f>VLOOKUP(P10,ONDD!$A$5:$H$246,7,FALSE)</f>
        <v>5</v>
      </c>
      <c r="T10" s="149">
        <f t="shared" si="9"/>
        <v>1.0274393673447584</v>
      </c>
      <c r="U10" s="146">
        <f>VLOOKUP(P10,ONDD!$A$5:$H$246,8,FALSE)</f>
        <v>3</v>
      </c>
      <c r="V10" s="149">
        <f t="shared" si="10"/>
        <v>-0.76184582881193175</v>
      </c>
      <c r="W10" s="149">
        <f t="shared" si="11"/>
        <v>0.18279888291963764</v>
      </c>
      <c r="X10" s="149">
        <f t="shared" si="12"/>
        <v>-0.33149078460864051</v>
      </c>
      <c r="Y10" s="130"/>
      <c r="Z10" s="162" t="s">
        <v>65</v>
      </c>
      <c r="AA10" s="146">
        <f>VLOOKUP(Z10,Coface!$A$2:$G$161,7,FALSE)</f>
        <v>8</v>
      </c>
      <c r="AB10" s="165">
        <f t="shared" si="14"/>
        <v>0.15397760524808318</v>
      </c>
      <c r="AC10" s="163">
        <f>VLOOKUP(Z10,Coface!$A$2:$G$161,4,FALSE)</f>
        <v>8</v>
      </c>
      <c r="AD10" s="165">
        <f t="shared" si="15"/>
        <v>4.8407284908240082E-2</v>
      </c>
      <c r="AE10" s="165">
        <f t="shared" si="16"/>
        <v>8</v>
      </c>
      <c r="AF10" s="165">
        <f t="shared" si="17"/>
        <v>8.0795153201650399E-2</v>
      </c>
      <c r="AG10" s="118"/>
      <c r="AH10" s="118"/>
      <c r="AI10" s="163" t="str">
        <f t="shared" si="18"/>
        <v>Egypt, Arab Rep.</v>
      </c>
      <c r="AJ10" s="118">
        <v>32</v>
      </c>
      <c r="AK10" s="118">
        <v>31</v>
      </c>
      <c r="AL10" s="118">
        <v>30</v>
      </c>
      <c r="AM10" s="164">
        <f t="shared" si="19"/>
        <v>-3.6974823996820547E-2</v>
      </c>
      <c r="AN10" s="163" t="str">
        <f t="shared" si="20"/>
        <v>Egypt</v>
      </c>
      <c r="AO10" s="165">
        <f>VLOOKUP(AN10,'Stripped Spread'!$C$18:$E$60,3,FALSE)</f>
        <v>5.2153815465916083E-2</v>
      </c>
      <c r="AP10" s="118"/>
      <c r="AQ10" s="164">
        <f t="shared" si="21"/>
        <v>0.35364858771665064</v>
      </c>
      <c r="AR10" s="165">
        <f t="shared" si="22"/>
        <v>-0.30410494529430043</v>
      </c>
      <c r="AS10" s="165">
        <f t="shared" si="23"/>
        <v>5.2153815465916083E-2</v>
      </c>
      <c r="AT10" s="118"/>
      <c r="AU10" s="118"/>
      <c r="AV10" s="130"/>
      <c r="AW10" s="130"/>
      <c r="BC10" s="167" t="s">
        <v>65</v>
      </c>
      <c r="BD10" s="171">
        <f t="shared" si="24"/>
        <v>-0.30410494529430043</v>
      </c>
      <c r="BE10" s="171">
        <f t="shared" si="25"/>
        <v>5.2153815465916083E-2</v>
      </c>
      <c r="BF10" s="182"/>
      <c r="BG10" s="174" t="s">
        <v>65</v>
      </c>
      <c r="BH10" s="7">
        <f t="shared" si="26"/>
        <v>8.0795153201650399E-2</v>
      </c>
      <c r="BI10" s="171">
        <f t="shared" si="27"/>
        <v>5.2153815465916083E-2</v>
      </c>
      <c r="BJ10" s="182"/>
      <c r="BK10" s="183" t="s">
        <v>39</v>
      </c>
      <c r="BL10" s="183">
        <f t="shared" si="28"/>
        <v>158</v>
      </c>
      <c r="BM10" s="7">
        <f t="shared" si="38"/>
        <v>1.361902561767903</v>
      </c>
      <c r="BN10" s="7">
        <f t="shared" si="0"/>
        <v>1.4223422220211868</v>
      </c>
      <c r="BP10" s="186" t="s">
        <v>253</v>
      </c>
      <c r="BQ10">
        <f t="shared" si="29"/>
        <v>114</v>
      </c>
      <c r="BR10" s="7">
        <f t="shared" si="30"/>
        <v>0.7651224680550891</v>
      </c>
      <c r="BS10" s="7">
        <f t="shared" si="31"/>
        <v>0.4698109730760216</v>
      </c>
      <c r="BU10" s="187" t="s">
        <v>253</v>
      </c>
      <c r="BV10">
        <f t="shared" si="32"/>
        <v>40</v>
      </c>
      <c r="BW10" s="14">
        <f t="shared" si="33"/>
        <v>-1.0052259142703661</v>
      </c>
      <c r="BX10" s="7">
        <f t="shared" si="34"/>
        <v>0.4698109730760216</v>
      </c>
      <c r="BZ10" s="188" t="s">
        <v>458</v>
      </c>
      <c r="CA10">
        <f t="shared" si="35"/>
        <v>143</v>
      </c>
      <c r="CB10" s="7">
        <f t="shared" si="36"/>
        <v>1.1619999612391845</v>
      </c>
      <c r="CC10" s="7">
        <f>BX12</f>
        <v>5.2153815465916083E-2</v>
      </c>
    </row>
    <row r="11" spans="1:81" ht="38.25" x14ac:dyDescent="0.2">
      <c r="A11" s="127" t="s">
        <v>259</v>
      </c>
      <c r="B11" s="127" t="s">
        <v>206</v>
      </c>
      <c r="C11" s="127" t="s">
        <v>124</v>
      </c>
      <c r="D11" s="128" t="str">
        <f t="shared" si="1"/>
        <v>Gabon</v>
      </c>
      <c r="E11" s="147">
        <f>VLOOKUP(D11,DoingBusiness!$A$1:$K$202,3,FALSE)</f>
        <v>153</v>
      </c>
      <c r="F11" s="148">
        <f t="shared" si="2"/>
        <v>1.2563077309350039</v>
      </c>
      <c r="G11" s="147">
        <f>VLOOKUP(D11,DoingBusiness!$A$1:$K$202,5,FALSE)</f>
        <v>132</v>
      </c>
      <c r="H11" s="148">
        <f t="shared" si="3"/>
        <v>1.1564036734776282</v>
      </c>
      <c r="I11" s="147">
        <f>VLOOKUP(D11,DoingBusiness!$A$1:$K$202,9,FALSE)</f>
        <v>134</v>
      </c>
      <c r="J11" s="148">
        <f t="shared" si="4"/>
        <v>1.027912380441963</v>
      </c>
      <c r="K11" s="147">
        <f>VLOOKUP(D11,DoingBusiness!$A$1:$K$202,10,FALSE)</f>
        <v>148</v>
      </c>
      <c r="L11" s="148">
        <f t="shared" si="5"/>
        <v>1.3867497336928905</v>
      </c>
      <c r="M11" s="149">
        <f t="shared" si="6"/>
        <v>2.8933719061999685</v>
      </c>
      <c r="N11" s="149">
        <f t="shared" si="7"/>
        <v>1.9722260142388877</v>
      </c>
      <c r="O11" s="130"/>
      <c r="P11" s="118" t="s">
        <v>259</v>
      </c>
      <c r="Q11" s="146">
        <f>VLOOKUP(P11,ONDD!$A$5:$H$246,3,FALSE)</f>
        <v>5</v>
      </c>
      <c r="R11" s="149">
        <f t="shared" si="8"/>
        <v>0.28667591757207656</v>
      </c>
      <c r="S11" s="146">
        <f>VLOOKUP(P11,ONDD!$A$5:$H$246,7,FALSE)</f>
        <v>4</v>
      </c>
      <c r="T11" s="149">
        <f t="shared" si="9"/>
        <v>0.43817267136761756</v>
      </c>
      <c r="U11" s="146">
        <f>VLOOKUP(P11,ONDD!$A$5:$H$246,8,FALSE)</f>
        <v>5</v>
      </c>
      <c r="V11" s="149">
        <f t="shared" si="10"/>
        <v>0.62010706996320064</v>
      </c>
      <c r="W11" s="149">
        <f t="shared" si="11"/>
        <v>1.0308420370075837</v>
      </c>
      <c r="X11" s="149">
        <f t="shared" si="12"/>
        <v>5.8653625762716689E-2</v>
      </c>
      <c r="Y11" s="130"/>
      <c r="Z11" s="146" t="str">
        <f t="shared" si="13"/>
        <v>Gabon</v>
      </c>
      <c r="AA11" s="146">
        <f>VLOOKUP(Z11,Coface!$A$2:$G$161,7,FALSE)</f>
        <v>12</v>
      </c>
      <c r="AB11" s="165">
        <f t="shared" si="14"/>
        <v>1.1983474495394306</v>
      </c>
      <c r="AC11" s="163">
        <f>VLOOKUP(Z11,Coface!$A$2:$G$161,4,FALSE)</f>
        <v>8</v>
      </c>
      <c r="AD11" s="165">
        <f t="shared" si="15"/>
        <v>4.8407284908240082E-2</v>
      </c>
      <c r="AE11" s="165">
        <f t="shared" si="16"/>
        <v>9.1999999999999993</v>
      </c>
      <c r="AF11" s="165">
        <f t="shared" si="17"/>
        <v>0.38329220678862957</v>
      </c>
      <c r="AG11" s="118"/>
      <c r="AH11" s="118"/>
      <c r="AI11" s="163" t="str">
        <f t="shared" si="18"/>
        <v>Gabon</v>
      </c>
      <c r="AJ11" s="118">
        <v>38</v>
      </c>
      <c r="AK11" s="118">
        <v>38</v>
      </c>
      <c r="AL11" s="118">
        <v>35</v>
      </c>
      <c r="AM11" s="164">
        <f t="shared" si="19"/>
        <v>0.68403424394118273</v>
      </c>
      <c r="AN11" s="163" t="str">
        <f t="shared" si="20"/>
        <v>Gabon</v>
      </c>
      <c r="AO11" s="165">
        <f>VLOOKUP(AN11,'Stripped Spread'!$C$18:$E$60,3,FALSE)</f>
        <v>0.17908465127013667</v>
      </c>
      <c r="AP11" s="118"/>
      <c r="AQ11" s="164">
        <f t="shared" si="21"/>
        <v>2.1250648176578326</v>
      </c>
      <c r="AR11" s="165">
        <f t="shared" si="22"/>
        <v>0.3519289556333916</v>
      </c>
      <c r="AS11" s="165">
        <f t="shared" si="23"/>
        <v>0.17908465127013667</v>
      </c>
      <c r="AT11" s="118"/>
      <c r="AU11" s="118"/>
      <c r="AV11" s="130"/>
      <c r="AW11" s="130"/>
      <c r="BC11" s="167" t="s">
        <v>259</v>
      </c>
      <c r="BD11" s="171">
        <f t="shared" si="24"/>
        <v>0.3519289556333916</v>
      </c>
      <c r="BE11" s="171">
        <f t="shared" si="25"/>
        <v>0.17908465127013667</v>
      </c>
      <c r="BF11" s="182"/>
      <c r="BG11" s="167" t="s">
        <v>259</v>
      </c>
      <c r="BH11" s="7">
        <f t="shared" si="26"/>
        <v>0.38329220678862957</v>
      </c>
      <c r="BI11" s="171">
        <f t="shared" si="27"/>
        <v>0.17908465127013667</v>
      </c>
      <c r="BJ11" s="182"/>
      <c r="BK11" s="183" t="s">
        <v>458</v>
      </c>
      <c r="BL11" s="183">
        <f t="shared" si="28"/>
        <v>18</v>
      </c>
      <c r="BM11" s="7">
        <f t="shared" si="38"/>
        <v>-1.5947527015532701</v>
      </c>
      <c r="BN11" s="7">
        <f>AO10</f>
        <v>5.2153815465916083E-2</v>
      </c>
      <c r="BP11" s="186" t="s">
        <v>458</v>
      </c>
      <c r="BQ11">
        <f t="shared" si="29"/>
        <v>93</v>
      </c>
      <c r="BR11" s="7">
        <f t="shared" si="30"/>
        <v>0.2410171427797019</v>
      </c>
      <c r="BS11" s="7">
        <f t="shared" si="31"/>
        <v>5.2153815465916083E-2</v>
      </c>
      <c r="BU11" s="187" t="s">
        <v>39</v>
      </c>
      <c r="BV11">
        <f t="shared" si="32"/>
        <v>126</v>
      </c>
      <c r="BW11" s="14">
        <f t="shared" si="33"/>
        <v>1.2629375054851075</v>
      </c>
      <c r="BX11" s="7">
        <f>VLOOKUP(BU11,$AN$2:$AO$40,2,FALSE)</f>
        <v>1.4223422220211868</v>
      </c>
      <c r="BZ11" s="188" t="s">
        <v>257</v>
      </c>
      <c r="CA11">
        <f t="shared" si="35"/>
        <v>51</v>
      </c>
      <c r="CB11" s="7">
        <f t="shared" si="36"/>
        <v>-0.80484845800116656</v>
      </c>
      <c r="CC11" s="7">
        <f t="shared" si="37"/>
        <v>0.23785564532605222</v>
      </c>
    </row>
    <row r="12" spans="1:81" ht="38.25" x14ac:dyDescent="0.2">
      <c r="A12" s="127" t="s">
        <v>261</v>
      </c>
      <c r="B12" s="127" t="s">
        <v>207</v>
      </c>
      <c r="C12" s="127" t="s">
        <v>124</v>
      </c>
      <c r="D12" s="128" t="str">
        <f t="shared" si="1"/>
        <v>Georgia</v>
      </c>
      <c r="E12" s="147">
        <f>VLOOKUP(D12,DoingBusiness!$A$1:$K$202,3,FALSE)</f>
        <v>8</v>
      </c>
      <c r="F12" s="148">
        <f t="shared" si="2"/>
        <v>-1.8059423632190681</v>
      </c>
      <c r="G12" s="147">
        <f>VLOOKUP(D12,DoingBusiness!$A$1:$K$202,5,FALSE)</f>
        <v>2</v>
      </c>
      <c r="H12" s="148">
        <f t="shared" si="3"/>
        <v>-1.9293682341705694</v>
      </c>
      <c r="I12" s="147">
        <f>VLOOKUP(D12,DoingBusiness!$A$1:$K$202,9,FALSE)</f>
        <v>35</v>
      </c>
      <c r="J12" s="148">
        <f t="shared" si="4"/>
        <v>-1.151532814992644</v>
      </c>
      <c r="K12" s="147">
        <f>VLOOKUP(D12,DoingBusiness!$A$1:$K$202,10,FALSE)</f>
        <v>41</v>
      </c>
      <c r="L12" s="148">
        <f t="shared" si="5"/>
        <v>-0.97044237983070725</v>
      </c>
      <c r="M12" s="149">
        <f t="shared" si="6"/>
        <v>-0.42753149348922909</v>
      </c>
      <c r="N12" s="149">
        <f t="shared" si="7"/>
        <v>-0.84555855941727831</v>
      </c>
      <c r="O12" s="130"/>
      <c r="P12" s="118" t="s">
        <v>261</v>
      </c>
      <c r="Q12" s="146">
        <f>VLOOKUP(P12,ONDD!$A$5:$H$246,3,FALSE)</f>
        <v>6</v>
      </c>
      <c r="R12" s="149">
        <f t="shared" si="8"/>
        <v>0.87511595890423355</v>
      </c>
      <c r="S12" s="146">
        <f>VLOOKUP(P12,ONDD!$A$5:$H$246,7,FALSE)</f>
        <v>4</v>
      </c>
      <c r="T12" s="149">
        <f t="shared" si="9"/>
        <v>0.43817267136761756</v>
      </c>
      <c r="U12" s="146">
        <f>VLOOKUP(P12,ONDD!$A$5:$H$246,8,FALSE)</f>
        <v>6</v>
      </c>
      <c r="V12" s="149">
        <f t="shared" si="10"/>
        <v>1.3110835193507668</v>
      </c>
      <c r="W12" s="149">
        <f t="shared" si="11"/>
        <v>2.7572809432930789</v>
      </c>
      <c r="X12" s="149">
        <f t="shared" si="12"/>
        <v>0.85290623647959296</v>
      </c>
      <c r="Y12" s="130"/>
      <c r="Z12" s="146" t="str">
        <f t="shared" si="13"/>
        <v>Georgia</v>
      </c>
      <c r="AA12" s="146">
        <f>VLOOKUP(Z12,Coface!$A$2:$G$161,7,FALSE)</f>
        <v>12</v>
      </c>
      <c r="AB12" s="165">
        <f t="shared" si="14"/>
        <v>1.1983474495394306</v>
      </c>
      <c r="AC12" s="163">
        <f>VLOOKUP(Z12,Coface!$A$2:$G$161,4,FALSE)</f>
        <v>12</v>
      </c>
      <c r="AD12" s="165">
        <f t="shared" si="15"/>
        <v>0.99234934061892088</v>
      </c>
      <c r="AE12" s="165">
        <f t="shared" si="16"/>
        <v>11.999999999999998</v>
      </c>
      <c r="AF12" s="165">
        <f t="shared" si="17"/>
        <v>1.0891186651582478</v>
      </c>
      <c r="AG12" s="118"/>
      <c r="AH12" s="118"/>
      <c r="AI12" s="163" t="str">
        <f t="shared" si="18"/>
        <v>Georgia</v>
      </c>
      <c r="AJ12" s="118">
        <v>25</v>
      </c>
      <c r="AK12" s="118">
        <v>24</v>
      </c>
      <c r="AL12" s="118">
        <v>24</v>
      </c>
      <c r="AM12" s="164">
        <f t="shared" si="19"/>
        <v>-0.90218570552242439</v>
      </c>
      <c r="AN12" s="163" t="str">
        <f t="shared" si="20"/>
        <v>Georgia</v>
      </c>
      <c r="AO12" s="165">
        <f>VLOOKUP(AN12,'Stripped Spread'!$C$18:$E$60,3,FALSE)</f>
        <v>0.2308989009926187</v>
      </c>
      <c r="AP12" s="118"/>
      <c r="AQ12" s="164">
        <f t="shared" si="21"/>
        <v>2.7778941126145922</v>
      </c>
      <c r="AR12" s="165">
        <f t="shared" si="22"/>
        <v>0.59370056287703665</v>
      </c>
      <c r="AS12" s="165">
        <f t="shared" si="23"/>
        <v>0.2308989009926187</v>
      </c>
      <c r="AT12" s="118"/>
      <c r="AU12" s="118"/>
      <c r="AV12" s="118"/>
      <c r="AW12" s="118"/>
      <c r="BC12" s="167" t="s">
        <v>261</v>
      </c>
      <c r="BD12" s="171">
        <f t="shared" si="24"/>
        <v>0.59370056287703665</v>
      </c>
      <c r="BE12" s="171">
        <f t="shared" si="25"/>
        <v>0.2308989009926187</v>
      </c>
      <c r="BF12" s="182"/>
      <c r="BG12" s="167" t="s">
        <v>261</v>
      </c>
      <c r="BH12" s="7">
        <f t="shared" si="26"/>
        <v>1.0891186651582478</v>
      </c>
      <c r="BI12" s="171">
        <f t="shared" si="27"/>
        <v>0.2308989009926187</v>
      </c>
      <c r="BJ12" s="182"/>
      <c r="BK12" s="183" t="s">
        <v>257</v>
      </c>
      <c r="BL12" s="183">
        <f t="shared" si="28"/>
        <v>129</v>
      </c>
      <c r="BM12" s="7">
        <f t="shared" si="38"/>
        <v>0.74945254293708852</v>
      </c>
      <c r="BN12" s="7">
        <f t="shared" ref="BN12:BN25" si="39">VLOOKUP(BK12,$AN$2:$AO$40,2,FALSE)</f>
        <v>0.23785564532605222</v>
      </c>
      <c r="BP12" s="186" t="s">
        <v>257</v>
      </c>
      <c r="BQ12">
        <f t="shared" si="29"/>
        <v>49</v>
      </c>
      <c r="BR12" s="7">
        <f t="shared" si="30"/>
        <v>-0.85710830065444277</v>
      </c>
      <c r="BS12" s="7">
        <f t="shared" si="31"/>
        <v>0.23785564532605222</v>
      </c>
      <c r="BU12" s="187" t="s">
        <v>458</v>
      </c>
      <c r="BV12">
        <f t="shared" si="32"/>
        <v>21</v>
      </c>
      <c r="BW12" s="14">
        <f t="shared" si="33"/>
        <v>-1.506331786076808</v>
      </c>
      <c r="BX12" s="7">
        <f>BS11</f>
        <v>5.2153815465916083E-2</v>
      </c>
      <c r="BZ12" s="188" t="s">
        <v>259</v>
      </c>
      <c r="CA12">
        <f t="shared" si="35"/>
        <v>148</v>
      </c>
      <c r="CB12" s="7">
        <f t="shared" si="36"/>
        <v>1.2688938970674646</v>
      </c>
      <c r="CC12" s="7">
        <f t="shared" si="37"/>
        <v>0.17908465127013667</v>
      </c>
    </row>
    <row r="13" spans="1:81" ht="25.5" x14ac:dyDescent="0.2">
      <c r="A13" s="127" t="s">
        <v>263</v>
      </c>
      <c r="B13" s="127" t="s">
        <v>207</v>
      </c>
      <c r="C13" s="127" t="s">
        <v>124</v>
      </c>
      <c r="D13" s="128" t="str">
        <f t="shared" si="1"/>
        <v>Ghana</v>
      </c>
      <c r="E13" s="147">
        <f>VLOOKUP(D13,DoingBusiness!$A$1:$K$202,3,FALSE)</f>
        <v>99</v>
      </c>
      <c r="F13" s="148">
        <f t="shared" si="2"/>
        <v>0.11588355793969436</v>
      </c>
      <c r="G13" s="147">
        <f>VLOOKUP(D13,DoingBusiness!$A$1:$K$202,5,FALSE)</f>
        <v>36</v>
      </c>
      <c r="H13" s="148">
        <f t="shared" si="3"/>
        <v>-1.1223201967856562</v>
      </c>
      <c r="I13" s="147">
        <f>VLOOKUP(D13,DoingBusiness!$A$1:$K$202,9,FALSE)</f>
        <v>89</v>
      </c>
      <c r="J13" s="148">
        <f t="shared" si="4"/>
        <v>3.7255473426232623E-2</v>
      </c>
      <c r="K13" s="147">
        <f>VLOOKUP(D13,DoingBusiness!$A$1:$K$202,10,FALSE)</f>
        <v>45</v>
      </c>
      <c r="L13" s="148">
        <f t="shared" si="5"/>
        <v>-0.88232304848403065</v>
      </c>
      <c r="M13" s="149">
        <f t="shared" si="6"/>
        <v>-0.31683380063537375</v>
      </c>
      <c r="N13" s="149">
        <f t="shared" si="7"/>
        <v>-0.75163163239732522</v>
      </c>
      <c r="O13" s="130"/>
      <c r="P13" s="118" t="s">
        <v>263</v>
      </c>
      <c r="Q13" s="146">
        <f>VLOOKUP(P13,ONDD!$A$5:$H$246,3,FALSE)</f>
        <v>6</v>
      </c>
      <c r="R13" s="149">
        <f t="shared" si="8"/>
        <v>0.87511595890423355</v>
      </c>
      <c r="S13" s="146">
        <f>VLOOKUP(P13,ONDD!$A$5:$H$246,7,FALSE)</f>
        <v>3</v>
      </c>
      <c r="T13" s="149">
        <f t="shared" si="9"/>
        <v>-0.15109402460952329</v>
      </c>
      <c r="U13" s="146">
        <f>VLOOKUP(P13,ONDD!$A$5:$H$246,8,FALSE)</f>
        <v>5</v>
      </c>
      <c r="V13" s="149">
        <f t="shared" si="10"/>
        <v>0.62010706996320064</v>
      </c>
      <c r="W13" s="149">
        <f t="shared" si="11"/>
        <v>1.3765886997201502</v>
      </c>
      <c r="X13" s="149">
        <f t="shared" si="12"/>
        <v>0.21771525748702622</v>
      </c>
      <c r="Y13" s="130"/>
      <c r="Z13" s="146" t="str">
        <f t="shared" si="13"/>
        <v>Ghana</v>
      </c>
      <c r="AA13" s="146">
        <f>VLOOKUP(Z13,Coface!$A$2:$G$161,7,FALSE)</f>
        <v>8</v>
      </c>
      <c r="AB13" s="165">
        <f t="shared" si="14"/>
        <v>0.15397760524808318</v>
      </c>
      <c r="AC13" s="163">
        <f>VLOOKUP(Z13,Coface!$A$2:$G$161,4,FALSE)</f>
        <v>12</v>
      </c>
      <c r="AD13" s="165">
        <f t="shared" si="15"/>
        <v>0.99234934061892088</v>
      </c>
      <c r="AE13" s="165">
        <f t="shared" si="16"/>
        <v>10.799999999999999</v>
      </c>
      <c r="AF13" s="165">
        <f t="shared" si="17"/>
        <v>0.78662161157126864</v>
      </c>
      <c r="AG13" s="118"/>
      <c r="AH13" s="118"/>
      <c r="AI13" s="163" t="str">
        <f t="shared" si="18"/>
        <v>Ghana</v>
      </c>
      <c r="AJ13" s="118">
        <v>36</v>
      </c>
      <c r="AK13" s="118">
        <v>36</v>
      </c>
      <c r="AL13" s="118">
        <v>33</v>
      </c>
      <c r="AM13" s="164">
        <f t="shared" si="19"/>
        <v>0.39563061676598138</v>
      </c>
      <c r="AN13" s="163" t="str">
        <f t="shared" si="20"/>
        <v>Ghana</v>
      </c>
      <c r="AO13" s="165">
        <f>VLOOKUP(AN13,'Stripped Spread'!$C$18:$E$60,3,FALSE)</f>
        <v>0.51533309859538157</v>
      </c>
      <c r="AP13" s="118"/>
      <c r="AQ13" s="164">
        <f t="shared" si="21"/>
        <v>0.91675144321258317</v>
      </c>
      <c r="AR13" s="165">
        <f t="shared" si="22"/>
        <v>-9.5563013324542492E-2</v>
      </c>
      <c r="AS13" s="165">
        <f t="shared" si="23"/>
        <v>0.51533309859538157</v>
      </c>
      <c r="AT13" s="118"/>
      <c r="AU13" s="118"/>
      <c r="AV13" s="118"/>
      <c r="AW13" s="118"/>
      <c r="BC13" s="167" t="s">
        <v>263</v>
      </c>
      <c r="BD13" s="171">
        <f t="shared" si="24"/>
        <v>-9.5563013324542492E-2</v>
      </c>
      <c r="BE13" s="171">
        <f t="shared" si="25"/>
        <v>0.51533309859538157</v>
      </c>
      <c r="BF13" s="182"/>
      <c r="BG13" s="167" t="s">
        <v>263</v>
      </c>
      <c r="BH13" s="7">
        <f t="shared" si="26"/>
        <v>0.78662161157126864</v>
      </c>
      <c r="BI13" s="171">
        <f t="shared" si="27"/>
        <v>0.51533309859538157</v>
      </c>
      <c r="BJ13" s="182"/>
      <c r="BK13" s="183" t="s">
        <v>259</v>
      </c>
      <c r="BL13" s="183">
        <f t="shared" si="28"/>
        <v>153</v>
      </c>
      <c r="BM13" s="7">
        <f t="shared" si="38"/>
        <v>1.2563077309350039</v>
      </c>
      <c r="BN13" s="7">
        <f t="shared" si="39"/>
        <v>0.17908465127013667</v>
      </c>
      <c r="BP13" s="186" t="s">
        <v>259</v>
      </c>
      <c r="BQ13">
        <f t="shared" si="29"/>
        <v>132</v>
      </c>
      <c r="BR13" s="7">
        <f t="shared" si="30"/>
        <v>1.2143556040054211</v>
      </c>
      <c r="BS13" s="7">
        <f t="shared" si="31"/>
        <v>0.17908465127013667</v>
      </c>
      <c r="BU13" s="187" t="s">
        <v>257</v>
      </c>
      <c r="BV13">
        <f t="shared" si="32"/>
        <v>65</v>
      </c>
      <c r="BW13" s="14">
        <f t="shared" si="33"/>
        <v>-0.34587608294610045</v>
      </c>
      <c r="BX13" s="7">
        <f t="shared" ref="BX13:BX36" si="40">VLOOKUP(BU13,$AN$2:$AO$40,2,FALSE)</f>
        <v>0.23785564532605222</v>
      </c>
      <c r="BZ13" s="188" t="s">
        <v>263</v>
      </c>
      <c r="CA13">
        <f t="shared" si="35"/>
        <v>45</v>
      </c>
      <c r="CB13" s="7">
        <f t="shared" si="36"/>
        <v>-0.93312118099510255</v>
      </c>
      <c r="CC13" s="7">
        <f t="shared" si="37"/>
        <v>0.51533309859538157</v>
      </c>
    </row>
    <row r="14" spans="1:81" x14ac:dyDescent="0.2">
      <c r="A14" s="127" t="s">
        <v>43</v>
      </c>
      <c r="B14" s="127" t="s">
        <v>205</v>
      </c>
      <c r="C14" s="127" t="s">
        <v>124</v>
      </c>
      <c r="D14" s="128" t="str">
        <f t="shared" si="1"/>
        <v>Hungary</v>
      </c>
      <c r="E14" s="147">
        <f>VLOOKUP(D14,DoingBusiness!$A$1:$K$202,3,FALSE)</f>
        <v>35</v>
      </c>
      <c r="F14" s="148">
        <f t="shared" si="2"/>
        <v>-1.2357302767214133</v>
      </c>
      <c r="G14" s="147">
        <f>VLOOKUP(D14,DoingBusiness!$A$1:$K$202,5,FALSE)</f>
        <v>41</v>
      </c>
      <c r="H14" s="148">
        <f t="shared" si="3"/>
        <v>-1.0036366618761101</v>
      </c>
      <c r="I14" s="147">
        <f>VLOOKUP(D14,DoingBusiness!$A$1:$K$202,9,FALSE)</f>
        <v>73</v>
      </c>
      <c r="J14" s="148">
        <f t="shared" si="4"/>
        <v>-0.31497809351269379</v>
      </c>
      <c r="K14" s="147">
        <f>VLOOKUP(D14,DoingBusiness!$A$1:$K$202,10,FALSE)</f>
        <v>22</v>
      </c>
      <c r="L14" s="148">
        <f t="shared" si="5"/>
        <v>-1.3890092037274209</v>
      </c>
      <c r="M14" s="149">
        <f t="shared" si="6"/>
        <v>-0.40079637973774018</v>
      </c>
      <c r="N14" s="149">
        <f t="shared" si="7"/>
        <v>-0.82287383118611734</v>
      </c>
      <c r="O14" s="130"/>
      <c r="P14" s="118" t="s">
        <v>43</v>
      </c>
      <c r="Q14" s="146">
        <f>VLOOKUP(P14,ONDD!$A$5:$H$246,3,FALSE)</f>
        <v>2</v>
      </c>
      <c r="R14" s="149">
        <f t="shared" si="8"/>
        <v>-1.4786442064243945</v>
      </c>
      <c r="S14" s="146">
        <f>VLOOKUP(P14,ONDD!$A$5:$H$246,7,FALSE)</f>
        <v>1</v>
      </c>
      <c r="T14" s="149">
        <f t="shared" si="9"/>
        <v>-1.3296274165638051</v>
      </c>
      <c r="U14" s="146">
        <f>VLOOKUP(P14,ONDD!$A$5:$H$246,8,FALSE)</f>
        <v>2</v>
      </c>
      <c r="V14" s="149">
        <f t="shared" si="10"/>
        <v>-1.4528222781994979</v>
      </c>
      <c r="W14" s="149">
        <f t="shared" si="11"/>
        <v>-0.81071392336743142</v>
      </c>
      <c r="X14" s="149">
        <f t="shared" si="12"/>
        <v>-0.78855887853380369</v>
      </c>
      <c r="Y14" s="130"/>
      <c r="Z14" s="146" t="str">
        <f t="shared" si="13"/>
        <v>Hungary</v>
      </c>
      <c r="AA14" s="146">
        <f>VLOOKUP(Z14,Coface!$A$2:$G$161,7,FALSE)</f>
        <v>2</v>
      </c>
      <c r="AB14" s="165">
        <f t="shared" si="14"/>
        <v>-1.4125771611889379</v>
      </c>
      <c r="AC14" s="163">
        <f>VLOOKUP(Z14,Coface!$A$2:$G$161,4,FALSE)</f>
        <v>4</v>
      </c>
      <c r="AD14" s="165">
        <f t="shared" si="15"/>
        <v>-0.8955347708024407</v>
      </c>
      <c r="AE14" s="165">
        <f t="shared" si="16"/>
        <v>3.4</v>
      </c>
      <c r="AF14" s="165">
        <f t="shared" si="17"/>
        <v>-1.0787768855484372</v>
      </c>
      <c r="AG14" s="118"/>
      <c r="AH14" s="118"/>
      <c r="AI14" s="163" t="str">
        <f t="shared" si="18"/>
        <v>Hungary</v>
      </c>
      <c r="AJ14" s="118">
        <v>28</v>
      </c>
      <c r="AK14" s="118">
        <v>27</v>
      </c>
      <c r="AL14" s="118">
        <v>32</v>
      </c>
      <c r="AM14" s="164">
        <f t="shared" si="19"/>
        <v>0.25142880317838073</v>
      </c>
      <c r="AN14" s="163" t="str">
        <f t="shared" si="20"/>
        <v>Hungary</v>
      </c>
      <c r="AO14" s="165">
        <f>VLOOKUP(AN14,'Stripped Spread'!$C$18:$E$60,3,FALSE)</f>
        <v>0.23579793496626733</v>
      </c>
      <c r="AP14" s="118"/>
      <c r="AQ14" s="164">
        <f>((M$48*N14^2)+M$49*N14+M$50)+((W$48*X14^2)+W$49*X14+W$50)+((AE$48*AF14^2)+AE$49*AF14+AE$50)+((AL$48*AM14^2)+AL$49*AM14+AL$50)</f>
        <v>-0.87025794952395474</v>
      </c>
      <c r="AR14" s="165">
        <f t="shared" si="22"/>
        <v>-0.7573717531881845</v>
      </c>
      <c r="AS14" s="165">
        <f t="shared" si="23"/>
        <v>0.23579793496626733</v>
      </c>
      <c r="AT14" s="118"/>
      <c r="AU14" s="118"/>
      <c r="AV14" s="118"/>
      <c r="AW14" s="118"/>
      <c r="BC14" s="167" t="s">
        <v>43</v>
      </c>
      <c r="BD14" s="171">
        <f t="shared" si="24"/>
        <v>-0.7573717531881845</v>
      </c>
      <c r="BE14" s="171">
        <f t="shared" si="25"/>
        <v>0.23579793496626733</v>
      </c>
      <c r="BF14" s="182"/>
      <c r="BG14" s="167" t="s">
        <v>43</v>
      </c>
      <c r="BH14" s="7">
        <f t="shared" si="26"/>
        <v>-1.0787768855484372</v>
      </c>
      <c r="BI14" s="171">
        <f t="shared" si="27"/>
        <v>0.23579793496626733</v>
      </c>
      <c r="BJ14" s="182"/>
      <c r="BK14" s="183" t="s">
        <v>263</v>
      </c>
      <c r="BL14" s="183">
        <f t="shared" si="28"/>
        <v>99</v>
      </c>
      <c r="BM14" s="7">
        <f t="shared" si="38"/>
        <v>0.11588355793969436</v>
      </c>
      <c r="BN14" s="7">
        <f t="shared" si="39"/>
        <v>0.51533309859538157</v>
      </c>
      <c r="BP14" s="186" t="s">
        <v>263</v>
      </c>
      <c r="BQ14">
        <f t="shared" si="29"/>
        <v>36</v>
      </c>
      <c r="BR14" s="7">
        <f t="shared" si="30"/>
        <v>-1.1815544543963492</v>
      </c>
      <c r="BS14" s="7">
        <f t="shared" si="31"/>
        <v>0.51533309859538157</v>
      </c>
      <c r="BU14" s="187" t="s">
        <v>259</v>
      </c>
      <c r="BV14">
        <f t="shared" si="32"/>
        <v>134</v>
      </c>
      <c r="BW14" s="14">
        <f t="shared" si="33"/>
        <v>1.4739294515088726</v>
      </c>
      <c r="BX14" s="7">
        <f t="shared" si="40"/>
        <v>0.17908465127013667</v>
      </c>
      <c r="BZ14" s="188" t="s">
        <v>43</v>
      </c>
      <c r="CA14">
        <f t="shared" si="35"/>
        <v>22</v>
      </c>
      <c r="CB14" s="7">
        <f t="shared" si="36"/>
        <v>-1.4248332858051902</v>
      </c>
      <c r="CC14" s="7">
        <f t="shared" si="37"/>
        <v>0.23579793496626733</v>
      </c>
    </row>
    <row r="15" spans="1:81" x14ac:dyDescent="0.2">
      <c r="A15" s="127" t="s">
        <v>267</v>
      </c>
      <c r="B15" s="127" t="s">
        <v>459</v>
      </c>
      <c r="C15" s="127" t="s">
        <v>124</v>
      </c>
      <c r="D15" s="128" t="str">
        <f t="shared" si="1"/>
        <v>Iraq</v>
      </c>
      <c r="E15" s="147">
        <f>VLOOKUP(D15,DoingBusiness!$A$1:$K$202,3,FALSE)</f>
        <v>174</v>
      </c>
      <c r="F15" s="148">
        <f t="shared" si="2"/>
        <v>1.69980602043318</v>
      </c>
      <c r="G15" s="147">
        <f>VLOOKUP(D15,DoingBusiness!$A$1:$K$202,5,FALSE)</f>
        <v>96</v>
      </c>
      <c r="H15" s="148">
        <f t="shared" si="3"/>
        <v>0.30188222212889659</v>
      </c>
      <c r="I15" s="147">
        <f>VLOOKUP(D15,DoingBusiness!$A$1:$K$202,9,FALSE)</f>
        <v>179</v>
      </c>
      <c r="J15" s="148">
        <f t="shared" si="4"/>
        <v>2.0185692874576935</v>
      </c>
      <c r="K15" s="147">
        <f>VLOOKUP(D15,DoingBusiness!$A$1:$K$202,10,FALSE)</f>
        <v>141</v>
      </c>
      <c r="L15" s="148">
        <f t="shared" si="5"/>
        <v>1.2325409038362065</v>
      </c>
      <c r="M15" s="149">
        <f t="shared" si="6"/>
        <v>3.5501505864122569</v>
      </c>
      <c r="N15" s="149">
        <f t="shared" si="7"/>
        <v>2.529502336573842</v>
      </c>
      <c r="O15" s="130"/>
      <c r="P15" s="118" t="s">
        <v>267</v>
      </c>
      <c r="Q15" s="146">
        <f>VLOOKUP(P15,ONDD!$A$5:$H$246,3,FALSE)</f>
        <v>7</v>
      </c>
      <c r="R15" s="149">
        <f t="shared" si="8"/>
        <v>1.4635560002363905</v>
      </c>
      <c r="S15" s="146">
        <f>VLOOKUP(P15,ONDD!$A$5:$H$246,7,FALSE)</f>
        <v>7</v>
      </c>
      <c r="T15" s="149">
        <f t="shared" si="9"/>
        <v>2.2059727592990401</v>
      </c>
      <c r="U15" s="146">
        <f>VLOOKUP(P15,ONDD!$A$5:$H$246,8,FALSE)</f>
        <v>7</v>
      </c>
      <c r="V15" s="149">
        <f t="shared" si="10"/>
        <v>2.0020599687383331</v>
      </c>
      <c r="W15" s="149">
        <f t="shared" si="11"/>
        <v>7.1538217844070235</v>
      </c>
      <c r="X15" s="149">
        <f t="shared" si="12"/>
        <v>2.8755460347747013</v>
      </c>
      <c r="Y15" s="130"/>
      <c r="Z15" s="146" t="str">
        <f t="shared" si="13"/>
        <v>Iraq</v>
      </c>
      <c r="AA15" s="146">
        <f>VLOOKUP(Z15,Coface!$A$2:$G$161,7,FALSE)</f>
        <v>16</v>
      </c>
      <c r="AB15" s="165">
        <f t="shared" si="14"/>
        <v>2.2427172938307782</v>
      </c>
      <c r="AC15" s="163">
        <f>VLOOKUP(Z15,Coface!$A$2:$G$161,4,FALSE)</f>
        <v>16</v>
      </c>
      <c r="AD15" s="165">
        <f t="shared" si="15"/>
        <v>1.9362913963296016</v>
      </c>
      <c r="AE15" s="165">
        <f t="shared" si="16"/>
        <v>16</v>
      </c>
      <c r="AF15" s="165">
        <f t="shared" si="17"/>
        <v>2.0974421771148464</v>
      </c>
      <c r="AG15" s="118"/>
      <c r="AH15" s="118"/>
      <c r="AI15" s="163" t="str">
        <f t="shared" si="18"/>
        <v>Iraq</v>
      </c>
      <c r="AJ15" s="118">
        <v>10</v>
      </c>
      <c r="AK15" s="118">
        <v>22</v>
      </c>
      <c r="AL15" s="118">
        <v>23</v>
      </c>
      <c r="AM15" s="164">
        <f t="shared" si="19"/>
        <v>-1.0463875191100251</v>
      </c>
      <c r="AN15" s="163" t="str">
        <f t="shared" si="20"/>
        <v>Iraq</v>
      </c>
      <c r="AO15" s="165">
        <f>VLOOKUP(AN15,'Stripped Spread'!$C$18:$E$60,3,FALSE)</f>
        <v>0.60268856279730743</v>
      </c>
      <c r="AP15" s="118"/>
      <c r="AQ15" s="164">
        <f t="shared" si="21"/>
        <v>9.1566381510517623</v>
      </c>
      <c r="AR15" s="165">
        <f t="shared" si="22"/>
        <v>2.9560320487380105</v>
      </c>
      <c r="AS15" s="165">
        <f t="shared" si="23"/>
        <v>0.60268856279730743</v>
      </c>
      <c r="AT15" s="118"/>
      <c r="AU15" s="118"/>
      <c r="AV15" s="118"/>
      <c r="AW15" s="118"/>
      <c r="BC15" s="167" t="s">
        <v>45</v>
      </c>
      <c r="BD15" s="171">
        <f t="shared" si="24"/>
        <v>0.14001412618268663</v>
      </c>
      <c r="BE15" s="171">
        <f t="shared" si="25"/>
        <v>0.12883472578450098</v>
      </c>
      <c r="BF15" s="182"/>
      <c r="BG15" s="167" t="s">
        <v>45</v>
      </c>
      <c r="BH15" s="7">
        <f t="shared" si="26"/>
        <v>8.0795153201650399E-2</v>
      </c>
      <c r="BI15" s="171">
        <f t="shared" si="27"/>
        <v>0.12883472578450098</v>
      </c>
      <c r="BJ15" s="182"/>
      <c r="BK15" s="183" t="s">
        <v>43</v>
      </c>
      <c r="BL15" s="183">
        <f t="shared" si="28"/>
        <v>35</v>
      </c>
      <c r="BM15" s="7">
        <f t="shared" si="38"/>
        <v>-1.2357302767214133</v>
      </c>
      <c r="BN15" s="7">
        <f t="shared" si="39"/>
        <v>0.23579793496626733</v>
      </c>
      <c r="BP15" s="186" t="s">
        <v>43</v>
      </c>
      <c r="BQ15">
        <f t="shared" si="29"/>
        <v>41</v>
      </c>
      <c r="BR15" s="7">
        <f t="shared" si="30"/>
        <v>-1.0567674721879237</v>
      </c>
      <c r="BS15" s="7">
        <f t="shared" si="31"/>
        <v>0.23579793496626733</v>
      </c>
      <c r="BU15" s="187" t="s">
        <v>261</v>
      </c>
      <c r="BV15">
        <f t="shared" si="32"/>
        <v>35</v>
      </c>
      <c r="BW15" s="14">
        <f t="shared" si="33"/>
        <v>-1.1370958805352192</v>
      </c>
      <c r="BX15" s="7">
        <f t="shared" si="40"/>
        <v>0.2308989009926187</v>
      </c>
      <c r="BZ15" s="188" t="s">
        <v>2</v>
      </c>
      <c r="CA15">
        <f t="shared" si="35"/>
        <v>154</v>
      </c>
      <c r="CB15" s="7">
        <f t="shared" si="36"/>
        <v>1.3971666200614004</v>
      </c>
      <c r="CC15" s="7">
        <f t="shared" si="37"/>
        <v>-0.35838987515994025</v>
      </c>
    </row>
    <row r="16" spans="1:81" ht="25.5" x14ac:dyDescent="0.2">
      <c r="A16" s="127" t="s">
        <v>45</v>
      </c>
      <c r="B16" s="127" t="s">
        <v>205</v>
      </c>
      <c r="C16" s="127" t="s">
        <v>124</v>
      </c>
      <c r="D16" s="128" t="str">
        <f t="shared" si="1"/>
        <v>Kazakhstan</v>
      </c>
      <c r="E16" s="147">
        <f>VLOOKUP(D16,DoingBusiness!$A$1:$K$202,3,FALSE)</f>
        <v>47</v>
      </c>
      <c r="F16" s="148">
        <f t="shared" si="2"/>
        <v>-0.98230268272245558</v>
      </c>
      <c r="G16" s="147">
        <f>VLOOKUP(D16,DoingBusiness!$A$1:$K$202,5,FALSE)</f>
        <v>28</v>
      </c>
      <c r="H16" s="148">
        <f t="shared" si="3"/>
        <v>-1.3122138526409299</v>
      </c>
      <c r="I16" s="147">
        <f>VLOOKUP(D16,DoingBusiness!$A$1:$K$202,9,FALSE)</f>
        <v>181</v>
      </c>
      <c r="J16" s="148">
        <f t="shared" si="4"/>
        <v>2.0625984833250595</v>
      </c>
      <c r="K16" s="147">
        <f>VLOOKUP(D16,DoingBusiness!$A$1:$K$202,10,FALSE)</f>
        <v>36</v>
      </c>
      <c r="L16" s="148">
        <f t="shared" si="5"/>
        <v>-1.080591544014053</v>
      </c>
      <c r="M16" s="149">
        <f t="shared" si="6"/>
        <v>1.2734875138377229</v>
      </c>
      <c r="N16" s="149">
        <f t="shared" si="7"/>
        <v>0.59775506385474919</v>
      </c>
      <c r="O16" s="130"/>
      <c r="P16" s="118" t="s">
        <v>45</v>
      </c>
      <c r="Q16" s="146">
        <f>VLOOKUP(P16,ONDD!$A$5:$H$246,3,FALSE)</f>
        <v>5</v>
      </c>
      <c r="R16" s="149">
        <f t="shared" si="8"/>
        <v>0.28667591757207656</v>
      </c>
      <c r="S16" s="146">
        <f>VLOOKUP(P16,ONDD!$A$5:$H$246,7,FALSE)</f>
        <v>4</v>
      </c>
      <c r="T16" s="149">
        <f t="shared" si="9"/>
        <v>0.43817267136761756</v>
      </c>
      <c r="U16" s="146">
        <f>VLOOKUP(P16,ONDD!$A$5:$H$246,8,FALSE)</f>
        <v>5</v>
      </c>
      <c r="V16" s="149">
        <f t="shared" si="10"/>
        <v>0.62010706996320064</v>
      </c>
      <c r="W16" s="149">
        <f t="shared" si="11"/>
        <v>1.0308420370075837</v>
      </c>
      <c r="X16" s="149">
        <f t="shared" si="12"/>
        <v>5.8653625762716689E-2</v>
      </c>
      <c r="Y16" s="130"/>
      <c r="Z16" s="146" t="str">
        <f t="shared" si="13"/>
        <v>Kazakhstan</v>
      </c>
      <c r="AA16" s="146">
        <f>VLOOKUP(Z16,Coface!$A$2:$G$161,7,FALSE)</f>
        <v>8</v>
      </c>
      <c r="AB16" s="165">
        <f t="shared" si="14"/>
        <v>0.15397760524808318</v>
      </c>
      <c r="AC16" s="163">
        <f>VLOOKUP(Z16,Coface!$A$2:$G$161,4,FALSE)</f>
        <v>8</v>
      </c>
      <c r="AD16" s="165">
        <f t="shared" si="15"/>
        <v>4.8407284908240082E-2</v>
      </c>
      <c r="AE16" s="165">
        <f t="shared" si="16"/>
        <v>8</v>
      </c>
      <c r="AF16" s="165">
        <f t="shared" si="17"/>
        <v>8.0795153201650399E-2</v>
      </c>
      <c r="AG16" s="118"/>
      <c r="AH16" s="118"/>
      <c r="AI16" s="163" t="str">
        <f t="shared" si="18"/>
        <v>Kazakhstan</v>
      </c>
      <c r="AJ16" s="118">
        <v>36</v>
      </c>
      <c r="AK16" s="118">
        <v>31</v>
      </c>
      <c r="AL16" s="118">
        <v>27</v>
      </c>
      <c r="AM16" s="164">
        <f t="shared" si="19"/>
        <v>-0.4695802647596225</v>
      </c>
      <c r="AN16" s="163" t="str">
        <f t="shared" si="20"/>
        <v>Kazakhstan</v>
      </c>
      <c r="AO16" s="165">
        <f>VLOOKUP(AN16,'Stripped Spread'!$C$18:$E$60,3,FALSE)</f>
        <v>0.12883472578450098</v>
      </c>
      <c r="AP16" s="118"/>
      <c r="AQ16" s="164">
        <f t="shared" si="21"/>
        <v>1.5528544978506376</v>
      </c>
      <c r="AR16" s="165">
        <f t="shared" si="22"/>
        <v>0.14001412618268663</v>
      </c>
      <c r="AS16" s="165">
        <f t="shared" si="23"/>
        <v>0.12883472578450098</v>
      </c>
      <c r="AT16" s="118"/>
      <c r="AU16" s="118"/>
      <c r="AV16" s="118"/>
      <c r="AW16" s="118"/>
      <c r="BC16" s="167" t="s">
        <v>272</v>
      </c>
      <c r="BD16" s="171">
        <f t="shared" si="24"/>
        <v>0.72592173851329689</v>
      </c>
      <c r="BE16" s="171">
        <f t="shared" si="25"/>
        <v>-9.8450847425420679E-2</v>
      </c>
      <c r="BF16" s="182"/>
      <c r="BG16" s="167" t="s">
        <v>272</v>
      </c>
      <c r="BH16" s="7">
        <f t="shared" si="26"/>
        <v>0.78662161157126864</v>
      </c>
      <c r="BI16" s="171">
        <f t="shared" si="27"/>
        <v>-9.8450847425420679E-2</v>
      </c>
      <c r="BJ16" s="182"/>
      <c r="BK16" s="183" t="s">
        <v>2</v>
      </c>
      <c r="BL16" s="183">
        <f t="shared" si="28"/>
        <v>155</v>
      </c>
      <c r="BM16" s="7">
        <f t="shared" si="38"/>
        <v>1.2985456632681636</v>
      </c>
      <c r="BN16" s="7">
        <f t="shared" si="39"/>
        <v>-0.35838987515994025</v>
      </c>
      <c r="BP16" s="186" t="s">
        <v>2</v>
      </c>
      <c r="BQ16">
        <f t="shared" si="29"/>
        <v>98</v>
      </c>
      <c r="BR16" s="7">
        <f t="shared" si="30"/>
        <v>0.36580412498812742</v>
      </c>
      <c r="BS16" s="7">
        <f t="shared" si="31"/>
        <v>-0.35838987515994025</v>
      </c>
      <c r="BU16" s="187" t="s">
        <v>263</v>
      </c>
      <c r="BV16">
        <f t="shared" si="32"/>
        <v>89</v>
      </c>
      <c r="BW16" s="14">
        <f t="shared" si="33"/>
        <v>0.28709975512519448</v>
      </c>
      <c r="BX16" s="7">
        <f t="shared" si="40"/>
        <v>0.51533309859538157</v>
      </c>
      <c r="BZ16" s="188" t="s">
        <v>267</v>
      </c>
      <c r="CA16">
        <f t="shared" si="35"/>
        <v>141</v>
      </c>
      <c r="CB16" s="7">
        <f t="shared" si="36"/>
        <v>1.1192423869078725</v>
      </c>
      <c r="CC16" s="7">
        <f t="shared" si="37"/>
        <v>0.60268856279730743</v>
      </c>
    </row>
    <row r="17" spans="1:81" x14ac:dyDescent="0.2">
      <c r="A17" s="127" t="s">
        <v>272</v>
      </c>
      <c r="B17" s="127" t="s">
        <v>207</v>
      </c>
      <c r="C17" s="127" t="s">
        <v>124</v>
      </c>
      <c r="D17" s="128" t="str">
        <f t="shared" si="1"/>
        <v>Lebanon</v>
      </c>
      <c r="E17" s="147">
        <f>VLOOKUP(D17,DoingBusiness!$A$1:$K$202,3,FALSE)</f>
        <v>103</v>
      </c>
      <c r="F17" s="148">
        <f t="shared" si="2"/>
        <v>0.20035942260601358</v>
      </c>
      <c r="G17" s="147">
        <f>VLOOKUP(D17,DoingBusiness!$A$1:$K$202,5,FALSE)</f>
        <v>111</v>
      </c>
      <c r="H17" s="148">
        <f t="shared" si="3"/>
        <v>0.65793282685753474</v>
      </c>
      <c r="I17" s="147">
        <f>VLOOKUP(D17,DoingBusiness!$A$1:$K$202,9,FALSE)</f>
        <v>95</v>
      </c>
      <c r="J17" s="148">
        <f t="shared" si="4"/>
        <v>0.16934306102833002</v>
      </c>
      <c r="K17" s="147">
        <f>VLOOKUP(D17,DoingBusiness!$A$1:$K$202,10,FALSE)</f>
        <v>122</v>
      </c>
      <c r="L17" s="148">
        <f t="shared" si="5"/>
        <v>0.81397407993949278</v>
      </c>
      <c r="M17" s="149">
        <f t="shared" si="6"/>
        <v>0.52312590869312769</v>
      </c>
      <c r="N17" s="149">
        <f t="shared" si="7"/>
        <v>-3.8926315024926057E-2</v>
      </c>
      <c r="O17" s="130"/>
      <c r="P17" s="118" t="s">
        <v>272</v>
      </c>
      <c r="Q17" s="146">
        <f>VLOOKUP(P17,ONDD!$A$5:$H$246,3,FALSE)</f>
        <v>7</v>
      </c>
      <c r="R17" s="149">
        <f t="shared" si="8"/>
        <v>1.4635560002363905</v>
      </c>
      <c r="S17" s="146">
        <f>VLOOKUP(P17,ONDD!$A$5:$H$246,7,FALSE)</f>
        <v>4</v>
      </c>
      <c r="T17" s="149">
        <f t="shared" si="9"/>
        <v>0.43817267136761756</v>
      </c>
      <c r="U17" s="146">
        <f>VLOOKUP(P17,ONDD!$A$5:$H$246,8,FALSE)</f>
        <v>6</v>
      </c>
      <c r="V17" s="149">
        <f t="shared" si="10"/>
        <v>1.3110835193507668</v>
      </c>
      <c r="W17" s="149">
        <f t="shared" si="11"/>
        <v>3.6649336566263022</v>
      </c>
      <c r="X17" s="149">
        <f t="shared" si="12"/>
        <v>1.2704741762222318</v>
      </c>
      <c r="Y17" s="130"/>
      <c r="Z17" s="146" t="str">
        <f t="shared" si="13"/>
        <v>Lebanon</v>
      </c>
      <c r="AA17" s="146">
        <f>VLOOKUP(Z17,Coface!$A$2:$G$161,7,FALSE)</f>
        <v>8</v>
      </c>
      <c r="AB17" s="165">
        <f t="shared" si="14"/>
        <v>0.15397760524808318</v>
      </c>
      <c r="AC17" s="163">
        <f>VLOOKUP(Z17,Coface!$A$2:$G$161,4,FALSE)</f>
        <v>12</v>
      </c>
      <c r="AD17" s="165">
        <f t="shared" si="15"/>
        <v>0.99234934061892088</v>
      </c>
      <c r="AE17" s="165">
        <f t="shared" si="16"/>
        <v>10.799999999999999</v>
      </c>
      <c r="AF17" s="165">
        <f t="shared" si="17"/>
        <v>0.78662161157126864</v>
      </c>
      <c r="AG17" s="118"/>
      <c r="AH17" s="118"/>
      <c r="AI17" s="163" t="str">
        <f t="shared" si="18"/>
        <v>Lebanon</v>
      </c>
      <c r="AJ17" s="118">
        <v>17</v>
      </c>
      <c r="AK17" s="118">
        <v>20</v>
      </c>
      <c r="AL17" s="118">
        <v>25</v>
      </c>
      <c r="AM17" s="164">
        <f t="shared" si="19"/>
        <v>-0.75798389193482374</v>
      </c>
      <c r="AN17" s="163" t="str">
        <f t="shared" si="20"/>
        <v>Lebanon</v>
      </c>
      <c r="AO17" s="165">
        <f>VLOOKUP(AN17,'Stripped Spread'!$C$18:$E$60,3,FALSE)</f>
        <v>-9.8450847425420679E-2</v>
      </c>
      <c r="AP17" s="118"/>
      <c r="AQ17" s="164">
        <f t="shared" si="21"/>
        <v>3.1349164191337646</v>
      </c>
      <c r="AR17" s="165">
        <f t="shared" si="22"/>
        <v>0.72592173851329689</v>
      </c>
      <c r="AS17" s="165">
        <f t="shared" si="23"/>
        <v>-9.8450847425420679E-2</v>
      </c>
      <c r="BC17" s="167" t="s">
        <v>274</v>
      </c>
      <c r="BD17" s="171">
        <f t="shared" si="24"/>
        <v>-0.57743273917513305</v>
      </c>
      <c r="BE17" s="171">
        <f t="shared" si="25"/>
        <v>0.10189874574336752</v>
      </c>
      <c r="BF17" s="182"/>
      <c r="BG17" s="167" t="s">
        <v>274</v>
      </c>
      <c r="BH17" s="7">
        <f t="shared" si="26"/>
        <v>-1.0787768855484372</v>
      </c>
      <c r="BI17" s="171">
        <f t="shared" si="27"/>
        <v>0.10189874574336752</v>
      </c>
      <c r="BJ17" s="182"/>
      <c r="BK17" s="183" t="s">
        <v>267</v>
      </c>
      <c r="BL17" s="183">
        <f t="shared" si="28"/>
        <v>174</v>
      </c>
      <c r="BM17" s="7">
        <f t="shared" si="38"/>
        <v>1.69980602043318</v>
      </c>
      <c r="BN17" s="7">
        <f t="shared" si="39"/>
        <v>0.60268856279730743</v>
      </c>
      <c r="BP17" s="186" t="s">
        <v>267</v>
      </c>
      <c r="BQ17">
        <f t="shared" si="29"/>
        <v>96</v>
      </c>
      <c r="BR17" s="7">
        <f t="shared" si="30"/>
        <v>0.31588933210475723</v>
      </c>
      <c r="BS17" s="7">
        <f t="shared" si="31"/>
        <v>0.60268856279730743</v>
      </c>
      <c r="BU17" s="187" t="s">
        <v>43</v>
      </c>
      <c r="BV17">
        <f t="shared" si="32"/>
        <v>73</v>
      </c>
      <c r="BW17" s="14">
        <f t="shared" si="33"/>
        <v>-0.13488413692233547</v>
      </c>
      <c r="BX17" s="7">
        <f t="shared" si="40"/>
        <v>0.23579793496626733</v>
      </c>
      <c r="BZ17" s="188" t="s">
        <v>269</v>
      </c>
      <c r="CA17">
        <f t="shared" si="35"/>
        <v>128</v>
      </c>
      <c r="CB17" s="7">
        <f t="shared" si="36"/>
        <v>0.84131815375434471</v>
      </c>
      <c r="CC17" s="7">
        <f t="shared" si="37"/>
        <v>0.59372054444507161</v>
      </c>
    </row>
    <row r="18" spans="1:81" ht="25.5" x14ac:dyDescent="0.2">
      <c r="A18" s="127" t="s">
        <v>274</v>
      </c>
      <c r="B18" s="127" t="s">
        <v>205</v>
      </c>
      <c r="C18" s="127" t="s">
        <v>124</v>
      </c>
      <c r="D18" s="128" t="str">
        <f t="shared" si="1"/>
        <v>Lithuania</v>
      </c>
      <c r="E18" s="147">
        <f>VLOOKUP(D18,DoingBusiness!$A$1:$K$202,3,FALSE)</f>
        <v>87</v>
      </c>
      <c r="F18" s="148">
        <f t="shared" si="2"/>
        <v>-0.13754403605926332</v>
      </c>
      <c r="G18" s="147">
        <f>VLOOKUP(D18,DoingBusiness!$A$1:$K$202,5,FALSE)</f>
        <v>7</v>
      </c>
      <c r="H18" s="148">
        <f t="shared" si="3"/>
        <v>-1.8106846992610233</v>
      </c>
      <c r="I18" s="147">
        <f>VLOOKUP(D18,DoingBusiness!$A$1:$K$202,9,FALSE)</f>
        <v>31</v>
      </c>
      <c r="J18" s="148">
        <f t="shared" si="4"/>
        <v>-1.2395912067273755</v>
      </c>
      <c r="K18" s="147">
        <f>VLOOKUP(D18,DoingBusiness!$A$1:$K$202,10,FALSE)</f>
        <v>17</v>
      </c>
      <c r="L18" s="148">
        <f t="shared" si="5"/>
        <v>-1.4991583679107665</v>
      </c>
      <c r="M18" s="149">
        <f t="shared" si="6"/>
        <v>-4.2076166999066633E-2</v>
      </c>
      <c r="N18" s="149">
        <f t="shared" si="7"/>
        <v>-0.5184999425001976</v>
      </c>
      <c r="O18" s="130"/>
      <c r="P18" s="118" t="s">
        <v>274</v>
      </c>
      <c r="Q18" s="146">
        <f>VLOOKUP(P18,ONDD!$A$5:$H$246,3,FALSE)</f>
        <v>4</v>
      </c>
      <c r="R18" s="149">
        <f t="shared" si="8"/>
        <v>-0.30176412376008049</v>
      </c>
      <c r="S18" s="146">
        <f>VLOOKUP(P18,ONDD!$A$5:$H$246,7,FALSE)</f>
        <v>1</v>
      </c>
      <c r="T18" s="149">
        <f t="shared" si="9"/>
        <v>-1.3296274165638051</v>
      </c>
      <c r="U18" s="146">
        <f>VLOOKUP(P18,ONDD!$A$5:$H$246,8,FALSE)</f>
        <v>2</v>
      </c>
      <c r="V18" s="149">
        <f t="shared" si="10"/>
        <v>-1.4528222781994979</v>
      </c>
      <c r="W18" s="149">
        <f t="shared" si="11"/>
        <v>-0.63537307614023686</v>
      </c>
      <c r="X18" s="149">
        <f t="shared" si="12"/>
        <v>-0.70789287571813353</v>
      </c>
      <c r="Y18" s="130"/>
      <c r="Z18" s="146" t="str">
        <f t="shared" si="13"/>
        <v>Lithuania</v>
      </c>
      <c r="AA18" s="146">
        <f>VLOOKUP(Z18,Coface!$A$2:$G$161,7,FALSE)</f>
        <v>2</v>
      </c>
      <c r="AB18" s="165">
        <f t="shared" si="14"/>
        <v>-1.4125771611889379</v>
      </c>
      <c r="AC18" s="163">
        <f>VLOOKUP(Z18,Coface!$A$2:$G$161,4,FALSE)</f>
        <v>4</v>
      </c>
      <c r="AD18" s="165">
        <f t="shared" si="15"/>
        <v>-0.8955347708024407</v>
      </c>
      <c r="AE18" s="165">
        <f t="shared" si="16"/>
        <v>3.4</v>
      </c>
      <c r="AF18" s="165">
        <f t="shared" si="17"/>
        <v>-1.0787768855484372</v>
      </c>
      <c r="AG18" s="118"/>
      <c r="AH18" s="118"/>
      <c r="AI18" s="163" t="str">
        <f t="shared" si="18"/>
        <v>Lithuania</v>
      </c>
      <c r="AJ18" s="118">
        <v>33</v>
      </c>
      <c r="AK18" s="118">
        <v>36</v>
      </c>
      <c r="AL18" s="118">
        <v>29</v>
      </c>
      <c r="AM18" s="164">
        <f t="shared" si="19"/>
        <v>-0.18117663758442118</v>
      </c>
      <c r="AN18" s="163" t="str">
        <f t="shared" si="20"/>
        <v>Lithuania</v>
      </c>
      <c r="AO18" s="165">
        <f>VLOOKUP(AN18,'Stripped Spread'!$C$18:$E$60,3,FALSE)</f>
        <v>0.10189874574336752</v>
      </c>
      <c r="AP18" s="118"/>
      <c r="AQ18" s="164">
        <f t="shared" si="21"/>
        <v>-0.3843884092889216</v>
      </c>
      <c r="AR18" s="165">
        <f t="shared" si="22"/>
        <v>-0.57743273917513305</v>
      </c>
      <c r="AS18" s="165">
        <f t="shared" si="23"/>
        <v>0.10189874574336752</v>
      </c>
      <c r="BC18" s="167" t="s">
        <v>70</v>
      </c>
      <c r="BD18" s="171">
        <f t="shared" si="24"/>
        <v>1.488046298339526</v>
      </c>
      <c r="BE18" s="171">
        <f t="shared" si="25"/>
        <v>2.1692475485534328</v>
      </c>
      <c r="BF18" s="182"/>
      <c r="BG18" s="167" t="s">
        <v>70</v>
      </c>
      <c r="BH18" s="7">
        <f t="shared" si="26"/>
        <v>1.7949451235278664</v>
      </c>
      <c r="BI18" s="171">
        <f t="shared" si="27"/>
        <v>2.1692475485534328</v>
      </c>
      <c r="BJ18" s="182"/>
      <c r="BK18" s="183" t="s">
        <v>45</v>
      </c>
      <c r="BL18" s="183">
        <f t="shared" si="28"/>
        <v>47</v>
      </c>
      <c r="BM18" s="7">
        <f t="shared" si="38"/>
        <v>-0.98230268272245558</v>
      </c>
      <c r="BN18" s="7">
        <f t="shared" si="39"/>
        <v>0.12883472578450098</v>
      </c>
      <c r="BP18" s="186" t="s">
        <v>269</v>
      </c>
      <c r="BQ18">
        <f t="shared" si="29"/>
        <v>106</v>
      </c>
      <c r="BR18" s="7">
        <f t="shared" si="30"/>
        <v>0.56546329652160832</v>
      </c>
      <c r="BS18" s="7">
        <f>BI34</f>
        <v>0.59372054444507161</v>
      </c>
      <c r="BU18" s="187" t="s">
        <v>2</v>
      </c>
      <c r="BV18">
        <f t="shared" si="32"/>
        <v>47</v>
      </c>
      <c r="BW18" s="14">
        <f t="shared" si="33"/>
        <v>-0.8206079614995716</v>
      </c>
      <c r="BX18" s="7">
        <f t="shared" si="40"/>
        <v>-0.35838987515994025</v>
      </c>
      <c r="BZ18" s="188" t="s">
        <v>45</v>
      </c>
      <c r="CA18">
        <f t="shared" si="35"/>
        <v>36</v>
      </c>
      <c r="CB18" s="7">
        <f t="shared" si="36"/>
        <v>-1.1255302654860064</v>
      </c>
      <c r="CC18" s="7">
        <f t="shared" si="37"/>
        <v>0.12883472578450098</v>
      </c>
    </row>
    <row r="19" spans="1:81" x14ac:dyDescent="0.2">
      <c r="A19" s="127" t="s">
        <v>70</v>
      </c>
      <c r="B19" s="127" t="s">
        <v>207</v>
      </c>
      <c r="C19" s="127" t="s">
        <v>124</v>
      </c>
      <c r="D19" s="128" t="str">
        <f t="shared" si="1"/>
        <v>Pakistan</v>
      </c>
      <c r="E19" s="147">
        <f>VLOOKUP(D19,DoingBusiness!$A$1:$K$202,3,FALSE)</f>
        <v>85</v>
      </c>
      <c r="F19" s="148">
        <f t="shared" si="2"/>
        <v>-0.17978196839242294</v>
      </c>
      <c r="G19" s="147">
        <f>VLOOKUP(D19,DoingBusiness!$A$1:$K$202,5,FALSE)</f>
        <v>126</v>
      </c>
      <c r="H19" s="148">
        <f t="shared" si="3"/>
        <v>1.0139834315861729</v>
      </c>
      <c r="I19" s="147">
        <f>VLOOKUP(D19,DoingBusiness!$A$1:$K$202,9,FALSE)</f>
        <v>81</v>
      </c>
      <c r="J19" s="148">
        <f t="shared" si="4"/>
        <v>-0.13886131004323057</v>
      </c>
      <c r="K19" s="147">
        <f>VLOOKUP(D19,DoingBusiness!$A$1:$K$202,10,FALSE)</f>
        <v>155</v>
      </c>
      <c r="L19" s="148">
        <f t="shared" si="5"/>
        <v>1.5409585635495744</v>
      </c>
      <c r="M19" s="149">
        <f t="shared" si="6"/>
        <v>1.3268877174436484</v>
      </c>
      <c r="N19" s="149">
        <f t="shared" si="7"/>
        <v>0.64306510508177128</v>
      </c>
      <c r="O19" s="130"/>
      <c r="P19" s="118" t="s">
        <v>70</v>
      </c>
      <c r="Q19" s="146">
        <f>VLOOKUP(P19,ONDD!$A$5:$H$246,3,FALSE)</f>
        <v>7</v>
      </c>
      <c r="R19" s="149">
        <f t="shared" si="8"/>
        <v>1.4635560002363905</v>
      </c>
      <c r="S19" s="146">
        <f>VLOOKUP(P19,ONDD!$A$5:$H$246,7,FALSE)</f>
        <v>5</v>
      </c>
      <c r="T19" s="149">
        <f t="shared" si="9"/>
        <v>1.0274393673447584</v>
      </c>
      <c r="U19" s="146">
        <f>VLOOKUP(P19,ONDD!$A$5:$H$246,8,FALSE)</f>
        <v>6</v>
      </c>
      <c r="V19" s="149">
        <f t="shared" si="10"/>
        <v>1.3110835193507668</v>
      </c>
      <c r="W19" s="149">
        <f>((Q$48*R19^2)+Q$49*R19+Q$50)+((S$48*T19^2)+S$49*T19)+(U$48*V19^2)+(U$49*V19+U$50)</f>
        <v>4.168398978064781</v>
      </c>
      <c r="X19" s="149">
        <f t="shared" si="12"/>
        <v>1.5020946781131899</v>
      </c>
      <c r="Y19" s="130"/>
      <c r="Z19" s="146" t="str">
        <f t="shared" si="13"/>
        <v>Pakistan</v>
      </c>
      <c r="AA19" s="146">
        <f>VLOOKUP(Z19,Coface!$A$2:$G$161,7,FALSE)</f>
        <v>12</v>
      </c>
      <c r="AB19" s="165">
        <f t="shared" si="14"/>
        <v>1.1983474495394306</v>
      </c>
      <c r="AC19" s="163">
        <f>VLOOKUP(Z19,Coface!$A$2:$G$161,4,FALSE)</f>
        <v>16</v>
      </c>
      <c r="AD19" s="165">
        <f t="shared" si="15"/>
        <v>1.9362913963296016</v>
      </c>
      <c r="AE19" s="165">
        <f t="shared" si="16"/>
        <v>14.799999999999999</v>
      </c>
      <c r="AF19" s="165">
        <f t="shared" si="17"/>
        <v>1.7949451235278664</v>
      </c>
      <c r="AG19" s="118"/>
      <c r="AH19" s="118"/>
      <c r="AI19" s="163" t="str">
        <f t="shared" si="18"/>
        <v>Pakistan</v>
      </c>
      <c r="AJ19" s="118">
        <v>21</v>
      </c>
      <c r="AK19" s="118">
        <v>24</v>
      </c>
      <c r="AL19" s="118">
        <v>23</v>
      </c>
      <c r="AM19" s="164">
        <f t="shared" si="19"/>
        <v>-1.0463875191100251</v>
      </c>
      <c r="AN19" s="163" t="str">
        <f t="shared" si="20"/>
        <v>Pakistan</v>
      </c>
      <c r="AO19" s="165">
        <f>VLOOKUP(AN19,'Stripped Spread'!$C$18:$E$60,3,FALSE)</f>
        <v>2.1692475485534328</v>
      </c>
      <c r="AP19" s="118"/>
      <c r="AQ19" s="164">
        <f t="shared" si="21"/>
        <v>5.1927975935728927</v>
      </c>
      <c r="AR19" s="165">
        <f t="shared" si="22"/>
        <v>1.488046298339526</v>
      </c>
      <c r="AS19" s="165">
        <f t="shared" si="23"/>
        <v>2.1692475485534328</v>
      </c>
      <c r="BC19" s="167" t="s">
        <v>48</v>
      </c>
      <c r="BD19" s="171">
        <f t="shared" si="24"/>
        <v>-0.92915410369356033</v>
      </c>
      <c r="BE19" s="171">
        <f t="shared" si="25"/>
        <v>-0.36315540465326435</v>
      </c>
      <c r="BF19" s="182"/>
      <c r="BG19" s="167" t="s">
        <v>48</v>
      </c>
      <c r="BH19" s="7">
        <f t="shared" si="26"/>
        <v>-1.2552335001408417</v>
      </c>
      <c r="BI19" s="171">
        <f t="shared" si="27"/>
        <v>-0.36315540465326435</v>
      </c>
      <c r="BJ19" s="182"/>
      <c r="BK19" s="183" t="s">
        <v>272</v>
      </c>
      <c r="BL19" s="183">
        <f t="shared" si="28"/>
        <v>103</v>
      </c>
      <c r="BM19" s="7">
        <f t="shared" si="38"/>
        <v>0.20035942260601358</v>
      </c>
      <c r="BN19" s="7">
        <f t="shared" si="39"/>
        <v>-9.8450847425420679E-2</v>
      </c>
      <c r="BP19" s="186" t="s">
        <v>45</v>
      </c>
      <c r="BQ19">
        <f t="shared" si="29"/>
        <v>28</v>
      </c>
      <c r="BR19" s="7">
        <f t="shared" si="30"/>
        <v>-1.38121362592983</v>
      </c>
      <c r="BS19" s="7">
        <f t="shared" si="31"/>
        <v>0.12883472578450098</v>
      </c>
      <c r="BU19" s="187" t="s">
        <v>269</v>
      </c>
      <c r="BV19">
        <f t="shared" si="32"/>
        <v>104</v>
      </c>
      <c r="BW19" s="14">
        <f t="shared" si="33"/>
        <v>0.6827096539197538</v>
      </c>
      <c r="BX19" s="7">
        <f t="shared" si="40"/>
        <v>0.59372054444507161</v>
      </c>
      <c r="BZ19" s="188" t="s">
        <v>272</v>
      </c>
      <c r="CA19">
        <f t="shared" si="35"/>
        <v>122</v>
      </c>
      <c r="CB19" s="7">
        <f t="shared" si="36"/>
        <v>0.71304543076040872</v>
      </c>
      <c r="CC19" s="7">
        <f t="shared" si="37"/>
        <v>-9.8450847425420679E-2</v>
      </c>
    </row>
    <row r="20" spans="1:81" x14ac:dyDescent="0.2">
      <c r="A20" s="127" t="s">
        <v>48</v>
      </c>
      <c r="B20" s="127" t="s">
        <v>204</v>
      </c>
      <c r="C20" s="127" t="s">
        <v>124</v>
      </c>
      <c r="D20" s="128" t="str">
        <f t="shared" si="1"/>
        <v>Poland</v>
      </c>
      <c r="E20" s="147">
        <f>VLOOKUP(D20,DoingBusiness!$A$1:$K$202,3,FALSE)</f>
        <v>113</v>
      </c>
      <c r="F20" s="148">
        <f t="shared" si="2"/>
        <v>0.41154908427181164</v>
      </c>
      <c r="G20" s="147">
        <f>VLOOKUP(D20,DoingBusiness!$A$1:$K$202,5,FALSE)</f>
        <v>86</v>
      </c>
      <c r="H20" s="148">
        <f t="shared" si="3"/>
        <v>6.4515152309804466E-2</v>
      </c>
      <c r="I20" s="147">
        <f>VLOOKUP(D20,DoingBusiness!$A$1:$K$202,9,FALSE)</f>
        <v>49</v>
      </c>
      <c r="J20" s="148">
        <f t="shared" si="4"/>
        <v>-0.8433284439210833</v>
      </c>
      <c r="K20" s="147">
        <f>VLOOKUP(D20,DoingBusiness!$A$1:$K$202,10,FALSE)</f>
        <v>77</v>
      </c>
      <c r="L20" s="148">
        <f t="shared" si="5"/>
        <v>-0.17736839771061833</v>
      </c>
      <c r="M20" s="149">
        <f t="shared" si="6"/>
        <v>-0.49683275185798736</v>
      </c>
      <c r="N20" s="149">
        <f t="shared" si="7"/>
        <v>-0.904360636221055</v>
      </c>
      <c r="O20" s="130"/>
      <c r="P20" s="118" t="s">
        <v>48</v>
      </c>
      <c r="Q20" s="146">
        <f>VLOOKUP(P20,ONDD!$A$5:$H$246,3,FALSE)</f>
        <v>2</v>
      </c>
      <c r="R20" s="149">
        <f t="shared" si="8"/>
        <v>-1.4786442064243945</v>
      </c>
      <c r="S20" s="146">
        <f>VLOOKUP(P20,ONDD!$A$5:$H$246,7,FALSE)</f>
        <v>1</v>
      </c>
      <c r="T20" s="149">
        <f t="shared" si="9"/>
        <v>-1.3296274165638051</v>
      </c>
      <c r="U20" s="146">
        <f>VLOOKUP(P20,ONDD!$A$5:$H$246,8,FALSE)</f>
        <v>2</v>
      </c>
      <c r="V20" s="149">
        <f t="shared" si="10"/>
        <v>-1.4528222781994979</v>
      </c>
      <c r="W20" s="149">
        <f t="shared" si="11"/>
        <v>-0.81071392336743142</v>
      </c>
      <c r="X20" s="149">
        <f t="shared" si="12"/>
        <v>-0.78855887853380369</v>
      </c>
      <c r="Y20" s="130"/>
      <c r="Z20" s="146" t="str">
        <f t="shared" si="13"/>
        <v>Poland</v>
      </c>
      <c r="AA20" s="146">
        <f>VLOOKUP(Z20,Coface!$A$2:$G$161,7,FALSE)</f>
        <v>2</v>
      </c>
      <c r="AB20" s="165">
        <f t="shared" si="14"/>
        <v>-1.4125771611889379</v>
      </c>
      <c r="AC20" s="163">
        <f>VLOOKUP(Z20,Coface!$A$2:$G$161,4,FALSE)</f>
        <v>3</v>
      </c>
      <c r="AD20" s="165">
        <f t="shared" si="15"/>
        <v>-1.1315202847301109</v>
      </c>
      <c r="AE20" s="165">
        <f t="shared" si="16"/>
        <v>2.6999999999999997</v>
      </c>
      <c r="AF20" s="165">
        <f t="shared" si="17"/>
        <v>-1.2552335001408417</v>
      </c>
      <c r="AG20" s="118"/>
      <c r="AH20" s="118"/>
      <c r="AI20" s="163" t="str">
        <f t="shared" si="18"/>
        <v>Poland</v>
      </c>
      <c r="AJ20" s="118">
        <v>34</v>
      </c>
      <c r="AK20" s="118">
        <v>34</v>
      </c>
      <c r="AL20" s="118">
        <v>36</v>
      </c>
      <c r="AM20" s="164">
        <f t="shared" si="19"/>
        <v>0.82823605752878338</v>
      </c>
      <c r="AN20" s="163" t="str">
        <f t="shared" si="20"/>
        <v>Poland</v>
      </c>
      <c r="AO20" s="165">
        <f>VLOOKUP(AN20,'Stripped Spread'!$C$18:$E$60,3,FALSE)</f>
        <v>-0.36315540465326435</v>
      </c>
      <c r="AP20" s="118"/>
      <c r="AQ20" s="164">
        <f>((M$48*N20^2)+M$49*N20+M$50)+((W$48*X20^2)+W$49*X20+W$50)+((AE$48*AF20^2)+AE$49*AF20+AE$50)+((AL$48*AM20^2)+AL$49*AM20+AL$50)</f>
        <v>-1.3341029478881583</v>
      </c>
      <c r="AR20" s="165">
        <f t="shared" si="22"/>
        <v>-0.92915410369356033</v>
      </c>
      <c r="AS20" s="165">
        <f t="shared" si="23"/>
        <v>-0.36315540465326435</v>
      </c>
      <c r="BC20" s="167" t="s">
        <v>13</v>
      </c>
      <c r="BD20" s="171">
        <f t="shared" si="24"/>
        <v>-0.31498274610456278</v>
      </c>
      <c r="BE20" s="171">
        <f t="shared" si="25"/>
        <v>-0.16466036285246269</v>
      </c>
      <c r="BF20" s="182"/>
      <c r="BG20" s="167" t="s">
        <v>345</v>
      </c>
      <c r="BH20" s="7">
        <f t="shared" si="26"/>
        <v>8.0795153201650399E-2</v>
      </c>
      <c r="BI20" s="171">
        <f t="shared" si="27"/>
        <v>-0.16466036285246269</v>
      </c>
      <c r="BJ20" s="182"/>
      <c r="BK20" s="183" t="s">
        <v>274</v>
      </c>
      <c r="BL20" s="183">
        <f t="shared" si="28"/>
        <v>87</v>
      </c>
      <c r="BM20" s="7">
        <f t="shared" si="38"/>
        <v>-0.13754403605926332</v>
      </c>
      <c r="BN20" s="7">
        <f t="shared" si="39"/>
        <v>0.10189874574336752</v>
      </c>
      <c r="BP20" s="186" t="s">
        <v>272</v>
      </c>
      <c r="BQ20">
        <f t="shared" si="29"/>
        <v>111</v>
      </c>
      <c r="BR20" s="7">
        <f t="shared" si="30"/>
        <v>0.69025027873003386</v>
      </c>
      <c r="BS20" s="7">
        <f t="shared" si="31"/>
        <v>-9.8450847425420679E-2</v>
      </c>
      <c r="BU20" s="187" t="s">
        <v>272</v>
      </c>
      <c r="BV20">
        <f t="shared" si="32"/>
        <v>95</v>
      </c>
      <c r="BW20" s="14">
        <f t="shared" si="33"/>
        <v>0.44534371464301825</v>
      </c>
      <c r="BX20" s="7">
        <f t="shared" si="40"/>
        <v>-9.8450847425420679E-2</v>
      </c>
      <c r="BZ20" s="188" t="s">
        <v>274</v>
      </c>
      <c r="CA20">
        <f t="shared" si="35"/>
        <v>17</v>
      </c>
      <c r="CB20" s="7">
        <f t="shared" si="36"/>
        <v>-1.5317272216334703</v>
      </c>
      <c r="CC20" s="7">
        <f t="shared" si="37"/>
        <v>0.10189874574336752</v>
      </c>
    </row>
    <row r="21" spans="1:81" ht="38.25" x14ac:dyDescent="0.2">
      <c r="A21" s="127" t="s">
        <v>345</v>
      </c>
      <c r="B21" s="127" t="s">
        <v>205</v>
      </c>
      <c r="C21" s="127" t="s">
        <v>124</v>
      </c>
      <c r="D21" s="128" t="str">
        <f t="shared" si="1"/>
        <v>Russian Federation</v>
      </c>
      <c r="E21" s="147">
        <f>VLOOKUP(D21,DoingBusiness!$A$1:$K$202,3,FALSE)</f>
        <v>108</v>
      </c>
      <c r="F21" s="148">
        <f t="shared" si="2"/>
        <v>0.30595425343891264</v>
      </c>
      <c r="G21" s="147">
        <f>VLOOKUP(D21,DoingBusiness!$A$1:$K$202,5,FALSE)</f>
        <v>51</v>
      </c>
      <c r="H21" s="148">
        <f t="shared" si="3"/>
        <v>-0.76626959205701795</v>
      </c>
      <c r="I21" s="147">
        <f>VLOOKUP(D21,DoingBusiness!$A$1:$K$202,9,FALSE)</f>
        <v>162</v>
      </c>
      <c r="J21" s="148">
        <f t="shared" si="4"/>
        <v>1.6443211225850842</v>
      </c>
      <c r="K21" s="147">
        <f>VLOOKUP(D21,DoingBusiness!$A$1:$K$202,10,FALSE)</f>
        <v>18</v>
      </c>
      <c r="L21" s="148">
        <f t="shared" si="5"/>
        <v>-1.4771285350740975</v>
      </c>
      <c r="M21" s="149">
        <f t="shared" si="6"/>
        <v>1.4042692739663818</v>
      </c>
      <c r="N21" s="149">
        <f t="shared" si="7"/>
        <v>0.7087233100978122</v>
      </c>
      <c r="O21" s="130"/>
      <c r="P21" s="139" t="s">
        <v>13</v>
      </c>
      <c r="Q21" s="146">
        <f>VLOOKUP(P21,ONDD!$A$5:$H$246,3,FALSE)</f>
        <v>3</v>
      </c>
      <c r="R21" s="149">
        <f t="shared" si="8"/>
        <v>-0.89020416509223754</v>
      </c>
      <c r="S21" s="146">
        <f>VLOOKUP(P21,ONDD!$A$5:$H$246,7,FALSE)</f>
        <v>4</v>
      </c>
      <c r="T21" s="149">
        <f t="shared" si="9"/>
        <v>0.43817267136761756</v>
      </c>
      <c r="U21" s="146">
        <f>VLOOKUP(P21,ONDD!$A$5:$H$246,8,FALSE)</f>
        <v>3</v>
      </c>
      <c r="V21" s="149">
        <f t="shared" si="10"/>
        <v>-0.76184582881193175</v>
      </c>
      <c r="W21" s="149">
        <f t="shared" si="11"/>
        <v>-0.52547718923524256</v>
      </c>
      <c r="X21" s="149">
        <f t="shared" si="12"/>
        <v>-0.65733499338383439</v>
      </c>
      <c r="Y21" s="130"/>
      <c r="Z21" s="146" t="str">
        <f t="shared" si="13"/>
        <v>Russian Federation</v>
      </c>
      <c r="AA21" s="146">
        <f>VLOOKUP(Z21,Coface!$A$2:$G$161,7,FALSE)</f>
        <v>8</v>
      </c>
      <c r="AB21" s="165">
        <f t="shared" si="14"/>
        <v>0.15397760524808318</v>
      </c>
      <c r="AC21" s="163">
        <f>VLOOKUP(Z21,Coface!$A$2:$G$161,4,FALSE)</f>
        <v>8</v>
      </c>
      <c r="AD21" s="165">
        <f t="shared" si="15"/>
        <v>4.8407284908240082E-2</v>
      </c>
      <c r="AE21" s="165">
        <f t="shared" si="16"/>
        <v>8</v>
      </c>
      <c r="AF21" s="165">
        <f t="shared" si="17"/>
        <v>8.0795153201650399E-2</v>
      </c>
      <c r="AG21" s="118"/>
      <c r="AH21" s="118"/>
      <c r="AI21" s="163" t="str">
        <f t="shared" si="18"/>
        <v>Russian Federation</v>
      </c>
      <c r="AJ21" s="118">
        <v>36</v>
      </c>
      <c r="AK21" s="118">
        <v>33</v>
      </c>
      <c r="AL21" s="118">
        <v>34</v>
      </c>
      <c r="AM21" s="164">
        <f t="shared" si="19"/>
        <v>0.53983243035358208</v>
      </c>
      <c r="AN21" s="163" t="s">
        <v>13</v>
      </c>
      <c r="AO21" s="165">
        <f>VLOOKUP(AN21,'Stripped Spread'!$C$18:$E$60,3,FALSE)</f>
        <v>-0.16466036285246269</v>
      </c>
      <c r="AP21" s="118"/>
      <c r="AQ21" s="164">
        <f t="shared" si="21"/>
        <v>0.32427645790122839</v>
      </c>
      <c r="AR21" s="165">
        <f t="shared" si="22"/>
        <v>-0.31498274610456278</v>
      </c>
      <c r="AS21" s="165">
        <f t="shared" si="23"/>
        <v>-0.16466036285246269</v>
      </c>
      <c r="BC21" s="167" t="s">
        <v>284</v>
      </c>
      <c r="BD21" s="171">
        <f t="shared" si="24"/>
        <v>0.34679087718548746</v>
      </c>
      <c r="BE21" s="171">
        <f t="shared" si="25"/>
        <v>0.49002529275994527</v>
      </c>
      <c r="BF21" s="182"/>
      <c r="BG21" s="167" t="s">
        <v>284</v>
      </c>
      <c r="BH21" s="7">
        <f t="shared" si="26"/>
        <v>1.0891186651582478</v>
      </c>
      <c r="BI21" s="171">
        <f t="shared" si="27"/>
        <v>0.49002529275994527</v>
      </c>
      <c r="BJ21" s="182"/>
      <c r="BK21" s="183" t="s">
        <v>3</v>
      </c>
      <c r="BL21" s="183">
        <f t="shared" si="28"/>
        <v>113</v>
      </c>
      <c r="BM21" s="7">
        <f t="shared" si="38"/>
        <v>0.41154908427181164</v>
      </c>
      <c r="BN21" s="7">
        <f t="shared" si="39"/>
        <v>-0.61809672118954739</v>
      </c>
      <c r="BP21" s="186" t="s">
        <v>274</v>
      </c>
      <c r="BQ21">
        <f t="shared" si="29"/>
        <v>7</v>
      </c>
      <c r="BR21" s="7">
        <f t="shared" si="30"/>
        <v>-1.9053189512052173</v>
      </c>
      <c r="BS21" s="7">
        <f t="shared" si="31"/>
        <v>0.10189874574336752</v>
      </c>
      <c r="BU21" s="187" t="s">
        <v>274</v>
      </c>
      <c r="BV21">
        <f t="shared" si="32"/>
        <v>31</v>
      </c>
      <c r="BW21" s="14">
        <f t="shared" si="33"/>
        <v>-1.2425918535471017</v>
      </c>
      <c r="BX21" s="7">
        <f t="shared" si="40"/>
        <v>0.10189874574336752</v>
      </c>
      <c r="BZ21" s="188" t="s">
        <v>3</v>
      </c>
      <c r="CA21">
        <f t="shared" si="35"/>
        <v>59</v>
      </c>
      <c r="CB21" s="7">
        <f t="shared" si="36"/>
        <v>-0.63381816067591867</v>
      </c>
      <c r="CC21" s="7">
        <f t="shared" si="37"/>
        <v>-0.61809672118954739</v>
      </c>
    </row>
    <row r="22" spans="1:81" x14ac:dyDescent="0.2">
      <c r="A22" s="127" t="s">
        <v>284</v>
      </c>
      <c r="B22" s="127" t="s">
        <v>206</v>
      </c>
      <c r="C22" s="127" t="s">
        <v>124</v>
      </c>
      <c r="D22" s="128" t="str">
        <f t="shared" si="1"/>
        <v>Serbia</v>
      </c>
      <c r="E22" s="147">
        <f>VLOOKUP(D22,DoingBusiness!$A$1:$K$202,3,FALSE)</f>
        <v>83</v>
      </c>
      <c r="F22" s="148">
        <f t="shared" si="2"/>
        <v>-0.22201990072558256</v>
      </c>
      <c r="G22" s="147">
        <f>VLOOKUP(D22,DoingBusiness!$A$1:$K$202,5,FALSE)</f>
        <v>100</v>
      </c>
      <c r="H22" s="148">
        <f t="shared" si="3"/>
        <v>0.39682905005653341</v>
      </c>
      <c r="I22" s="147">
        <f>VLOOKUP(D22,DoingBusiness!$A$1:$K$202,9,FALSE)</f>
        <v>74</v>
      </c>
      <c r="J22" s="148">
        <f t="shared" si="4"/>
        <v>-0.29296349557901086</v>
      </c>
      <c r="K22" s="147">
        <f>VLOOKUP(D22,DoingBusiness!$A$1:$K$202,10,FALSE)</f>
        <v>94</v>
      </c>
      <c r="L22" s="148">
        <f t="shared" si="5"/>
        <v>0.197138760512757</v>
      </c>
      <c r="M22" s="149">
        <f t="shared" si="6"/>
        <v>-0.40412543351065539</v>
      </c>
      <c r="N22" s="149">
        <f t="shared" si="7"/>
        <v>-0.82569853134664295</v>
      </c>
      <c r="O22" s="130"/>
      <c r="P22" s="118" t="s">
        <v>284</v>
      </c>
      <c r="Q22" s="146">
        <f>VLOOKUP(P22,ONDD!$A$5:$H$246,3,FALSE)</f>
        <v>6</v>
      </c>
      <c r="R22" s="149">
        <f t="shared" si="8"/>
        <v>0.87511595890423355</v>
      </c>
      <c r="S22" s="146">
        <f>VLOOKUP(P22,ONDD!$A$5:$H$246,7,FALSE)</f>
        <v>4</v>
      </c>
      <c r="T22" s="149">
        <f t="shared" si="9"/>
        <v>0.43817267136761756</v>
      </c>
      <c r="U22" s="146">
        <f>VLOOKUP(P22,ONDD!$A$5:$H$246,8,FALSE)</f>
        <v>6</v>
      </c>
      <c r="V22" s="149">
        <f t="shared" si="10"/>
        <v>1.3110835193507668</v>
      </c>
      <c r="W22" s="149">
        <f t="shared" si="11"/>
        <v>2.7572809432930789</v>
      </c>
      <c r="X22" s="149">
        <f t="shared" si="12"/>
        <v>0.85290623647959296</v>
      </c>
      <c r="Y22" s="130"/>
      <c r="Z22" s="146" t="str">
        <f t="shared" si="13"/>
        <v>Serbia</v>
      </c>
      <c r="AA22" s="146">
        <f>VLOOKUP(Z22,Coface!$A$2:$G$161,7,FALSE)</f>
        <v>12</v>
      </c>
      <c r="AB22" s="165">
        <f t="shared" si="14"/>
        <v>1.1983474495394306</v>
      </c>
      <c r="AC22" s="163">
        <f>VLOOKUP(Z22,Coface!$A$2:$G$161,4,FALSE)</f>
        <v>12</v>
      </c>
      <c r="AD22" s="165">
        <f t="shared" si="15"/>
        <v>0.99234934061892088</v>
      </c>
      <c r="AE22" s="165">
        <f t="shared" si="16"/>
        <v>11.999999999999998</v>
      </c>
      <c r="AF22" s="165">
        <f t="shared" si="17"/>
        <v>1.0891186651582478</v>
      </c>
      <c r="AG22" s="118"/>
      <c r="AH22" s="118"/>
      <c r="AI22" s="163" t="str">
        <f t="shared" si="18"/>
        <v>Serbia</v>
      </c>
      <c r="AJ22" s="118">
        <v>23</v>
      </c>
      <c r="AK22" s="118">
        <v>29</v>
      </c>
      <c r="AL22" s="118">
        <v>30</v>
      </c>
      <c r="AM22" s="164">
        <f t="shared" si="19"/>
        <v>-3.6974823996820547E-2</v>
      </c>
      <c r="AN22" s="163" t="str">
        <f t="shared" si="20"/>
        <v>Serbia</v>
      </c>
      <c r="AO22" s="165">
        <f>VLOOKUP(AN22,'Stripped Spread'!$C$18:$E$60,3,FALSE)</f>
        <v>0.49002529275994527</v>
      </c>
      <c r="AP22" s="118"/>
      <c r="AQ22" s="164">
        <f t="shared" si="21"/>
        <v>2.11119102921419</v>
      </c>
      <c r="AR22" s="165">
        <f t="shared" si="22"/>
        <v>0.34679087718548746</v>
      </c>
      <c r="AS22" s="165">
        <f t="shared" si="23"/>
        <v>0.49002529275994527</v>
      </c>
      <c r="BC22" s="167" t="s">
        <v>23</v>
      </c>
      <c r="BD22" s="171">
        <f t="shared" si="24"/>
        <v>-0.69417935048935897</v>
      </c>
      <c r="BE22" s="171">
        <f t="shared" si="25"/>
        <v>-0.49266345738201095</v>
      </c>
      <c r="BF22" s="182"/>
      <c r="BG22" s="167" t="s">
        <v>23</v>
      </c>
      <c r="BH22" s="7">
        <f t="shared" si="26"/>
        <v>-1.1796092367440971</v>
      </c>
      <c r="BI22" s="171">
        <f t="shared" si="27"/>
        <v>-0.49266345738201095</v>
      </c>
      <c r="BJ22" s="182"/>
      <c r="BK22" s="183" t="s">
        <v>11</v>
      </c>
      <c r="BL22" s="183">
        <f t="shared" si="28"/>
        <v>67</v>
      </c>
      <c r="BM22" s="7">
        <f t="shared" si="38"/>
        <v>-0.55992335939085947</v>
      </c>
      <c r="BN22" s="7">
        <f t="shared" si="39"/>
        <v>-0.48422075013713889</v>
      </c>
      <c r="BP22" s="186" t="s">
        <v>3</v>
      </c>
      <c r="BQ22">
        <f t="shared" si="29"/>
        <v>60</v>
      </c>
      <c r="BR22" s="7">
        <f t="shared" si="30"/>
        <v>-0.58257693979590663</v>
      </c>
      <c r="BS22" s="7">
        <f t="shared" si="31"/>
        <v>-0.61809672118954739</v>
      </c>
      <c r="BU22" s="187" t="s">
        <v>3</v>
      </c>
      <c r="BV22">
        <f t="shared" si="32"/>
        <v>37</v>
      </c>
      <c r="BW22" s="14">
        <f t="shared" si="33"/>
        <v>-1.0843478940292779</v>
      </c>
      <c r="BX22" s="7">
        <f t="shared" si="40"/>
        <v>-0.61809672118954739</v>
      </c>
      <c r="BZ22" s="188" t="s">
        <v>11</v>
      </c>
      <c r="CA22">
        <f t="shared" si="35"/>
        <v>81</v>
      </c>
      <c r="CB22" s="7">
        <f t="shared" si="36"/>
        <v>-0.16348484303148686</v>
      </c>
      <c r="CC22" s="7">
        <f t="shared" si="37"/>
        <v>-0.48422075013713889</v>
      </c>
    </row>
    <row r="23" spans="1:81" ht="25.5" x14ac:dyDescent="0.2">
      <c r="A23" s="127" t="s">
        <v>23</v>
      </c>
      <c r="B23" s="127" t="s">
        <v>205</v>
      </c>
      <c r="C23" s="127" t="s">
        <v>124</v>
      </c>
      <c r="D23" s="128" t="str">
        <f t="shared" si="1"/>
        <v>South Africa</v>
      </c>
      <c r="E23" s="147">
        <f>VLOOKUP(D23,DoingBusiness!$A$1:$K$202,3,FALSE)</f>
        <v>75</v>
      </c>
      <c r="F23" s="148">
        <f t="shared" si="2"/>
        <v>-0.390971630058221</v>
      </c>
      <c r="G23" s="147">
        <f>VLOOKUP(D23,DoingBusiness!$A$1:$K$202,5,FALSE)</f>
        <v>91</v>
      </c>
      <c r="H23" s="148">
        <f t="shared" si="3"/>
        <v>0.18319868721935054</v>
      </c>
      <c r="I23" s="147">
        <f>VLOOKUP(D23,DoingBusiness!$A$1:$K$202,9,FALSE)</f>
        <v>149</v>
      </c>
      <c r="J23" s="148">
        <f t="shared" si="4"/>
        <v>1.3581313494472065</v>
      </c>
      <c r="K23" s="147">
        <f>VLOOKUP(D23,DoingBusiness!$A$1:$K$202,10,FALSE)</f>
        <v>85</v>
      </c>
      <c r="L23" s="148">
        <f t="shared" si="5"/>
        <v>-1.1297350172652365E-3</v>
      </c>
      <c r="M23" s="149">
        <f t="shared" si="6"/>
        <v>0.4701543702989428</v>
      </c>
      <c r="N23" s="149">
        <f t="shared" si="7"/>
        <v>-8.387263407291129E-2</v>
      </c>
      <c r="O23" s="130"/>
      <c r="P23" s="118" t="s">
        <v>23</v>
      </c>
      <c r="Q23" s="146">
        <f>VLOOKUP(P23,ONDD!$A$5:$H$246,3,FALSE)</f>
        <v>3</v>
      </c>
      <c r="R23" s="149">
        <f t="shared" si="8"/>
        <v>-0.89020416509223754</v>
      </c>
      <c r="S23" s="146">
        <f>VLOOKUP(P23,ONDD!$A$5:$H$246,7,FALSE)</f>
        <v>3</v>
      </c>
      <c r="T23" s="149">
        <f t="shared" si="9"/>
        <v>-0.15109402460952329</v>
      </c>
      <c r="U23" s="146">
        <f>VLOOKUP(P23,ONDD!$A$5:$H$246,8,FALSE)</f>
        <v>3</v>
      </c>
      <c r="V23" s="149">
        <f t="shared" si="10"/>
        <v>-0.76184582881193175</v>
      </c>
      <c r="W23" s="149">
        <f t="shared" si="11"/>
        <v>-0.85310258565029184</v>
      </c>
      <c r="X23" s="149">
        <f t="shared" si="12"/>
        <v>-0.80805989044936255</v>
      </c>
      <c r="Y23" s="130"/>
      <c r="Z23" s="146" t="str">
        <f t="shared" si="13"/>
        <v>South Africa</v>
      </c>
      <c r="AA23" s="146">
        <f>VLOOKUP(Z23,Coface!$A$2:$G$161,7,FALSE)</f>
        <v>3</v>
      </c>
      <c r="AB23" s="165">
        <f t="shared" si="14"/>
        <v>-1.151484700116101</v>
      </c>
      <c r="AC23" s="163">
        <f>VLOOKUP(Z23,Coface!$A$2:$G$161,4,FALSE)</f>
        <v>3</v>
      </c>
      <c r="AD23" s="165">
        <f t="shared" si="15"/>
        <v>-1.1315202847301109</v>
      </c>
      <c r="AE23" s="165">
        <f t="shared" si="16"/>
        <v>2.9999999999999996</v>
      </c>
      <c r="AF23" s="165">
        <f t="shared" si="17"/>
        <v>-1.1796092367440971</v>
      </c>
      <c r="AG23" s="118"/>
      <c r="AH23" s="118"/>
      <c r="AI23" s="163" t="str">
        <f t="shared" si="18"/>
        <v>South Africa</v>
      </c>
      <c r="AJ23" s="118">
        <v>35</v>
      </c>
      <c r="AK23" s="118">
        <v>32</v>
      </c>
      <c r="AL23" s="118">
        <v>33</v>
      </c>
      <c r="AM23" s="164">
        <f t="shared" si="19"/>
        <v>0.39563061676598138</v>
      </c>
      <c r="AN23" s="163" t="str">
        <f t="shared" si="20"/>
        <v>South Africa</v>
      </c>
      <c r="AO23" s="165">
        <f>VLOOKUP(AN23,'Stripped Spread'!$C$18:$E$60,3,FALSE)</f>
        <v>-0.49266345738201095</v>
      </c>
      <c r="AP23" s="118"/>
      <c r="AQ23" s="164">
        <f t="shared" si="21"/>
        <v>-0.69962645076850194</v>
      </c>
      <c r="AR23" s="165">
        <f t="shared" si="22"/>
        <v>-0.69417935048935897</v>
      </c>
      <c r="AS23" s="165">
        <f t="shared" si="23"/>
        <v>-0.49266345738201095</v>
      </c>
      <c r="BC23" s="167" t="s">
        <v>346</v>
      </c>
      <c r="BD23" s="171">
        <f t="shared" si="24"/>
        <v>-0.87625741306875249</v>
      </c>
      <c r="BE23" s="171">
        <f t="shared" si="25"/>
        <v>-0.75252764608080247</v>
      </c>
      <c r="BF23" s="182"/>
      <c r="BG23" s="167" t="s">
        <v>346</v>
      </c>
      <c r="BH23" s="7">
        <f t="shared" si="26"/>
        <v>-0.92752835875494744</v>
      </c>
      <c r="BI23" s="171">
        <f t="shared" si="27"/>
        <v>-0.75252764608080247</v>
      </c>
      <c r="BJ23" s="182"/>
      <c r="BK23" s="183" t="s">
        <v>71</v>
      </c>
      <c r="BL23" s="183">
        <f t="shared" si="28"/>
        <v>23</v>
      </c>
      <c r="BM23" s="7">
        <f t="shared" si="38"/>
        <v>-1.489157870720371</v>
      </c>
      <c r="BN23" s="7">
        <f t="shared" si="39"/>
        <v>-0.55505648603455771</v>
      </c>
      <c r="BP23" s="186" t="s">
        <v>11</v>
      </c>
      <c r="BQ23">
        <f t="shared" si="29"/>
        <v>105</v>
      </c>
      <c r="BR23" s="7">
        <f t="shared" si="30"/>
        <v>0.54050590007992316</v>
      </c>
      <c r="BS23" s="7">
        <f t="shared" si="31"/>
        <v>-0.48422075013713889</v>
      </c>
      <c r="BU23" s="187" t="s">
        <v>11</v>
      </c>
      <c r="BV23">
        <f t="shared" si="32"/>
        <v>58</v>
      </c>
      <c r="BW23" s="14">
        <f t="shared" si="33"/>
        <v>-0.5304940357168948</v>
      </c>
      <c r="BX23" s="7">
        <f t="shared" si="40"/>
        <v>-0.48422075013713889</v>
      </c>
      <c r="BZ23" s="188" t="s">
        <v>70</v>
      </c>
      <c r="CA23">
        <f t="shared" si="35"/>
        <v>155</v>
      </c>
      <c r="CB23" s="7">
        <f t="shared" si="36"/>
        <v>1.4185454072270565</v>
      </c>
      <c r="CC23" s="7">
        <f t="shared" si="37"/>
        <v>2.1692475485534328</v>
      </c>
    </row>
    <row r="24" spans="1:81" x14ac:dyDescent="0.2">
      <c r="A24" s="127" t="s">
        <v>346</v>
      </c>
      <c r="B24" s="127" t="s">
        <v>205</v>
      </c>
      <c r="C24" s="127" t="s">
        <v>124</v>
      </c>
      <c r="D24" s="128" t="str">
        <f t="shared" si="1"/>
        <v>Tunisia</v>
      </c>
      <c r="E24" s="147">
        <f>VLOOKUP(D24,DoingBusiness!$A$1:$K$202,3,FALSE)</f>
        <v>48</v>
      </c>
      <c r="F24" s="148">
        <f t="shared" si="2"/>
        <v>-0.96118371655587576</v>
      </c>
      <c r="G24" s="147">
        <f>VLOOKUP(D24,DoingBusiness!$A$1:$K$202,5,FALSE)</f>
        <v>64</v>
      </c>
      <c r="H24" s="148">
        <f t="shared" si="3"/>
        <v>-0.45769240129219818</v>
      </c>
      <c r="I24" s="147">
        <f>VLOOKUP(D24,DoingBusiness!$A$1:$K$202,9,FALSE)</f>
        <v>30</v>
      </c>
      <c r="J24" s="148">
        <f t="shared" si="4"/>
        <v>-1.2616058046610585</v>
      </c>
      <c r="K24" s="147">
        <f>VLOOKUP(D24,DoingBusiness!$A$1:$K$202,10,FALSE)</f>
        <v>78</v>
      </c>
      <c r="L24" s="148">
        <f t="shared" si="5"/>
        <v>-0.1553385648739492</v>
      </c>
      <c r="M24" s="149">
        <f t="shared" si="6"/>
        <v>-1.0962737061673009</v>
      </c>
      <c r="N24" s="149">
        <f t="shared" si="7"/>
        <v>-1.412985931985032</v>
      </c>
      <c r="O24" s="130"/>
      <c r="P24" s="118" t="s">
        <v>346</v>
      </c>
      <c r="Q24" s="146">
        <f>VLOOKUP(P24,ONDD!$A$5:$H$246,3,FALSE)</f>
        <v>3</v>
      </c>
      <c r="R24" s="149">
        <f t="shared" si="8"/>
        <v>-0.89020416509223754</v>
      </c>
      <c r="S24" s="146">
        <f>VLOOKUP(P24,ONDD!$A$5:$H$246,7,FALSE)</f>
        <v>4</v>
      </c>
      <c r="T24" s="149">
        <f t="shared" si="9"/>
        <v>0.43817267136761756</v>
      </c>
      <c r="U24" s="146">
        <f>VLOOKUP(P24,ONDD!$A$5:$H$246,8,FALSE)</f>
        <v>3</v>
      </c>
      <c r="V24" s="149">
        <f t="shared" si="10"/>
        <v>-0.76184582881193175</v>
      </c>
      <c r="W24" s="149">
        <f t="shared" si="11"/>
        <v>-0.52547718923524256</v>
      </c>
      <c r="X24" s="149">
        <f t="shared" si="12"/>
        <v>-0.65733499338383439</v>
      </c>
      <c r="Y24" s="130"/>
      <c r="Z24" s="146" t="str">
        <f t="shared" si="13"/>
        <v>Tunisia</v>
      </c>
      <c r="AA24" s="146">
        <f>VLOOKUP(Z24,Coface!$A$2:$G$161,7,FALSE)</f>
        <v>4</v>
      </c>
      <c r="AB24" s="165">
        <f t="shared" si="14"/>
        <v>-0.89039223904326426</v>
      </c>
      <c r="AC24" s="163">
        <f>VLOOKUP(Z24,Coface!$A$2:$G$161,4,FALSE)</f>
        <v>4</v>
      </c>
      <c r="AD24" s="165">
        <f t="shared" si="15"/>
        <v>-0.8955347708024407</v>
      </c>
      <c r="AE24" s="165">
        <f t="shared" si="16"/>
        <v>4</v>
      </c>
      <c r="AF24" s="165">
        <f t="shared" si="17"/>
        <v>-0.92752835875494744</v>
      </c>
      <c r="AG24" s="118"/>
      <c r="AH24" s="118"/>
      <c r="AI24" s="163" t="str">
        <f t="shared" si="18"/>
        <v>Tunisia</v>
      </c>
      <c r="AJ24" s="118">
        <v>33</v>
      </c>
      <c r="AK24" s="118">
        <v>33</v>
      </c>
      <c r="AL24" s="118">
        <v>35</v>
      </c>
      <c r="AM24" s="164">
        <f t="shared" si="19"/>
        <v>0.68403424394118273</v>
      </c>
      <c r="AN24" s="163" t="str">
        <f t="shared" si="20"/>
        <v>Tunisia</v>
      </c>
      <c r="AO24" s="171">
        <v>-0.75252764608080247</v>
      </c>
      <c r="AP24" s="118"/>
      <c r="AQ24" s="164">
        <f t="shared" si="21"/>
        <v>-1.1912718287181603</v>
      </c>
      <c r="AR24" s="165">
        <f t="shared" si="22"/>
        <v>-0.87625741306875249</v>
      </c>
      <c r="AS24" s="165">
        <f t="shared" si="23"/>
        <v>-0.75252764608080247</v>
      </c>
      <c r="BC24" s="167" t="s">
        <v>14</v>
      </c>
      <c r="BD24" s="171">
        <f t="shared" si="24"/>
        <v>-0.67427991174671464</v>
      </c>
      <c r="BE24" s="171">
        <f t="shared" si="25"/>
        <v>-0.24455989205539388</v>
      </c>
      <c r="BF24" s="182"/>
      <c r="BG24" s="167" t="s">
        <v>14</v>
      </c>
      <c r="BH24" s="7">
        <f t="shared" si="26"/>
        <v>-0.92752835875494744</v>
      </c>
      <c r="BI24" s="171">
        <f t="shared" si="27"/>
        <v>-0.24455989205539388</v>
      </c>
      <c r="BJ24" s="182"/>
      <c r="BK24" s="183" t="s">
        <v>47</v>
      </c>
      <c r="BL24" s="183">
        <f t="shared" si="28"/>
        <v>54</v>
      </c>
      <c r="BM24" s="7">
        <f t="shared" si="38"/>
        <v>-0.83446991955639693</v>
      </c>
      <c r="BN24" s="7">
        <f t="shared" si="39"/>
        <v>-0.50718932529558414</v>
      </c>
      <c r="BP24" s="186" t="s">
        <v>70</v>
      </c>
      <c r="BQ24">
        <f t="shared" si="29"/>
        <v>126</v>
      </c>
      <c r="BR24" s="7">
        <f t="shared" si="30"/>
        <v>1.0646112253553104</v>
      </c>
      <c r="BS24" s="7">
        <f>BI18</f>
        <v>2.1692475485534328</v>
      </c>
      <c r="BU24" s="187" t="s">
        <v>70</v>
      </c>
      <c r="BV24">
        <f t="shared" si="32"/>
        <v>81</v>
      </c>
      <c r="BW24" s="14">
        <f t="shared" si="33"/>
        <v>7.6107809101429516E-2</v>
      </c>
      <c r="BX24" s="7">
        <f t="shared" si="40"/>
        <v>2.1692475485534328</v>
      </c>
      <c r="BZ24" s="188" t="s">
        <v>71</v>
      </c>
      <c r="CA24">
        <f t="shared" si="35"/>
        <v>119</v>
      </c>
      <c r="CB24" s="7">
        <f t="shared" si="36"/>
        <v>0.64890906926344083</v>
      </c>
      <c r="CC24" s="7">
        <f t="shared" si="37"/>
        <v>-0.55505648603455771</v>
      </c>
    </row>
    <row r="25" spans="1:81" x14ac:dyDescent="0.2">
      <c r="A25" s="127" t="s">
        <v>14</v>
      </c>
      <c r="B25" s="127" t="s">
        <v>206</v>
      </c>
      <c r="C25" s="127" t="s">
        <v>124</v>
      </c>
      <c r="D25" s="128" t="str">
        <f t="shared" si="1"/>
        <v>Turkey</v>
      </c>
      <c r="E25" s="147">
        <f>VLOOKUP(D25,DoingBusiness!$A$1:$K$202,3,FALSE)</f>
        <v>63</v>
      </c>
      <c r="F25" s="148">
        <f t="shared" si="2"/>
        <v>-0.64439922405717864</v>
      </c>
      <c r="G25" s="147">
        <f>VLOOKUP(D25,DoingBusiness!$A$1:$K$202,5,FALSE)</f>
        <v>38</v>
      </c>
      <c r="H25" s="148">
        <f t="shared" si="3"/>
        <v>-1.0748467828218378</v>
      </c>
      <c r="I25" s="147">
        <f>VLOOKUP(D25,DoingBusiness!$A$1:$K$202,9,FALSE)</f>
        <v>76</v>
      </c>
      <c r="J25" s="148">
        <f t="shared" si="4"/>
        <v>-0.24893429971164507</v>
      </c>
      <c r="K25" s="147">
        <f>VLOOKUP(D25,DoingBusiness!$A$1:$K$202,10,FALSE)</f>
        <v>26</v>
      </c>
      <c r="L25" s="148">
        <f t="shared" si="5"/>
        <v>-1.3008898723807443</v>
      </c>
      <c r="M25" s="149">
        <f t="shared" si="6"/>
        <v>-0.41551286189257092</v>
      </c>
      <c r="N25" s="149">
        <f t="shared" si="7"/>
        <v>-0.8353607576044676</v>
      </c>
      <c r="O25" s="130"/>
      <c r="P25" s="118" t="s">
        <v>14</v>
      </c>
      <c r="Q25" s="146">
        <f>VLOOKUP(P25,ONDD!$A$5:$H$246,3,FALSE)</f>
        <v>4</v>
      </c>
      <c r="R25" s="149">
        <f t="shared" si="8"/>
        <v>-0.30176412376008049</v>
      </c>
      <c r="S25" s="146">
        <f>VLOOKUP(P25,ONDD!$A$5:$H$246,7,FALSE)</f>
        <v>2</v>
      </c>
      <c r="T25" s="149">
        <f t="shared" si="9"/>
        <v>-0.74036072058666413</v>
      </c>
      <c r="U25" s="146">
        <f>VLOOKUP(P25,ONDD!$A$5:$H$246,8,FALSE)</f>
        <v>4</v>
      </c>
      <c r="V25" s="149">
        <f t="shared" si="10"/>
        <v>-7.0869379424365511E-2</v>
      </c>
      <c r="W25" s="149">
        <f t="shared" si="11"/>
        <v>-0.54282154164185858</v>
      </c>
      <c r="X25" s="149">
        <f t="shared" si="12"/>
        <v>-0.66531430683071868</v>
      </c>
      <c r="Y25" s="130"/>
      <c r="Z25" s="146" t="str">
        <f t="shared" si="13"/>
        <v>Turkey</v>
      </c>
      <c r="AA25" s="146">
        <f>VLOOKUP(Z25,Coface!$A$2:$G$161,7,FALSE)</f>
        <v>4</v>
      </c>
      <c r="AB25" s="165">
        <f t="shared" si="14"/>
        <v>-0.89039223904326426</v>
      </c>
      <c r="AC25" s="163">
        <f>VLOOKUP(Z25,Coface!$A$2:$G$161,4,FALSE)</f>
        <v>4</v>
      </c>
      <c r="AD25" s="165">
        <f t="shared" si="15"/>
        <v>-0.8955347708024407</v>
      </c>
      <c r="AE25" s="165">
        <f t="shared" si="16"/>
        <v>4</v>
      </c>
      <c r="AF25" s="165">
        <f t="shared" si="17"/>
        <v>-0.92752835875494744</v>
      </c>
      <c r="AG25" s="118"/>
      <c r="AH25" s="118"/>
      <c r="AI25" s="163" t="str">
        <f t="shared" si="18"/>
        <v>Turkey</v>
      </c>
      <c r="AJ25" s="118">
        <v>30</v>
      </c>
      <c r="AK25" s="118">
        <v>32</v>
      </c>
      <c r="AL25" s="118">
        <v>31</v>
      </c>
      <c r="AM25" s="164">
        <f t="shared" si="19"/>
        <v>0.1072269895907801</v>
      </c>
      <c r="AN25" s="163" t="str">
        <f t="shared" si="20"/>
        <v>Turkey</v>
      </c>
      <c r="AO25" s="165">
        <f>VLOOKUP(AN25,'Stripped Spread'!$C$18:$E$60,3,FALSE)</f>
        <v>-0.24455989205539388</v>
      </c>
      <c r="AP25" s="118"/>
      <c r="AQ25" s="164">
        <f t="shared" si="21"/>
        <v>-0.64589418372316565</v>
      </c>
      <c r="AR25" s="165">
        <f t="shared" si="22"/>
        <v>-0.67427991174671464</v>
      </c>
      <c r="AS25" s="165">
        <f t="shared" si="23"/>
        <v>-0.24455989205539388</v>
      </c>
      <c r="BC25" s="167" t="s">
        <v>58</v>
      </c>
      <c r="BD25" s="171">
        <f t="shared" si="24"/>
        <v>2.2602476880500322</v>
      </c>
      <c r="BE25" s="171">
        <f t="shared" si="25"/>
        <v>1.5328752249159792</v>
      </c>
      <c r="BF25" s="182"/>
      <c r="BG25" s="167" t="s">
        <v>58</v>
      </c>
      <c r="BH25" s="7">
        <f t="shared" si="26"/>
        <v>1.7949451235278664</v>
      </c>
      <c r="BI25" s="171">
        <f t="shared" si="27"/>
        <v>1.5328752249159792</v>
      </c>
      <c r="BJ25" s="182"/>
      <c r="BK25" s="183" t="s">
        <v>48</v>
      </c>
      <c r="BL25" s="183">
        <f t="shared" si="28"/>
        <v>113</v>
      </c>
      <c r="BM25" s="7">
        <f t="shared" si="38"/>
        <v>0.41154908427181164</v>
      </c>
      <c r="BN25" s="7">
        <f t="shared" si="39"/>
        <v>-0.36315540465326435</v>
      </c>
      <c r="BP25" s="186" t="s">
        <v>71</v>
      </c>
      <c r="BQ25">
        <f t="shared" si="29"/>
        <v>113</v>
      </c>
      <c r="BR25" s="7">
        <f t="shared" si="30"/>
        <v>0.74016507161340406</v>
      </c>
      <c r="BS25" s="7">
        <f t="shared" si="31"/>
        <v>-0.55505648603455771</v>
      </c>
      <c r="BU25" s="187" t="s">
        <v>71</v>
      </c>
      <c r="BV25">
        <f t="shared" si="32"/>
        <v>11</v>
      </c>
      <c r="BW25" s="14">
        <f t="shared" si="33"/>
        <v>-1.770071718606514</v>
      </c>
      <c r="BX25" s="7">
        <f t="shared" si="40"/>
        <v>-0.55505648603455771</v>
      </c>
      <c r="BZ25" s="188" t="s">
        <v>47</v>
      </c>
      <c r="CA25">
        <f t="shared" si="35"/>
        <v>110</v>
      </c>
      <c r="CB25" s="7">
        <f t="shared" si="36"/>
        <v>0.45649998477253684</v>
      </c>
      <c r="CC25" s="7">
        <f t="shared" si="37"/>
        <v>-0.50718932529558414</v>
      </c>
    </row>
    <row r="26" spans="1:81" ht="38.25" x14ac:dyDescent="0.2">
      <c r="A26" s="127" t="s">
        <v>58</v>
      </c>
      <c r="B26" s="127" t="s">
        <v>459</v>
      </c>
      <c r="C26" s="127" t="s">
        <v>124</v>
      </c>
      <c r="D26" s="128" t="str">
        <f t="shared" si="1"/>
        <v>Ukraine</v>
      </c>
      <c r="E26" s="147">
        <f>VLOOKUP(D26,DoingBusiness!$A$1:$K$202,3,FALSE)</f>
        <v>118</v>
      </c>
      <c r="F26" s="148">
        <f t="shared" si="2"/>
        <v>0.51714391510471069</v>
      </c>
      <c r="G26" s="147">
        <f>VLOOKUP(D26,DoingBusiness!$A$1:$K$202,5,FALSE)</f>
        <v>164</v>
      </c>
      <c r="H26" s="148">
        <f t="shared" si="3"/>
        <v>1.9159782968987229</v>
      </c>
      <c r="I26" s="147">
        <f>VLOOKUP(D26,DoingBusiness!$A$1:$K$202,9,FALSE)</f>
        <v>139</v>
      </c>
      <c r="J26" s="148">
        <f t="shared" si="4"/>
        <v>1.1379853701103775</v>
      </c>
      <c r="K26" s="147">
        <f>VLOOKUP(D26,DoingBusiness!$A$1:$K$202,10,FALSE)</f>
        <v>43</v>
      </c>
      <c r="L26" s="148">
        <f t="shared" si="5"/>
        <v>-0.92638271415736895</v>
      </c>
      <c r="M26" s="149">
        <f t="shared" si="6"/>
        <v>2.3099722858462273</v>
      </c>
      <c r="N26" s="149">
        <f t="shared" si="7"/>
        <v>1.4772117808638707</v>
      </c>
      <c r="O26" s="130"/>
      <c r="P26" s="118" t="s">
        <v>58</v>
      </c>
      <c r="Q26" s="146">
        <f>VLOOKUP(P26,ONDD!$A$5:$H$246,3,FALSE)</f>
        <v>7</v>
      </c>
      <c r="R26" s="149">
        <f t="shared" si="8"/>
        <v>1.4635560002363905</v>
      </c>
      <c r="S26" s="146">
        <f>VLOOKUP(P26,ONDD!$A$5:$H$246,7,FALSE)</f>
        <v>4</v>
      </c>
      <c r="T26" s="149">
        <f t="shared" si="9"/>
        <v>0.43817267136761756</v>
      </c>
      <c r="U26" s="146">
        <f>VLOOKUP(P26,ONDD!$A$5:$H$246,8,FALSE)</f>
        <v>6</v>
      </c>
      <c r="V26" s="149">
        <f t="shared" si="10"/>
        <v>1.3110835193507668</v>
      </c>
      <c r="W26" s="149">
        <f t="shared" si="11"/>
        <v>3.6649336566263022</v>
      </c>
      <c r="X26" s="149">
        <f t="shared" si="12"/>
        <v>1.2704741762222318</v>
      </c>
      <c r="Y26" s="130"/>
      <c r="Z26" s="146" t="str">
        <f t="shared" si="13"/>
        <v>Ukraine</v>
      </c>
      <c r="AA26" s="146">
        <f>VLOOKUP(Z26,Coface!$A$2:$G$161,7,FALSE)</f>
        <v>12</v>
      </c>
      <c r="AB26" s="165">
        <f t="shared" si="14"/>
        <v>1.1983474495394306</v>
      </c>
      <c r="AC26" s="163">
        <f>VLOOKUP(Z26,Coface!$A$2:$G$161,4,FALSE)</f>
        <v>16</v>
      </c>
      <c r="AD26" s="165">
        <f t="shared" si="15"/>
        <v>1.9362913963296016</v>
      </c>
      <c r="AE26" s="165">
        <f t="shared" si="16"/>
        <v>14.799999999999999</v>
      </c>
      <c r="AF26" s="165">
        <f t="shared" si="17"/>
        <v>1.7949451235278664</v>
      </c>
      <c r="AG26" s="118"/>
      <c r="AH26" s="118"/>
      <c r="AI26" s="163" t="str">
        <f t="shared" si="18"/>
        <v>Ukraine</v>
      </c>
      <c r="AJ26" s="118">
        <v>20</v>
      </c>
      <c r="AK26" s="118">
        <v>12</v>
      </c>
      <c r="AL26" s="118">
        <v>10</v>
      </c>
      <c r="AM26" s="164">
        <f t="shared" si="19"/>
        <v>-2.9210110957488333</v>
      </c>
      <c r="AN26" s="163" t="str">
        <f t="shared" si="20"/>
        <v>Ukraine</v>
      </c>
      <c r="AO26" s="165">
        <f>VLOOKUP(AN26,'Stripped Spread'!$C$18:$E$60,3,FALSE)</f>
        <v>1.5328752249159792</v>
      </c>
      <c r="AP26" s="118"/>
      <c r="AQ26" s="164">
        <f t="shared" si="21"/>
        <v>7.2778881240805449</v>
      </c>
      <c r="AR26" s="165">
        <f t="shared" si="22"/>
        <v>2.2602476880500322</v>
      </c>
      <c r="AS26" s="165">
        <f t="shared" si="23"/>
        <v>1.5328752249159792</v>
      </c>
      <c r="BC26" s="167" t="s">
        <v>10</v>
      </c>
      <c r="BD26" s="171">
        <f t="shared" si="24"/>
        <v>1.2956758519269069</v>
      </c>
      <c r="BE26" s="171">
        <f t="shared" si="25"/>
        <v>1.4255405250063531</v>
      </c>
      <c r="BF26" s="182"/>
      <c r="BG26" s="167" t="s">
        <v>10</v>
      </c>
      <c r="BH26" s="7">
        <f t="shared" si="26"/>
        <v>0.78662161157126864</v>
      </c>
      <c r="BI26" s="171">
        <f t="shared" si="27"/>
        <v>1.4255405250063531</v>
      </c>
      <c r="BJ26" s="182"/>
      <c r="BK26" s="183" t="s">
        <v>345</v>
      </c>
      <c r="BL26" s="183">
        <f t="shared" si="28"/>
        <v>108</v>
      </c>
      <c r="BM26" s="7">
        <f t="shared" si="38"/>
        <v>0.30595425343891264</v>
      </c>
      <c r="BN26" s="7">
        <f>AO21</f>
        <v>-0.16466036285246269</v>
      </c>
      <c r="BP26" s="186" t="s">
        <v>47</v>
      </c>
      <c r="BQ26">
        <f t="shared" si="29"/>
        <v>24</v>
      </c>
      <c r="BR26" s="7">
        <f t="shared" si="30"/>
        <v>-1.4810432116965704</v>
      </c>
      <c r="BS26" s="7">
        <f t="shared" si="31"/>
        <v>-0.50718932529558414</v>
      </c>
      <c r="BU26" s="187" t="s">
        <v>47</v>
      </c>
      <c r="BV26">
        <f t="shared" si="32"/>
        <v>53</v>
      </c>
      <c r="BW26" s="14">
        <f t="shared" si="33"/>
        <v>-0.66236400198174794</v>
      </c>
      <c r="BX26" s="7">
        <f t="shared" si="40"/>
        <v>-0.50718932529558414</v>
      </c>
      <c r="BZ26" s="188" t="s">
        <v>4</v>
      </c>
      <c r="CA26">
        <f t="shared" si="35"/>
        <v>118</v>
      </c>
      <c r="CB26" s="7">
        <f t="shared" si="36"/>
        <v>0.62753028209778483</v>
      </c>
      <c r="CC26" s="7">
        <f t="shared" si="37"/>
        <v>-0.46284842419996541</v>
      </c>
    </row>
    <row r="27" spans="1:81" ht="25.5" x14ac:dyDescent="0.2">
      <c r="A27" s="127" t="s">
        <v>10</v>
      </c>
      <c r="B27" s="127" t="s">
        <v>207</v>
      </c>
      <c r="C27" s="127" t="s">
        <v>169</v>
      </c>
      <c r="D27" s="128" t="str">
        <f t="shared" si="1"/>
        <v>Argentina</v>
      </c>
      <c r="E27" s="147">
        <f>VLOOKUP(D27,DoingBusiness!$A$1:$K$202,3,FALSE)</f>
        <v>142</v>
      </c>
      <c r="F27" s="148">
        <f t="shared" si="2"/>
        <v>1.0239991031026261</v>
      </c>
      <c r="G27" s="147">
        <f>VLOOKUP(D27,DoingBusiness!$A$1:$K$202,5,FALSE)</f>
        <v>118</v>
      </c>
      <c r="H27" s="148">
        <f t="shared" si="3"/>
        <v>0.82408977573089925</v>
      </c>
      <c r="I27" s="147">
        <f>VLOOKUP(D27,DoingBusiness!$A$1:$K$202,9,FALSE)</f>
        <v>115</v>
      </c>
      <c r="J27" s="148">
        <f t="shared" si="4"/>
        <v>0.60963501970198797</v>
      </c>
      <c r="K27" s="147">
        <f>VLOOKUP(D27,DoingBusiness!$A$1:$K$202,10,FALSE)</f>
        <v>45</v>
      </c>
      <c r="L27" s="148">
        <f t="shared" si="5"/>
        <v>-0.88232304848403065</v>
      </c>
      <c r="M27" s="149">
        <f t="shared" si="6"/>
        <v>1.1412200660440617</v>
      </c>
      <c r="N27" s="149">
        <f t="shared" si="7"/>
        <v>0.48552621250522426</v>
      </c>
      <c r="O27" s="130"/>
      <c r="P27" s="118" t="s">
        <v>10</v>
      </c>
      <c r="Q27" s="146">
        <f>VLOOKUP(P27,ONDD!$A$5:$H$246,3,FALSE)</f>
        <v>7</v>
      </c>
      <c r="R27" s="149">
        <f t="shared" si="8"/>
        <v>1.4635560002363905</v>
      </c>
      <c r="S27" s="146">
        <f>VLOOKUP(P27,ONDD!$A$5:$H$246,7,FALSE)</f>
        <v>5</v>
      </c>
      <c r="T27" s="149">
        <f t="shared" si="9"/>
        <v>1.0274393673447584</v>
      </c>
      <c r="U27" s="146">
        <f>VLOOKUP(P27,ONDD!$A$5:$H$246,8,FALSE)</f>
        <v>6</v>
      </c>
      <c r="V27" s="149">
        <f t="shared" si="10"/>
        <v>1.3110835193507668</v>
      </c>
      <c r="W27" s="149">
        <f t="shared" si="11"/>
        <v>4.168398978064781</v>
      </c>
      <c r="X27" s="149">
        <f t="shared" si="12"/>
        <v>1.5020946781131899</v>
      </c>
      <c r="Y27" s="130"/>
      <c r="Z27" s="146" t="str">
        <f t="shared" si="13"/>
        <v>Argentina</v>
      </c>
      <c r="AA27" s="146">
        <f>VLOOKUP(Z27,Coface!$A$2:$G$161,7,FALSE)</f>
        <v>8</v>
      </c>
      <c r="AB27" s="165">
        <f t="shared" si="14"/>
        <v>0.15397760524808318</v>
      </c>
      <c r="AC27" s="163">
        <f>VLOOKUP(Z27,Coface!$A$2:$G$161,4,FALSE)</f>
        <v>12</v>
      </c>
      <c r="AD27" s="165">
        <f t="shared" si="15"/>
        <v>0.99234934061892088</v>
      </c>
      <c r="AE27" s="165">
        <f t="shared" si="16"/>
        <v>10.799999999999999</v>
      </c>
      <c r="AF27" s="165">
        <f t="shared" si="17"/>
        <v>0.78662161157126864</v>
      </c>
      <c r="AG27" s="118"/>
      <c r="AH27" s="118"/>
      <c r="AI27" s="163" t="str">
        <f t="shared" si="18"/>
        <v>Argentina</v>
      </c>
      <c r="AJ27" s="118">
        <v>23</v>
      </c>
      <c r="AK27" s="118">
        <v>22</v>
      </c>
      <c r="AL27" s="118">
        <v>17</v>
      </c>
      <c r="AM27" s="164">
        <f t="shared" si="19"/>
        <v>-1.911598400635629</v>
      </c>
      <c r="AN27" s="163" t="str">
        <f t="shared" si="20"/>
        <v>Argentina</v>
      </c>
      <c r="AO27" s="165">
        <f>VLOOKUP(AN27,'Stripped Spread'!$C$18:$E$60,3,FALSE)</f>
        <v>1.4255405250063531</v>
      </c>
      <c r="AP27" s="118"/>
      <c r="AQ27" s="164">
        <f t="shared" si="21"/>
        <v>4.673360822920543</v>
      </c>
      <c r="AR27" s="165">
        <f t="shared" si="22"/>
        <v>1.2956758519269069</v>
      </c>
      <c r="AS27" s="165">
        <f t="shared" si="23"/>
        <v>1.4255405250063531</v>
      </c>
      <c r="BC27" s="167" t="s">
        <v>243</v>
      </c>
      <c r="BD27" s="171">
        <f t="shared" si="24"/>
        <v>1.3210167385550005</v>
      </c>
      <c r="BE27" s="171">
        <f t="shared" si="25"/>
        <v>2.5816515950898986</v>
      </c>
      <c r="BF27" s="182"/>
      <c r="BG27" s="167" t="s">
        <v>243</v>
      </c>
      <c r="BH27" s="7">
        <f t="shared" si="26"/>
        <v>0.38329220678862957</v>
      </c>
      <c r="BI27" s="171">
        <f t="shared" si="27"/>
        <v>2.5816515950898986</v>
      </c>
      <c r="BJ27" s="182"/>
      <c r="BK27" s="183" t="s">
        <v>284</v>
      </c>
      <c r="BL27" s="183">
        <f t="shared" si="28"/>
        <v>83</v>
      </c>
      <c r="BM27" s="7">
        <f t="shared" si="38"/>
        <v>-0.22201990072558256</v>
      </c>
      <c r="BN27" s="7">
        <f t="shared" ref="BN27:BN33" si="41">VLOOKUP(BK27,$AN$2:$AO$40,2,FALSE)</f>
        <v>0.49002529275994527</v>
      </c>
      <c r="BP27" s="186" t="s">
        <v>4</v>
      </c>
      <c r="BQ27">
        <f t="shared" si="29"/>
        <v>102</v>
      </c>
      <c r="BR27" s="7">
        <f t="shared" si="30"/>
        <v>0.46563371075486787</v>
      </c>
      <c r="BS27" s="7">
        <f>BI5</f>
        <v>-0.46284842419996541</v>
      </c>
      <c r="BU27" s="187" t="s">
        <v>4</v>
      </c>
      <c r="BV27">
        <f t="shared" si="32"/>
        <v>61</v>
      </c>
      <c r="BW27" s="14">
        <f t="shared" si="33"/>
        <v>-0.45137205595798291</v>
      </c>
      <c r="BX27" s="7">
        <f t="shared" si="40"/>
        <v>-0.46284842419996541</v>
      </c>
      <c r="BZ27" s="188" t="s">
        <v>48</v>
      </c>
      <c r="CA27">
        <f t="shared" si="35"/>
        <v>77</v>
      </c>
      <c r="CB27" s="7">
        <f t="shared" si="36"/>
        <v>-0.24899999169411083</v>
      </c>
      <c r="CC27" s="7">
        <f t="shared" si="37"/>
        <v>-0.36315540465326435</v>
      </c>
    </row>
    <row r="28" spans="1:81" ht="38.25" x14ac:dyDescent="0.2">
      <c r="A28" s="127" t="s">
        <v>243</v>
      </c>
      <c r="B28" s="127" t="s">
        <v>207</v>
      </c>
      <c r="C28" s="127" t="s">
        <v>169</v>
      </c>
      <c r="D28" s="128" t="str">
        <f t="shared" si="1"/>
        <v>Belize</v>
      </c>
      <c r="E28" s="147">
        <f>VLOOKUP(D28,DoingBusiness!$A$1:$K$202,3,FALSE)</f>
        <v>148</v>
      </c>
      <c r="F28" s="148">
        <f t="shared" si="2"/>
        <v>1.1507129001021048</v>
      </c>
      <c r="G28" s="147">
        <f>VLOOKUP(D28,DoingBusiness!$A$1:$K$202,5,FALSE)</f>
        <v>134</v>
      </c>
      <c r="H28" s="148">
        <f t="shared" si="3"/>
        <v>1.2038770874414466</v>
      </c>
      <c r="I28" s="147">
        <f>VLOOKUP(D28,DoingBusiness!$A$1:$K$202,9,FALSE)</f>
        <v>119</v>
      </c>
      <c r="J28" s="148">
        <f t="shared" si="4"/>
        <v>0.69769341143671959</v>
      </c>
      <c r="K28" s="147">
        <f>VLOOKUP(D28,DoingBusiness!$A$1:$K$202,10,FALSE)</f>
        <v>168</v>
      </c>
      <c r="L28" s="148">
        <f t="shared" si="5"/>
        <v>1.827346390426273</v>
      </c>
      <c r="M28" s="149">
        <f t="shared" si="6"/>
        <v>3.249194625193506</v>
      </c>
      <c r="N28" s="149">
        <f t="shared" si="7"/>
        <v>2.2741413811930178</v>
      </c>
      <c r="O28" s="130"/>
      <c r="P28" s="118" t="s">
        <v>243</v>
      </c>
      <c r="Q28" s="146">
        <f>VLOOKUP(P28,ONDD!$A$5:$H$246,3,FALSE)</f>
        <v>6</v>
      </c>
      <c r="R28" s="149">
        <f t="shared" si="8"/>
        <v>0.87511595890423355</v>
      </c>
      <c r="S28" s="146">
        <f>VLOOKUP(P28,ONDD!$A$5:$H$246,7,FALSE)</f>
        <v>5</v>
      </c>
      <c r="T28" s="149">
        <f t="shared" si="9"/>
        <v>1.0274393673447584</v>
      </c>
      <c r="U28" s="146">
        <f>VLOOKUP(P28,ONDD!$A$5:$H$246,8,FALSE)</f>
        <v>6</v>
      </c>
      <c r="V28" s="149">
        <f t="shared" si="10"/>
        <v>1.3110835193507668</v>
      </c>
      <c r="W28" s="149">
        <f t="shared" si="11"/>
        <v>3.2607462647315577</v>
      </c>
      <c r="X28" s="149">
        <f t="shared" si="12"/>
        <v>1.084526738370551</v>
      </c>
      <c r="Y28" s="130"/>
      <c r="Z28" s="146" t="str">
        <f t="shared" si="13"/>
        <v>Belize</v>
      </c>
      <c r="AA28" s="146">
        <f>VLOOKUP(Z28,Coface!$A$2:$G$161,7,FALSE)</f>
        <v>12</v>
      </c>
      <c r="AB28" s="165">
        <f t="shared" si="14"/>
        <v>1.1983474495394306</v>
      </c>
      <c r="AC28" s="163">
        <f>VLOOKUP(Z28,Coface!$A$2:$G$161,4,FALSE)</f>
        <v>8</v>
      </c>
      <c r="AD28" s="165">
        <f t="shared" si="15"/>
        <v>4.8407284908240082E-2</v>
      </c>
      <c r="AE28" s="165">
        <f t="shared" si="16"/>
        <v>9.1999999999999993</v>
      </c>
      <c r="AF28" s="165">
        <f t="shared" si="17"/>
        <v>0.38329220678862957</v>
      </c>
      <c r="AG28" s="118"/>
      <c r="AH28" s="118"/>
      <c r="AI28" s="163" t="str">
        <f t="shared" si="18"/>
        <v>Belize</v>
      </c>
      <c r="AJ28" s="118">
        <v>25</v>
      </c>
      <c r="AK28" s="118">
        <v>24</v>
      </c>
      <c r="AL28" s="118">
        <v>23</v>
      </c>
      <c r="AM28" s="164">
        <f t="shared" si="19"/>
        <v>-1.0463875191100251</v>
      </c>
      <c r="AN28" s="163" t="str">
        <f t="shared" si="20"/>
        <v>Belize</v>
      </c>
      <c r="AO28" s="165">
        <f>VLOOKUP(AN28,'Stripped Spread'!$C$18:$E$60,3,FALSE)</f>
        <v>2.5816515950898986</v>
      </c>
      <c r="AP28" s="118"/>
      <c r="AQ28" s="164">
        <f>((M$48*N28^2)+M$49*N28+M$50)+((W$48*X28^2)+W$49*X28+W$50)+((AE$48*AF28^2)+AE$49*AF28+AE$50)+((AL$48*AM28^2)+AL$49*AM28+AL$50)</f>
        <v>4.7417860335546687</v>
      </c>
      <c r="AR28" s="165">
        <f t="shared" si="22"/>
        <v>1.3210167385550005</v>
      </c>
      <c r="AS28" s="165">
        <f t="shared" si="23"/>
        <v>2.5816515950898986</v>
      </c>
      <c r="BC28" s="167" t="s">
        <v>9</v>
      </c>
      <c r="BD28" s="171">
        <f t="shared" si="24"/>
        <v>-0.66011465110928813</v>
      </c>
      <c r="BE28" s="171">
        <f t="shared" si="25"/>
        <v>-0.49043451301485325</v>
      </c>
      <c r="BF28" s="182"/>
      <c r="BG28" s="167" t="s">
        <v>9</v>
      </c>
      <c r="BH28" s="7">
        <f t="shared" si="26"/>
        <v>-1.1039849733473521</v>
      </c>
      <c r="BI28" s="171">
        <f t="shared" si="27"/>
        <v>-0.49043451301485325</v>
      </c>
      <c r="BJ28" s="182"/>
      <c r="BK28" s="183" t="s">
        <v>23</v>
      </c>
      <c r="BL28" s="183">
        <f t="shared" si="28"/>
        <v>75</v>
      </c>
      <c r="BM28" s="7">
        <f t="shared" si="38"/>
        <v>-0.390971630058221</v>
      </c>
      <c r="BN28" s="7">
        <f t="shared" si="41"/>
        <v>-0.49266345738201095</v>
      </c>
      <c r="BP28" s="186" t="s">
        <v>48</v>
      </c>
      <c r="BQ28">
        <f t="shared" si="29"/>
        <v>86</v>
      </c>
      <c r="BR28" s="7">
        <f t="shared" si="30"/>
        <v>6.6315367687906177E-2</v>
      </c>
      <c r="BS28" s="7">
        <f t="shared" si="31"/>
        <v>-0.36315540465326435</v>
      </c>
      <c r="BU28" s="187" t="s">
        <v>48</v>
      </c>
      <c r="BV28">
        <f t="shared" si="32"/>
        <v>49</v>
      </c>
      <c r="BW28" s="14">
        <f t="shared" si="33"/>
        <v>-0.76785997499363046</v>
      </c>
      <c r="BX28" s="7">
        <f t="shared" si="40"/>
        <v>-0.36315540465326435</v>
      </c>
      <c r="BZ28" s="188" t="s">
        <v>345</v>
      </c>
      <c r="CA28">
        <f t="shared" si="35"/>
        <v>18</v>
      </c>
      <c r="CB28" s="7">
        <f t="shared" si="36"/>
        <v>-1.5103484344678142</v>
      </c>
      <c r="CC28" s="7">
        <f>AO21</f>
        <v>-0.16466036285246269</v>
      </c>
    </row>
    <row r="29" spans="1:81" ht="25.5" x14ac:dyDescent="0.2">
      <c r="A29" s="127" t="s">
        <v>9</v>
      </c>
      <c r="B29" s="127" t="s">
        <v>205</v>
      </c>
      <c r="C29" s="127" t="s">
        <v>169</v>
      </c>
      <c r="D29" s="128" t="str">
        <f t="shared" si="1"/>
        <v>Brazil</v>
      </c>
      <c r="E29" s="147">
        <f>VLOOKUP(D29,DoingBusiness!$A$1:$K$202,3,FALSE)</f>
        <v>128</v>
      </c>
      <c r="F29" s="148">
        <f t="shared" si="2"/>
        <v>0.72833357677050881</v>
      </c>
      <c r="G29" s="147">
        <f>VLOOKUP(D29,DoingBusiness!$A$1:$K$202,5,FALSE)</f>
        <v>122</v>
      </c>
      <c r="H29" s="148">
        <f t="shared" si="3"/>
        <v>0.91903660365853612</v>
      </c>
      <c r="I29" s="147">
        <f>VLOOKUP(D29,DoingBusiness!$A$1:$K$202,9,FALSE)</f>
        <v>114</v>
      </c>
      <c r="J29" s="148">
        <f t="shared" si="4"/>
        <v>0.58762042176830509</v>
      </c>
      <c r="K29" s="147">
        <f>VLOOKUP(D29,DoingBusiness!$A$1:$K$202,10,FALSE)</f>
        <v>98</v>
      </c>
      <c r="L29" s="148">
        <f t="shared" si="5"/>
        <v>0.28525809185943352</v>
      </c>
      <c r="M29" s="149">
        <f t="shared" si="6"/>
        <v>0.94237252550182471</v>
      </c>
      <c r="N29" s="149">
        <f t="shared" si="7"/>
        <v>0.31680419177381014</v>
      </c>
      <c r="O29" s="130"/>
      <c r="P29" s="118" t="s">
        <v>9</v>
      </c>
      <c r="Q29" s="146">
        <f>VLOOKUP(P29,ONDD!$A$5:$H$246,3,FALSE)</f>
        <v>3</v>
      </c>
      <c r="R29" s="149">
        <f t="shared" si="8"/>
        <v>-0.89020416509223754</v>
      </c>
      <c r="S29" s="146">
        <f>VLOOKUP(P29,ONDD!$A$5:$H$246,7,FALSE)</f>
        <v>2</v>
      </c>
      <c r="T29" s="149">
        <f t="shared" si="9"/>
        <v>-0.74036072058666413</v>
      </c>
      <c r="U29" s="146">
        <f>VLOOKUP(P29,ONDD!$A$5:$H$246,8,FALSE)</f>
        <v>3</v>
      </c>
      <c r="V29" s="149">
        <f t="shared" si="10"/>
        <v>-0.76184582881193175</v>
      </c>
      <c r="W29" s="149">
        <f t="shared" si="11"/>
        <v>-1.004888057041911</v>
      </c>
      <c r="X29" s="149">
        <f t="shared" si="12"/>
        <v>-0.8778891826894607</v>
      </c>
      <c r="Y29" s="130"/>
      <c r="Z29" s="146" t="str">
        <f t="shared" si="13"/>
        <v>Brazil</v>
      </c>
      <c r="AA29" s="146">
        <f>VLOOKUP(Z29,Coface!$A$2:$G$161,7,FALSE)</f>
        <v>4</v>
      </c>
      <c r="AB29" s="165">
        <f t="shared" si="14"/>
        <v>-0.89039223904326426</v>
      </c>
      <c r="AC29" s="163">
        <f>VLOOKUP(Z29,Coface!$A$2:$G$161,4,FALSE)</f>
        <v>3</v>
      </c>
      <c r="AD29" s="165">
        <f t="shared" si="15"/>
        <v>-1.1315202847301109</v>
      </c>
      <c r="AE29" s="165">
        <f t="shared" si="16"/>
        <v>3.3</v>
      </c>
      <c r="AF29" s="165">
        <f t="shared" si="17"/>
        <v>-1.1039849733473521</v>
      </c>
      <c r="AG29" s="118"/>
      <c r="AH29" s="118"/>
      <c r="AI29" s="163" t="str">
        <f t="shared" si="18"/>
        <v>Brazil</v>
      </c>
      <c r="AJ29" s="118">
        <v>39</v>
      </c>
      <c r="AK29" s="118">
        <v>39</v>
      </c>
      <c r="AL29" s="118">
        <v>34</v>
      </c>
      <c r="AM29" s="164">
        <f t="shared" si="19"/>
        <v>0.53983243035358208</v>
      </c>
      <c r="AN29" s="163" t="str">
        <f t="shared" si="20"/>
        <v>Brazil</v>
      </c>
      <c r="AO29" s="165">
        <f>VLOOKUP(AN29,'Stripped Spread'!$C$18:$E$60,3,FALSE)</f>
        <v>-0.49043451301485325</v>
      </c>
      <c r="AP29" s="118"/>
      <c r="AQ29" s="164">
        <f t="shared" si="21"/>
        <v>-0.60764528750148994</v>
      </c>
      <c r="AR29" s="165">
        <f t="shared" si="22"/>
        <v>-0.66011465110928813</v>
      </c>
      <c r="AS29" s="165">
        <f t="shared" si="23"/>
        <v>-0.49043451301485325</v>
      </c>
      <c r="BC29" s="167" t="s">
        <v>36</v>
      </c>
      <c r="BD29" s="171">
        <f t="shared" si="24"/>
        <v>-1.1957424090819433</v>
      </c>
      <c r="BE29" s="171">
        <f t="shared" si="25"/>
        <v>-0.6767951584626779</v>
      </c>
      <c r="BF29" s="182"/>
      <c r="BG29" s="167" t="s">
        <v>36</v>
      </c>
      <c r="BH29" s="7">
        <f t="shared" si="26"/>
        <v>-1.4316901147332464</v>
      </c>
      <c r="BI29" s="171">
        <f t="shared" si="27"/>
        <v>-0.6767951584626779</v>
      </c>
      <c r="BJ29" s="182"/>
      <c r="BK29" s="183" t="s">
        <v>77</v>
      </c>
      <c r="BL29" s="183">
        <f t="shared" si="28"/>
        <v>34</v>
      </c>
      <c r="BM29" s="7">
        <f t="shared" si="38"/>
        <v>-1.2568492428879932</v>
      </c>
      <c r="BN29" s="7">
        <f t="shared" si="41"/>
        <v>0.16739140015649304</v>
      </c>
      <c r="BP29" s="186" t="s">
        <v>345</v>
      </c>
      <c r="BQ29">
        <f t="shared" si="29"/>
        <v>51</v>
      </c>
      <c r="BR29" s="7">
        <f t="shared" si="30"/>
        <v>-0.80719350777107257</v>
      </c>
      <c r="BS29" s="7">
        <f t="shared" si="31"/>
        <v>-0.16466036285246269</v>
      </c>
      <c r="BU29" s="187" t="s">
        <v>284</v>
      </c>
      <c r="BV29">
        <f t="shared" si="32"/>
        <v>74</v>
      </c>
      <c r="BW29" s="14">
        <f t="shared" si="33"/>
        <v>-0.10851014366936483</v>
      </c>
      <c r="BX29" s="7">
        <f t="shared" si="40"/>
        <v>0.49002529275994527</v>
      </c>
      <c r="BZ29" s="188" t="s">
        <v>284</v>
      </c>
      <c r="CA29">
        <f t="shared" si="35"/>
        <v>94</v>
      </c>
      <c r="CB29" s="7">
        <f t="shared" si="36"/>
        <v>0.11443939012204102</v>
      </c>
      <c r="CC29" s="7">
        <f t="shared" si="37"/>
        <v>0.49002529275994527</v>
      </c>
    </row>
    <row r="30" spans="1:81" ht="25.5" x14ac:dyDescent="0.2">
      <c r="A30" s="127" t="s">
        <v>36</v>
      </c>
      <c r="B30" s="127" t="s">
        <v>204</v>
      </c>
      <c r="C30" s="127" t="s">
        <v>169</v>
      </c>
      <c r="D30" s="128" t="str">
        <f t="shared" si="1"/>
        <v>Chile</v>
      </c>
      <c r="E30" s="147">
        <f>VLOOKUP(D30,DoingBusiness!$A$1:$K$202,3,FALSE)</f>
        <v>62</v>
      </c>
      <c r="F30" s="148">
        <f t="shared" si="2"/>
        <v>-0.66551819022375847</v>
      </c>
      <c r="G30" s="147">
        <f>VLOOKUP(D30,DoingBusiness!$A$1:$K$202,5,FALSE)</f>
        <v>45</v>
      </c>
      <c r="H30" s="148">
        <f t="shared" si="3"/>
        <v>-0.90868983394847325</v>
      </c>
      <c r="I30" s="147">
        <f>VLOOKUP(D30,DoingBusiness!$A$1:$K$202,9,FALSE)</f>
        <v>68</v>
      </c>
      <c r="J30" s="148">
        <f t="shared" si="4"/>
        <v>-0.42505108318110824</v>
      </c>
      <c r="K30" s="147">
        <f>VLOOKUP(D30,DoingBusiness!$A$1:$K$202,10,FALSE)</f>
        <v>68</v>
      </c>
      <c r="L30" s="148">
        <f t="shared" si="5"/>
        <v>-0.37563689324064053</v>
      </c>
      <c r="M30" s="149">
        <f t="shared" si="6"/>
        <v>-0.92651854292785163</v>
      </c>
      <c r="N30" s="149">
        <f t="shared" si="7"/>
        <v>-1.2689487762161014</v>
      </c>
      <c r="O30" s="130"/>
      <c r="P30" s="118" t="s">
        <v>36</v>
      </c>
      <c r="Q30" s="146">
        <f>VLOOKUP(P30,ONDD!$A$5:$H$246,3,FALSE)</f>
        <v>2</v>
      </c>
      <c r="R30" s="149">
        <f t="shared" si="8"/>
        <v>-1.4786442064243945</v>
      </c>
      <c r="S30" s="146">
        <f>VLOOKUP(P30,ONDD!$A$5:$H$246,7,FALSE)</f>
        <v>1</v>
      </c>
      <c r="T30" s="149">
        <f t="shared" si="9"/>
        <v>-1.3296274165638051</v>
      </c>
      <c r="U30" s="146">
        <f>VLOOKUP(P30,ONDD!$A$5:$H$246,8,FALSE)</f>
        <v>3</v>
      </c>
      <c r="V30" s="149">
        <f t="shared" si="10"/>
        <v>-0.76184582881193175</v>
      </c>
      <c r="W30" s="149">
        <f t="shared" si="11"/>
        <v>-0.95136369992089365</v>
      </c>
      <c r="X30" s="149">
        <f t="shared" si="12"/>
        <v>-0.85326516603556324</v>
      </c>
      <c r="Y30" s="130"/>
      <c r="Z30" s="146" t="str">
        <f t="shared" si="13"/>
        <v>Chile</v>
      </c>
      <c r="AA30" s="146">
        <f>VLOOKUP(Z30,Coface!$A$2:$G$161,7,FALSE)</f>
        <v>2</v>
      </c>
      <c r="AB30" s="165">
        <f t="shared" si="14"/>
        <v>-1.4125771611889379</v>
      </c>
      <c r="AC30" s="163">
        <f>VLOOKUP(Z30,Coface!$A$2:$G$161,4,FALSE)</f>
        <v>2</v>
      </c>
      <c r="AD30" s="165">
        <f t="shared" si="15"/>
        <v>-1.3675057986577812</v>
      </c>
      <c r="AE30" s="165">
        <f t="shared" si="16"/>
        <v>2</v>
      </c>
      <c r="AF30" s="165">
        <f t="shared" si="17"/>
        <v>-1.4316901147332464</v>
      </c>
      <c r="AG30" s="118"/>
      <c r="AH30" s="118"/>
      <c r="AI30" s="163" t="str">
        <f t="shared" si="18"/>
        <v>Chile</v>
      </c>
      <c r="AJ30" s="118">
        <v>38</v>
      </c>
      <c r="AK30" s="118">
        <v>36</v>
      </c>
      <c r="AL30" s="118">
        <v>42</v>
      </c>
      <c r="AM30" s="164">
        <f t="shared" si="19"/>
        <v>1.6934469390543871</v>
      </c>
      <c r="AN30" s="163" t="str">
        <f t="shared" si="20"/>
        <v>Chile</v>
      </c>
      <c r="AO30" s="165">
        <f>VLOOKUP(AN30,'Stripped Spread'!$C$18:$E$60,3,FALSE)</f>
        <v>-0.6767951584626779</v>
      </c>
      <c r="AP30" s="118"/>
      <c r="AQ30" s="164">
        <f t="shared" si="21"/>
        <v>-2.0539420449374255</v>
      </c>
      <c r="AR30" s="165">
        <f t="shared" si="22"/>
        <v>-1.1957424090819433</v>
      </c>
      <c r="AS30" s="165">
        <f t="shared" si="23"/>
        <v>-0.6767951584626779</v>
      </c>
      <c r="BC30" s="167" t="s">
        <v>37</v>
      </c>
      <c r="BD30" s="171">
        <f t="shared" si="24"/>
        <v>-0.74993687190819736</v>
      </c>
      <c r="BE30" s="171">
        <f t="shared" si="25"/>
        <v>-0.58302567466255073</v>
      </c>
      <c r="BF30" s="182"/>
      <c r="BG30" s="167" t="s">
        <v>37</v>
      </c>
      <c r="BH30" s="7">
        <f t="shared" si="26"/>
        <v>-0.92752835875494744</v>
      </c>
      <c r="BI30" s="171">
        <f t="shared" si="27"/>
        <v>-0.58302567466255073</v>
      </c>
      <c r="BJ30" s="182"/>
      <c r="BK30" s="183" t="s">
        <v>346</v>
      </c>
      <c r="BL30" s="183">
        <f t="shared" si="28"/>
        <v>48</v>
      </c>
      <c r="BM30" s="7">
        <f t="shared" si="38"/>
        <v>-0.96118371655587576</v>
      </c>
      <c r="BN30" s="7">
        <f t="shared" si="41"/>
        <v>-0.75252764608080247</v>
      </c>
      <c r="BP30" s="186" t="s">
        <v>284</v>
      </c>
      <c r="BQ30">
        <f t="shared" si="29"/>
        <v>100</v>
      </c>
      <c r="BR30" s="7">
        <f t="shared" si="30"/>
        <v>0.41571891787149767</v>
      </c>
      <c r="BS30" s="7">
        <f t="shared" si="31"/>
        <v>0.49002529275994527</v>
      </c>
      <c r="BU30" s="187" t="s">
        <v>77</v>
      </c>
      <c r="BV30">
        <f t="shared" si="32"/>
        <v>72</v>
      </c>
      <c r="BW30" s="14">
        <f t="shared" si="33"/>
        <v>-0.16125813017530607</v>
      </c>
      <c r="BX30" s="7">
        <f t="shared" si="40"/>
        <v>0.16739140015649304</v>
      </c>
      <c r="BZ30" s="188" t="s">
        <v>23</v>
      </c>
      <c r="CA30">
        <f t="shared" si="35"/>
        <v>85</v>
      </c>
      <c r="CB30" s="7">
        <f t="shared" si="36"/>
        <v>-7.7969694368862905E-2</v>
      </c>
      <c r="CC30" s="7">
        <f t="shared" si="37"/>
        <v>-0.49266345738201095</v>
      </c>
    </row>
    <row r="31" spans="1:81" ht="25.5" x14ac:dyDescent="0.2">
      <c r="A31" s="127" t="s">
        <v>37</v>
      </c>
      <c r="B31" s="127" t="s">
        <v>205</v>
      </c>
      <c r="C31" s="127" t="s">
        <v>169</v>
      </c>
      <c r="D31" s="128" t="str">
        <f t="shared" si="1"/>
        <v>Colombia</v>
      </c>
      <c r="E31" s="147">
        <f>VLOOKUP(D31,DoingBusiness!$A$1:$K$202,3,FALSE)</f>
        <v>73</v>
      </c>
      <c r="F31" s="148">
        <f t="shared" si="2"/>
        <v>-0.43320956239138064</v>
      </c>
      <c r="G31" s="147">
        <f>VLOOKUP(D31,DoingBusiness!$A$1:$K$202,5,FALSE)</f>
        <v>55</v>
      </c>
      <c r="H31" s="148">
        <f t="shared" si="3"/>
        <v>-0.67132276412938108</v>
      </c>
      <c r="I31" s="147">
        <f>VLOOKUP(D31,DoingBusiness!$A$1:$K$202,9,FALSE)</f>
        <v>99</v>
      </c>
      <c r="J31" s="148">
        <f t="shared" si="4"/>
        <v>0.25740145276306159</v>
      </c>
      <c r="K31" s="147">
        <f>VLOOKUP(D31,DoingBusiness!$A$1:$K$202,10,FALSE)</f>
        <v>150</v>
      </c>
      <c r="L31" s="148">
        <f t="shared" si="5"/>
        <v>1.4308093993662285</v>
      </c>
      <c r="M31" s="149">
        <f t="shared" si="6"/>
        <v>0.56952818156339102</v>
      </c>
      <c r="N31" s="149">
        <f t="shared" si="7"/>
        <v>4.4598610513663415E-4</v>
      </c>
      <c r="O31" s="130"/>
      <c r="P31" s="118" t="s">
        <v>37</v>
      </c>
      <c r="Q31" s="146">
        <f>VLOOKUP(P31,ONDD!$A$5:$H$246,3,FALSE)</f>
        <v>4</v>
      </c>
      <c r="R31" s="149">
        <f t="shared" si="8"/>
        <v>-0.30176412376008049</v>
      </c>
      <c r="S31" s="146">
        <f>VLOOKUP(P31,ONDD!$A$5:$H$246,7,FALSE)</f>
        <v>3</v>
      </c>
      <c r="T31" s="149">
        <f t="shared" si="9"/>
        <v>-0.15109402460952329</v>
      </c>
      <c r="U31" s="146">
        <f>VLOOKUP(P31,ONDD!$A$5:$H$246,8,FALSE)</f>
        <v>4</v>
      </c>
      <c r="V31" s="149">
        <f t="shared" si="10"/>
        <v>-7.0869379424365511E-2</v>
      </c>
      <c r="W31" s="149">
        <f t="shared" si="11"/>
        <v>-0.39103607025023945</v>
      </c>
      <c r="X31" s="149">
        <f t="shared" si="12"/>
        <v>-0.59548501459062064</v>
      </c>
      <c r="Y31" s="130"/>
      <c r="Z31" s="146" t="str">
        <f t="shared" si="13"/>
        <v>Colombia</v>
      </c>
      <c r="AA31" s="146">
        <f>VLOOKUP(Z31,Coface!$A$2:$G$161,7,FALSE)</f>
        <v>4</v>
      </c>
      <c r="AB31" s="165">
        <f t="shared" si="14"/>
        <v>-0.89039223904326426</v>
      </c>
      <c r="AC31" s="163">
        <f>VLOOKUP(Z31,Coface!$A$2:$G$161,4,FALSE)</f>
        <v>4</v>
      </c>
      <c r="AD31" s="165">
        <f t="shared" si="15"/>
        <v>-0.8955347708024407</v>
      </c>
      <c r="AE31" s="165">
        <f t="shared" si="16"/>
        <v>4</v>
      </c>
      <c r="AF31" s="165">
        <f t="shared" si="17"/>
        <v>-0.92752835875494744</v>
      </c>
      <c r="AG31" s="118"/>
      <c r="AH31" s="118"/>
      <c r="AI31" s="163" t="str">
        <f t="shared" si="18"/>
        <v>Colombia</v>
      </c>
      <c r="AJ31" s="118">
        <v>36</v>
      </c>
      <c r="AK31" s="118">
        <v>36</v>
      </c>
      <c r="AL31" s="118">
        <v>37</v>
      </c>
      <c r="AM31" s="164">
        <f t="shared" si="19"/>
        <v>0.97243787111638402</v>
      </c>
      <c r="AN31" s="163" t="str">
        <f t="shared" si="20"/>
        <v>Colombia</v>
      </c>
      <c r="AO31" s="165">
        <f>VLOOKUP(AN31,'Stripped Spread'!$C$18:$E$60,3,FALSE)</f>
        <v>-0.58302567466255073</v>
      </c>
      <c r="AP31" s="118"/>
      <c r="AQ31" s="164">
        <f t="shared" si="21"/>
        <v>-0.85018235686261368</v>
      </c>
      <c r="AR31" s="165">
        <f t="shared" si="22"/>
        <v>-0.74993687190819736</v>
      </c>
      <c r="AS31" s="165">
        <f t="shared" si="23"/>
        <v>-0.58302567466255073</v>
      </c>
      <c r="BC31" s="167" t="s">
        <v>253</v>
      </c>
      <c r="BD31" s="171">
        <f t="shared" si="24"/>
        <v>-0.28188132734244292</v>
      </c>
      <c r="BE31" s="171">
        <f t="shared" si="25"/>
        <v>0.4698109730760216</v>
      </c>
      <c r="BF31" s="182"/>
      <c r="BG31" s="167" t="s">
        <v>253</v>
      </c>
      <c r="BH31" s="7">
        <f t="shared" si="26"/>
        <v>8.0795153201650399E-2</v>
      </c>
      <c r="BI31" s="171">
        <f t="shared" si="27"/>
        <v>0.4698109730760216</v>
      </c>
      <c r="BJ31" s="182"/>
      <c r="BK31" s="183" t="s">
        <v>14</v>
      </c>
      <c r="BL31" s="183">
        <f t="shared" si="28"/>
        <v>63</v>
      </c>
      <c r="BM31" s="7">
        <f t="shared" si="38"/>
        <v>-0.64439922405717864</v>
      </c>
      <c r="BN31" s="7">
        <f t="shared" si="41"/>
        <v>-0.24455989205539388</v>
      </c>
      <c r="BP31" s="186" t="s">
        <v>23</v>
      </c>
      <c r="BQ31">
        <f t="shared" si="29"/>
        <v>91</v>
      </c>
      <c r="BR31" s="7">
        <f t="shared" si="30"/>
        <v>0.19110234989633171</v>
      </c>
      <c r="BS31" s="7">
        <f t="shared" si="31"/>
        <v>-0.49266345738201095</v>
      </c>
      <c r="BU31" s="187" t="s">
        <v>346</v>
      </c>
      <c r="BV31">
        <f t="shared" si="32"/>
        <v>30</v>
      </c>
      <c r="BW31" s="14">
        <f t="shared" si="33"/>
        <v>-1.2689658468000722</v>
      </c>
      <c r="BX31" s="7">
        <f t="shared" si="40"/>
        <v>-0.75252764608080247</v>
      </c>
      <c r="BZ31" s="188" t="s">
        <v>77</v>
      </c>
      <c r="CA31">
        <f t="shared" si="35"/>
        <v>137</v>
      </c>
      <c r="CB31" s="7">
        <f t="shared" si="36"/>
        <v>1.0337272382452487</v>
      </c>
      <c r="CC31" s="7">
        <f t="shared" si="37"/>
        <v>0.16739140015649304</v>
      </c>
    </row>
    <row r="32" spans="1:81" ht="38.25" x14ac:dyDescent="0.2">
      <c r="A32" s="127" t="s">
        <v>253</v>
      </c>
      <c r="B32" s="127" t="s">
        <v>207</v>
      </c>
      <c r="C32" s="127" t="s">
        <v>169</v>
      </c>
      <c r="D32" s="128" t="str">
        <f t="shared" si="1"/>
        <v>Dominican Republic</v>
      </c>
      <c r="E32" s="147">
        <f>VLOOKUP(D32,DoingBusiness!$A$1:$K$202,3,FALSE)</f>
        <v>137</v>
      </c>
      <c r="F32" s="148">
        <f t="shared" si="2"/>
        <v>0.91840427226972698</v>
      </c>
      <c r="G32" s="147">
        <f>VLOOKUP(D32,DoingBusiness!$A$1:$K$202,5,FALSE)</f>
        <v>114</v>
      </c>
      <c r="H32" s="148">
        <f t="shared" si="3"/>
        <v>0.72914294780326239</v>
      </c>
      <c r="I32" s="147">
        <f>VLOOKUP(D32,DoingBusiness!$A$1:$K$202,9,FALSE)</f>
        <v>40</v>
      </c>
      <c r="J32" s="148">
        <f t="shared" si="4"/>
        <v>-1.0414598253242295</v>
      </c>
      <c r="K32" s="147">
        <f>VLOOKUP(D32,DoingBusiness!$A$1:$K$202,10,FALSE)</f>
        <v>84</v>
      </c>
      <c r="L32" s="148">
        <f t="shared" si="5"/>
        <v>-2.3159567853934374E-2</v>
      </c>
      <c r="M32" s="149">
        <f t="shared" si="6"/>
        <v>0.20651662858061126</v>
      </c>
      <c r="N32" s="149">
        <f t="shared" si="7"/>
        <v>-0.30756910224388812</v>
      </c>
      <c r="O32" s="130"/>
      <c r="P32" s="118" t="s">
        <v>253</v>
      </c>
      <c r="Q32" s="146">
        <f>VLOOKUP(P32,ONDD!$A$5:$H$246,3,FALSE)</f>
        <v>5</v>
      </c>
      <c r="R32" s="149">
        <f t="shared" si="8"/>
        <v>0.28667591757207656</v>
      </c>
      <c r="S32" s="146">
        <f>VLOOKUP(P32,ONDD!$A$5:$H$246,7,FALSE)</f>
        <v>2</v>
      </c>
      <c r="T32" s="149">
        <f t="shared" si="9"/>
        <v>-0.74036072058666413</v>
      </c>
      <c r="U32" s="146">
        <f>VLOOKUP(P32,ONDD!$A$5:$H$246,8,FALSE)</f>
        <v>5</v>
      </c>
      <c r="V32" s="149">
        <f t="shared" si="10"/>
        <v>0.62010706996320064</v>
      </c>
      <c r="W32" s="149">
        <f t="shared" si="11"/>
        <v>0.55143116920091517</v>
      </c>
      <c r="X32" s="149">
        <f t="shared" si="12"/>
        <v>-0.16190056354290971</v>
      </c>
      <c r="Y32" s="130"/>
      <c r="Z32" s="146" t="str">
        <f t="shared" si="13"/>
        <v>Dominican Republic</v>
      </c>
      <c r="AA32" s="146">
        <f>VLOOKUP(Z32,Coface!$A$2:$G$161,7,FALSE)</f>
        <v>8</v>
      </c>
      <c r="AB32" s="165">
        <f t="shared" si="14"/>
        <v>0.15397760524808318</v>
      </c>
      <c r="AC32" s="163">
        <f>VLOOKUP(Z32,Coface!$A$2:$G$161,4,FALSE)</f>
        <v>8</v>
      </c>
      <c r="AD32" s="165">
        <f t="shared" si="15"/>
        <v>4.8407284908240082E-2</v>
      </c>
      <c r="AE32" s="165">
        <f t="shared" si="16"/>
        <v>8</v>
      </c>
      <c r="AF32" s="165">
        <f t="shared" si="17"/>
        <v>8.0795153201650399E-2</v>
      </c>
      <c r="AG32" s="118"/>
      <c r="AH32" s="118"/>
      <c r="AI32" s="163" t="str">
        <f t="shared" si="18"/>
        <v>Dominican Republic</v>
      </c>
      <c r="AJ32" s="118">
        <v>34</v>
      </c>
      <c r="AK32" s="118">
        <v>33</v>
      </c>
      <c r="AL32" s="118">
        <v>31</v>
      </c>
      <c r="AM32" s="164">
        <f t="shared" si="19"/>
        <v>0.1072269895907801</v>
      </c>
      <c r="AN32" s="163" t="str">
        <f t="shared" si="20"/>
        <v>Dominican Republic</v>
      </c>
      <c r="AO32" s="165">
        <f>VLOOKUP(AN32,'Stripped Spread'!$C$18:$E$60,3,FALSE)</f>
        <v>0.4698109730760216</v>
      </c>
      <c r="AP32" s="118"/>
      <c r="AQ32" s="164">
        <f t="shared" si="21"/>
        <v>0.41365658040157693</v>
      </c>
      <c r="AR32" s="165">
        <f t="shared" si="22"/>
        <v>-0.28188132734244292</v>
      </c>
      <c r="AS32" s="165">
        <f t="shared" si="23"/>
        <v>0.4698109730760216</v>
      </c>
      <c r="BC32" s="167" t="s">
        <v>39</v>
      </c>
      <c r="BD32" s="171">
        <f t="shared" si="24"/>
        <v>1.6338669824900809</v>
      </c>
      <c r="BE32" s="171">
        <f t="shared" si="25"/>
        <v>1.4223422220211868</v>
      </c>
      <c r="BF32" s="182"/>
      <c r="BG32" s="167" t="s">
        <v>39</v>
      </c>
      <c r="BH32" s="7">
        <f t="shared" si="26"/>
        <v>1.0891186651582478</v>
      </c>
      <c r="BI32" s="171">
        <f t="shared" si="27"/>
        <v>1.4223422220211868</v>
      </c>
      <c r="BJ32" s="182"/>
      <c r="BK32" s="183" t="s">
        <v>58</v>
      </c>
      <c r="BL32" s="183">
        <f t="shared" si="28"/>
        <v>118</v>
      </c>
      <c r="BM32" s="7">
        <f t="shared" si="38"/>
        <v>0.51714391510471069</v>
      </c>
      <c r="BN32" s="7">
        <f t="shared" si="41"/>
        <v>1.5328752249159792</v>
      </c>
      <c r="BP32" s="186" t="s">
        <v>77</v>
      </c>
      <c r="BQ32">
        <f t="shared" si="29"/>
        <v>155</v>
      </c>
      <c r="BR32" s="7">
        <f t="shared" si="30"/>
        <v>1.7883757221641785</v>
      </c>
      <c r="BS32" s="7">
        <f t="shared" si="31"/>
        <v>0.16739140015649304</v>
      </c>
      <c r="BU32" s="187" t="s">
        <v>14</v>
      </c>
      <c r="BV32">
        <f t="shared" si="32"/>
        <v>76</v>
      </c>
      <c r="BW32" s="14">
        <f t="shared" si="33"/>
        <v>-5.5762157163423594E-2</v>
      </c>
      <c r="BX32" s="7">
        <f t="shared" si="40"/>
        <v>-0.24455989205539388</v>
      </c>
      <c r="BZ32" s="188" t="s">
        <v>346</v>
      </c>
      <c r="CA32">
        <f t="shared" si="35"/>
        <v>78</v>
      </c>
      <c r="CB32" s="7">
        <f t="shared" si="36"/>
        <v>-0.22762120452845483</v>
      </c>
      <c r="CC32" s="7">
        <f t="shared" si="37"/>
        <v>-0.75252764608080247</v>
      </c>
    </row>
    <row r="33" spans="1:81" x14ac:dyDescent="0.2">
      <c r="A33" s="127" t="s">
        <v>39</v>
      </c>
      <c r="B33" s="127" t="s">
        <v>460</v>
      </c>
      <c r="C33" s="127" t="s">
        <v>169</v>
      </c>
      <c r="D33" s="128" t="str">
        <f t="shared" si="1"/>
        <v>Ecuador</v>
      </c>
      <c r="E33" s="147">
        <f>VLOOKUP(D33,DoingBusiness!$A$1:$K$202,3,FALSE)</f>
        <v>158</v>
      </c>
      <c r="F33" s="148">
        <f t="shared" si="2"/>
        <v>1.361902561767903</v>
      </c>
      <c r="G33" s="147">
        <f>VLOOKUP(D33,DoingBusiness!$A$1:$K$202,5,FALSE)</f>
        <v>69</v>
      </c>
      <c r="H33" s="148">
        <f t="shared" si="3"/>
        <v>-0.33900886638265215</v>
      </c>
      <c r="I33" s="147">
        <f>VLOOKUP(D33,DoingBusiness!$A$1:$K$202,9,FALSE)</f>
        <v>126</v>
      </c>
      <c r="J33" s="148">
        <f t="shared" si="4"/>
        <v>0.85179559697249985</v>
      </c>
      <c r="K33" s="147">
        <f>VLOOKUP(D33,DoingBusiness!$A$1:$K$202,10,FALSE)</f>
        <v>100</v>
      </c>
      <c r="L33" s="148">
        <f t="shared" si="5"/>
        <v>0.32931775753277182</v>
      </c>
      <c r="M33" s="149">
        <f t="shared" si="6"/>
        <v>1.0809150697370253</v>
      </c>
      <c r="N33" s="149">
        <f t="shared" si="7"/>
        <v>0.43435745874856202</v>
      </c>
      <c r="O33" s="130"/>
      <c r="P33" s="118" t="s">
        <v>39</v>
      </c>
      <c r="Q33" s="146">
        <f>VLOOKUP(P33,ONDD!$A$5:$H$246,3,FALSE)</f>
        <v>7</v>
      </c>
      <c r="R33" s="149">
        <f t="shared" si="8"/>
        <v>1.4635560002363905</v>
      </c>
      <c r="S33" s="146">
        <f>VLOOKUP(P33,ONDD!$A$5:$H$246,7,FALSE)</f>
        <v>7</v>
      </c>
      <c r="T33" s="149">
        <f t="shared" si="9"/>
        <v>2.2059727592990401</v>
      </c>
      <c r="U33" s="146">
        <f>VLOOKUP(P33,ONDD!$A$5:$H$246,8,FALSE)</f>
        <v>5</v>
      </c>
      <c r="V33" s="149">
        <f t="shared" si="10"/>
        <v>0.62010706996320064</v>
      </c>
      <c r="W33" s="149">
        <f t="shared" si="11"/>
        <v>4.6497825488541515</v>
      </c>
      <c r="X33" s="149">
        <f t="shared" si="12"/>
        <v>1.7235564144443587</v>
      </c>
      <c r="Y33" s="130"/>
      <c r="Z33" s="146" t="str">
        <f t="shared" si="13"/>
        <v>Ecuador</v>
      </c>
      <c r="AA33" s="146">
        <f>VLOOKUP(Z33,Coface!$A$2:$G$161,7,FALSE)</f>
        <v>12</v>
      </c>
      <c r="AB33" s="165">
        <f t="shared" si="14"/>
        <v>1.1983474495394306</v>
      </c>
      <c r="AC33" s="163">
        <f>VLOOKUP(Z33,Coface!$A$2:$G$161,4,FALSE)</f>
        <v>12</v>
      </c>
      <c r="AD33" s="165">
        <f t="shared" si="15"/>
        <v>0.99234934061892088</v>
      </c>
      <c r="AE33" s="165">
        <f t="shared" si="16"/>
        <v>11.999999999999998</v>
      </c>
      <c r="AF33" s="165">
        <f t="shared" si="17"/>
        <v>1.0891186651582478</v>
      </c>
      <c r="AG33" s="118"/>
      <c r="AH33" s="118"/>
      <c r="AI33" s="163" t="str">
        <f t="shared" si="18"/>
        <v>Ecuador</v>
      </c>
      <c r="AJ33" s="118">
        <v>24</v>
      </c>
      <c r="AK33" s="118">
        <v>25</v>
      </c>
      <c r="AL33" s="118">
        <v>14</v>
      </c>
      <c r="AM33" s="164">
        <f t="shared" si="19"/>
        <v>-2.3442038413984307</v>
      </c>
      <c r="AN33" s="163" t="str">
        <f t="shared" si="20"/>
        <v>Ecuador</v>
      </c>
      <c r="AO33" s="165">
        <f>VLOOKUP(AN33,'Stripped Spread'!$C$18:$E$60,3,FALSE)</f>
        <v>1.4223422220211868</v>
      </c>
      <c r="AP33" s="118"/>
      <c r="AQ33" s="164">
        <f t="shared" si="21"/>
        <v>5.5865411580444038</v>
      </c>
      <c r="AR33" s="165">
        <f t="shared" si="22"/>
        <v>1.6338669824900809</v>
      </c>
      <c r="AS33" s="165">
        <f t="shared" si="23"/>
        <v>1.4223422220211868</v>
      </c>
      <c r="BC33" s="167" t="s">
        <v>257</v>
      </c>
      <c r="BD33" s="171">
        <f t="shared" si="24"/>
        <v>-0.57714033174788026</v>
      </c>
      <c r="BE33" s="171">
        <f t="shared" si="25"/>
        <v>0.23785564532605222</v>
      </c>
      <c r="BF33" s="182"/>
      <c r="BG33" s="167" t="s">
        <v>257</v>
      </c>
      <c r="BH33" s="7">
        <f t="shared" si="26"/>
        <v>8.0795153201650399E-2</v>
      </c>
      <c r="BI33" s="171">
        <f t="shared" si="27"/>
        <v>0.23785564532605222</v>
      </c>
      <c r="BJ33" s="182"/>
      <c r="BK33" s="183" t="s">
        <v>72</v>
      </c>
      <c r="BL33" s="183">
        <f t="shared" si="28"/>
        <v>139</v>
      </c>
      <c r="BM33" s="7">
        <f t="shared" si="38"/>
        <v>0.96064220460288663</v>
      </c>
      <c r="BN33" s="7">
        <f t="shared" si="41"/>
        <v>-0.34765727585037098</v>
      </c>
      <c r="BP33" s="186" t="s">
        <v>346</v>
      </c>
      <c r="BQ33">
        <f t="shared" si="29"/>
        <v>64</v>
      </c>
      <c r="BR33" s="7">
        <f t="shared" si="30"/>
        <v>-0.48274735402916619</v>
      </c>
      <c r="BS33" s="7">
        <f t="shared" si="31"/>
        <v>-0.75252764608080247</v>
      </c>
      <c r="BU33" s="187" t="s">
        <v>58</v>
      </c>
      <c r="BV33">
        <f t="shared" si="32"/>
        <v>139</v>
      </c>
      <c r="BW33" s="14">
        <f t="shared" si="33"/>
        <v>1.6057994177737256</v>
      </c>
      <c r="BX33" s="7">
        <f t="shared" si="40"/>
        <v>1.5328752249159792</v>
      </c>
      <c r="BZ33" s="188" t="s">
        <v>14</v>
      </c>
      <c r="CA33">
        <f t="shared" si="35"/>
        <v>26</v>
      </c>
      <c r="CB33" s="7">
        <f t="shared" si="36"/>
        <v>-1.3393181371425664</v>
      </c>
      <c r="CC33" s="7">
        <f t="shared" si="37"/>
        <v>-0.24455989205539388</v>
      </c>
    </row>
    <row r="34" spans="1:81" ht="25.5" x14ac:dyDescent="0.2">
      <c r="A34" s="127" t="s">
        <v>257</v>
      </c>
      <c r="B34" s="127" t="s">
        <v>206</v>
      </c>
      <c r="C34" s="127" t="s">
        <v>169</v>
      </c>
      <c r="D34" s="128" t="str">
        <f t="shared" si="1"/>
        <v>El Salvador</v>
      </c>
      <c r="E34" s="147">
        <f>VLOOKUP(D34,DoingBusiness!$A$1:$K$202,3,FALSE)</f>
        <v>129</v>
      </c>
      <c r="F34" s="148">
        <f t="shared" si="2"/>
        <v>0.74945254293708852</v>
      </c>
      <c r="G34" s="147">
        <f>VLOOKUP(D34,DoingBusiness!$A$1:$K$202,5,FALSE)</f>
        <v>49</v>
      </c>
      <c r="H34" s="148">
        <f t="shared" si="3"/>
        <v>-0.81374300602083638</v>
      </c>
      <c r="I34" s="147">
        <f>VLOOKUP(D34,DoingBusiness!$A$1:$K$202,9,FALSE)</f>
        <v>65</v>
      </c>
      <c r="J34" s="148">
        <f t="shared" si="4"/>
        <v>-0.49109487698215698</v>
      </c>
      <c r="K34" s="147">
        <f>VLOOKUP(D34,DoingBusiness!$A$1:$K$202,10,FALSE)</f>
        <v>51</v>
      </c>
      <c r="L34" s="148">
        <f t="shared" si="5"/>
        <v>-0.75014405146401586</v>
      </c>
      <c r="M34" s="149">
        <f t="shared" si="6"/>
        <v>-0.24179129064030458</v>
      </c>
      <c r="N34" s="149">
        <f t="shared" si="7"/>
        <v>-0.68795810697880966</v>
      </c>
      <c r="O34" s="130"/>
      <c r="P34" s="118" t="s">
        <v>257</v>
      </c>
      <c r="Q34" s="146">
        <f>VLOOKUP(P34,ONDD!$A$5:$H$246,3,FALSE)</f>
        <v>4</v>
      </c>
      <c r="R34" s="149">
        <f t="shared" si="8"/>
        <v>-0.30176412376008049</v>
      </c>
      <c r="S34" s="146">
        <f>VLOOKUP(P34,ONDD!$A$5:$H$246,7,FALSE)</f>
        <v>3</v>
      </c>
      <c r="T34" s="149">
        <f t="shared" si="9"/>
        <v>-0.15109402460952329</v>
      </c>
      <c r="U34" s="146">
        <f>VLOOKUP(P34,ONDD!$A$5:$H$246,8,FALSE)</f>
        <v>4</v>
      </c>
      <c r="V34" s="149">
        <f t="shared" si="10"/>
        <v>-7.0869379424365511E-2</v>
      </c>
      <c r="W34" s="149">
        <f t="shared" si="11"/>
        <v>-0.39103607025023945</v>
      </c>
      <c r="X34" s="149">
        <f t="shared" si="12"/>
        <v>-0.59548501459062064</v>
      </c>
      <c r="Y34" s="130"/>
      <c r="Z34" s="146" t="str">
        <f t="shared" si="13"/>
        <v>El Salvador</v>
      </c>
      <c r="AA34" s="146">
        <f>VLOOKUP(Z34,Coface!$A$2:$G$161,7,FALSE)</f>
        <v>8</v>
      </c>
      <c r="AB34" s="165">
        <f t="shared" si="14"/>
        <v>0.15397760524808318</v>
      </c>
      <c r="AC34" s="163">
        <f>VLOOKUP(Z34,Coface!$A$2:$G$161,4,FALSE)</f>
        <v>8</v>
      </c>
      <c r="AD34" s="165">
        <f t="shared" si="15"/>
        <v>4.8407284908240082E-2</v>
      </c>
      <c r="AE34" s="165">
        <f t="shared" si="16"/>
        <v>8</v>
      </c>
      <c r="AF34" s="165">
        <f t="shared" si="17"/>
        <v>8.0795153201650399E-2</v>
      </c>
      <c r="AG34" s="118"/>
      <c r="AH34" s="118"/>
      <c r="AI34" s="163" t="str">
        <f t="shared" si="18"/>
        <v>El Salvador</v>
      </c>
      <c r="AJ34" s="118">
        <v>34</v>
      </c>
      <c r="AK34" s="118">
        <v>34</v>
      </c>
      <c r="AL34" s="118">
        <v>34</v>
      </c>
      <c r="AM34" s="164">
        <f t="shared" si="19"/>
        <v>0.53983243035358208</v>
      </c>
      <c r="AN34" s="163" t="str">
        <f t="shared" si="20"/>
        <v>El Salvador</v>
      </c>
      <c r="AO34" s="165">
        <f>VLOOKUP(AN34,'Stripped Spread'!$C$18:$E$60,3,FALSE)</f>
        <v>0.23785564532605222</v>
      </c>
      <c r="AP34" s="118"/>
      <c r="AQ34" s="164">
        <f t="shared" si="21"/>
        <v>-0.3835988536551983</v>
      </c>
      <c r="AR34" s="165">
        <f t="shared" si="22"/>
        <v>-0.57714033174788026</v>
      </c>
      <c r="AS34" s="165">
        <f t="shared" si="23"/>
        <v>0.23785564532605222</v>
      </c>
      <c r="BC34" s="167" t="s">
        <v>269</v>
      </c>
      <c r="BD34" s="171">
        <f t="shared" si="24"/>
        <v>0.17845826049892058</v>
      </c>
      <c r="BE34" s="171">
        <f t="shared" si="25"/>
        <v>0.59372054444507161</v>
      </c>
      <c r="BF34" s="182"/>
      <c r="BG34" s="167" t="s">
        <v>269</v>
      </c>
      <c r="BH34" s="7">
        <f t="shared" si="26"/>
        <v>0.78662161157126864</v>
      </c>
      <c r="BI34" s="171">
        <f t="shared" si="27"/>
        <v>0.59372054444507161</v>
      </c>
      <c r="BJ34" s="182"/>
      <c r="BK34" s="183" t="s">
        <v>461</v>
      </c>
      <c r="BL34" s="183">
        <f t="shared" si="28"/>
        <v>144</v>
      </c>
      <c r="BM34" s="7">
        <f t="shared" si="38"/>
        <v>1.0662370354357857</v>
      </c>
      <c r="BN34" s="7">
        <f>AO40</f>
        <v>2.7898082980863612</v>
      </c>
      <c r="BP34" s="186" t="s">
        <v>14</v>
      </c>
      <c r="BQ34">
        <f t="shared" si="29"/>
        <v>38</v>
      </c>
      <c r="BR34" s="7">
        <f t="shared" si="30"/>
        <v>-1.1316396615129789</v>
      </c>
      <c r="BS34" s="7">
        <f t="shared" si="31"/>
        <v>-0.24455989205539388</v>
      </c>
      <c r="BU34" s="187" t="s">
        <v>72</v>
      </c>
      <c r="BV34">
        <f t="shared" si="32"/>
        <v>132</v>
      </c>
      <c r="BW34" s="14">
        <f t="shared" si="33"/>
        <v>1.4211814650029313</v>
      </c>
      <c r="BX34" s="7">
        <f t="shared" si="40"/>
        <v>-0.34765727585037098</v>
      </c>
      <c r="BZ34" s="188" t="s">
        <v>72</v>
      </c>
      <c r="CA34">
        <f t="shared" si="35"/>
        <v>102</v>
      </c>
      <c r="CB34" s="7">
        <f t="shared" si="36"/>
        <v>0.28546968744728896</v>
      </c>
      <c r="CC34" s="7">
        <f t="shared" si="37"/>
        <v>-0.34765727585037098</v>
      </c>
    </row>
    <row r="35" spans="1:81" ht="25.5" x14ac:dyDescent="0.2">
      <c r="A35" s="127" t="s">
        <v>269</v>
      </c>
      <c r="B35" s="127" t="s">
        <v>207</v>
      </c>
      <c r="C35" s="127" t="s">
        <v>169</v>
      </c>
      <c r="D35" s="128" t="str">
        <f t="shared" si="1"/>
        <v>Jamaica</v>
      </c>
      <c r="E35" s="147">
        <f>VLOOKUP(D35,DoingBusiness!$A$1:$K$202,3,FALSE)</f>
        <v>18</v>
      </c>
      <c r="F35" s="148">
        <f t="shared" si="2"/>
        <v>-1.5947527015532701</v>
      </c>
      <c r="G35" s="147">
        <f>VLOOKUP(D35,DoingBusiness!$A$1:$K$202,5,FALSE)</f>
        <v>106</v>
      </c>
      <c r="H35" s="148">
        <f t="shared" si="3"/>
        <v>0.53924929194798865</v>
      </c>
      <c r="I35" s="147">
        <f>VLOOKUP(D35,DoingBusiness!$A$1:$K$202,9,FALSE)</f>
        <v>104</v>
      </c>
      <c r="J35" s="148">
        <f t="shared" si="4"/>
        <v>0.36747444243147609</v>
      </c>
      <c r="K35" s="147">
        <f>VLOOKUP(D35,DoingBusiness!$A$1:$K$202,10,FALSE)</f>
        <v>128</v>
      </c>
      <c r="L35" s="148">
        <f t="shared" si="5"/>
        <v>0.94615307695950768</v>
      </c>
      <c r="M35" s="149">
        <f>((E$48*F35^2)+E$49*F35)+((G$48*H35^2)+G$49*H35+G$50)+((I$48*J35^2)+I$49*J35)+((K$48*L35^2)+K$49*L35+K$50)</f>
        <v>0.42883210706160568</v>
      </c>
      <c r="N35" s="149">
        <f t="shared" si="7"/>
        <v>-0.11893455002916138</v>
      </c>
      <c r="O35" s="130"/>
      <c r="P35" s="118" t="s">
        <v>269</v>
      </c>
      <c r="Q35" s="146">
        <f>VLOOKUP(P35,ONDD!$A$5:$H$246,3,FALSE)</f>
        <v>6</v>
      </c>
      <c r="R35" s="149">
        <f t="shared" si="8"/>
        <v>0.87511595890423355</v>
      </c>
      <c r="S35" s="146">
        <f>VLOOKUP(P35,ONDD!$A$5:$H$246,7,FALSE)</f>
        <v>2</v>
      </c>
      <c r="T35" s="149">
        <f t="shared" si="9"/>
        <v>-0.74036072058666413</v>
      </c>
      <c r="U35" s="146">
        <f>VLOOKUP(P35,ONDD!$A$5:$H$246,8,FALSE)</f>
        <v>5</v>
      </c>
      <c r="V35" s="149">
        <f t="shared" si="10"/>
        <v>0.62010706996320064</v>
      </c>
      <c r="W35" s="149">
        <f t="shared" si="11"/>
        <v>1.2248032283285311</v>
      </c>
      <c r="X35" s="149">
        <f t="shared" si="12"/>
        <v>0.1478859652469281</v>
      </c>
      <c r="Y35" s="130"/>
      <c r="Z35" s="146" t="str">
        <f t="shared" si="13"/>
        <v>Jamaica</v>
      </c>
      <c r="AA35" s="146">
        <f>VLOOKUP(Z35,Coface!$A$2:$G$161,7,FALSE)</f>
        <v>8</v>
      </c>
      <c r="AB35" s="165">
        <f t="shared" si="14"/>
        <v>0.15397760524808318</v>
      </c>
      <c r="AC35" s="163">
        <f>VLOOKUP(Z35,Coface!$A$2:$G$161,4,FALSE)</f>
        <v>12</v>
      </c>
      <c r="AD35" s="165">
        <f t="shared" si="15"/>
        <v>0.99234934061892088</v>
      </c>
      <c r="AE35" s="165">
        <f t="shared" si="16"/>
        <v>10.799999999999999</v>
      </c>
      <c r="AF35" s="165">
        <f t="shared" si="17"/>
        <v>0.78662161157126864</v>
      </c>
      <c r="AG35" s="118"/>
      <c r="AH35" s="118"/>
      <c r="AI35" s="163" t="str">
        <f t="shared" si="18"/>
        <v>Jamaica</v>
      </c>
      <c r="AJ35" s="118">
        <v>33</v>
      </c>
      <c r="AK35" s="118">
        <v>33</v>
      </c>
      <c r="AL35" s="118">
        <v>28</v>
      </c>
      <c r="AM35" s="164">
        <f t="shared" si="19"/>
        <v>-0.32537845117202185</v>
      </c>
      <c r="AN35" s="163" t="str">
        <f t="shared" si="20"/>
        <v>Jamaica</v>
      </c>
      <c r="AO35" s="165">
        <f>VLOOKUP(AN35,'Stripped Spread'!$C$18:$E$60,3,FALSE)</f>
        <v>0.59372054444507161</v>
      </c>
      <c r="AP35" s="118"/>
      <c r="AQ35" s="164">
        <f t="shared" si="21"/>
        <v>1.6566609678783528</v>
      </c>
      <c r="AR35" s="165">
        <f t="shared" si="22"/>
        <v>0.17845826049892058</v>
      </c>
      <c r="AS35" s="165">
        <f t="shared" si="23"/>
        <v>0.59372054444507161</v>
      </c>
      <c r="BC35" s="167" t="s">
        <v>11</v>
      </c>
      <c r="BD35" s="171">
        <f t="shared" si="24"/>
        <v>-1.0431238832649856</v>
      </c>
      <c r="BE35" s="171">
        <f t="shared" si="25"/>
        <v>-0.48422075013713889</v>
      </c>
      <c r="BF35" s="182"/>
      <c r="BG35" s="167" t="s">
        <v>11</v>
      </c>
      <c r="BH35" s="7">
        <f t="shared" si="26"/>
        <v>-0.92752835875494744</v>
      </c>
      <c r="BI35" s="171">
        <f t="shared" si="27"/>
        <v>-0.48422075013713889</v>
      </c>
      <c r="BJ35" s="182"/>
      <c r="BK35" s="183" t="s">
        <v>64</v>
      </c>
      <c r="BL35" s="183">
        <f t="shared" si="28"/>
        <v>100</v>
      </c>
      <c r="BM35" s="7">
        <f t="shared" si="38"/>
        <v>0.13700252410627417</v>
      </c>
      <c r="BN35" s="7">
        <f>VLOOKUP(BK35,$AN$2:$AO$40,2,FALSE)</f>
        <v>0.45654469091159733</v>
      </c>
      <c r="BP35" s="186" t="s">
        <v>58</v>
      </c>
      <c r="BQ35">
        <f t="shared" si="29"/>
        <v>164</v>
      </c>
      <c r="BR35" s="7">
        <f t="shared" si="30"/>
        <v>2.0129922901393447</v>
      </c>
      <c r="BS35" s="7">
        <f t="shared" si="31"/>
        <v>1.5328752249159792</v>
      </c>
      <c r="BU35" s="187" t="s">
        <v>461</v>
      </c>
      <c r="BV35">
        <f t="shared" si="32"/>
        <v>167</v>
      </c>
      <c r="BW35" s="14">
        <f t="shared" si="33"/>
        <v>2.3442712288569032</v>
      </c>
      <c r="BX35" s="7">
        <f>BN34</f>
        <v>2.7898082980863612</v>
      </c>
      <c r="BZ35" s="188" t="s">
        <v>64</v>
      </c>
      <c r="CA35">
        <f t="shared" si="35"/>
        <v>31</v>
      </c>
      <c r="CB35" s="7">
        <f t="shared" si="36"/>
        <v>-1.2324242013142863</v>
      </c>
      <c r="CC35" s="7">
        <f t="shared" si="37"/>
        <v>0.45654469091159733</v>
      </c>
    </row>
    <row r="36" spans="1:81" x14ac:dyDescent="0.2">
      <c r="A36" s="127" t="s">
        <v>11</v>
      </c>
      <c r="B36" s="127" t="s">
        <v>205</v>
      </c>
      <c r="C36" s="127" t="s">
        <v>169</v>
      </c>
      <c r="D36" s="128" t="str">
        <f t="shared" si="1"/>
        <v>Mexico</v>
      </c>
      <c r="E36" s="147">
        <f>VLOOKUP(D36,DoingBusiness!$A$1:$K$202,3,FALSE)</f>
        <v>67</v>
      </c>
      <c r="F36" s="148">
        <f t="shared" si="2"/>
        <v>-0.55992335939085947</v>
      </c>
      <c r="G36" s="147">
        <f>VLOOKUP(D36,DoingBusiness!$A$1:$K$202,5,FALSE)</f>
        <v>105</v>
      </c>
      <c r="H36" s="148">
        <f t="shared" si="3"/>
        <v>0.51551258496607955</v>
      </c>
      <c r="I36" s="147">
        <f>VLOOKUP(D36,DoingBusiness!$A$1:$K$202,9,FALSE)</f>
        <v>58</v>
      </c>
      <c r="J36" s="148">
        <f t="shared" si="4"/>
        <v>-0.64519706251793729</v>
      </c>
      <c r="K36" s="147">
        <f>VLOOKUP(D36,DoingBusiness!$A$1:$K$202,10,FALSE)</f>
        <v>81</v>
      </c>
      <c r="L36" s="148">
        <f t="shared" si="5"/>
        <v>-8.9249066363941781E-2</v>
      </c>
      <c r="M36" s="149">
        <f t="shared" si="6"/>
        <v>-0.60924937720142247</v>
      </c>
      <c r="N36" s="149">
        <f t="shared" si="7"/>
        <v>-0.99974607644339419</v>
      </c>
      <c r="O36" s="130"/>
      <c r="P36" s="118" t="s">
        <v>11</v>
      </c>
      <c r="Q36" s="146">
        <f>VLOOKUP(P36,ONDD!$A$5:$H$246,3,FALSE)</f>
        <v>3</v>
      </c>
      <c r="R36" s="149">
        <f t="shared" si="8"/>
        <v>-0.89020416509223754</v>
      </c>
      <c r="S36" s="146">
        <f>VLOOKUP(P36,ONDD!$A$5:$H$246,7,FALSE)</f>
        <v>2</v>
      </c>
      <c r="T36" s="149">
        <f t="shared" si="9"/>
        <v>-0.74036072058666413</v>
      </c>
      <c r="U36" s="146">
        <f>VLOOKUP(P36,ONDD!$A$5:$H$246,8,FALSE)</f>
        <v>3</v>
      </c>
      <c r="V36" s="149">
        <f t="shared" si="10"/>
        <v>-0.76184582881193175</v>
      </c>
      <c r="W36" s="149">
        <f t="shared" si="11"/>
        <v>-1.004888057041911</v>
      </c>
      <c r="X36" s="149">
        <f t="shared" si="12"/>
        <v>-0.8778891826894607</v>
      </c>
      <c r="Y36" s="130"/>
      <c r="Z36" s="146" t="str">
        <f t="shared" si="13"/>
        <v>Mexico</v>
      </c>
      <c r="AA36" s="146">
        <f>VLOOKUP(Z36,Coface!$A$2:$G$161,7,FALSE)</f>
        <v>4</v>
      </c>
      <c r="AB36" s="165">
        <f t="shared" si="14"/>
        <v>-0.89039223904326426</v>
      </c>
      <c r="AC36" s="163">
        <f>VLOOKUP(Z36,Coface!$A$2:$G$161,4,FALSE)</f>
        <v>4</v>
      </c>
      <c r="AD36" s="165">
        <f t="shared" si="15"/>
        <v>-0.8955347708024407</v>
      </c>
      <c r="AE36" s="165">
        <f t="shared" si="16"/>
        <v>4</v>
      </c>
      <c r="AF36" s="165">
        <f t="shared" si="17"/>
        <v>-0.92752835875494744</v>
      </c>
      <c r="AG36" s="118"/>
      <c r="AH36" s="118"/>
      <c r="AI36" s="163" t="str">
        <f t="shared" si="18"/>
        <v>Mexico</v>
      </c>
      <c r="AJ36" s="118">
        <v>40</v>
      </c>
      <c r="AK36" s="118">
        <v>41</v>
      </c>
      <c r="AL36" s="118">
        <v>39</v>
      </c>
      <c r="AM36" s="164">
        <f t="shared" si="19"/>
        <v>1.2608414982915852</v>
      </c>
      <c r="AN36" s="163" t="str">
        <f t="shared" si="20"/>
        <v>Mexico</v>
      </c>
      <c r="AO36" s="165">
        <f>VLOOKUP(AN36,'Stripped Spread'!$C$18:$E$60,3,FALSE)</f>
        <v>-0.48422075013713889</v>
      </c>
      <c r="AP36" s="118"/>
      <c r="AQ36" s="164">
        <f>((M$48*N36^2)+M$49*N36+M$50)+((W$48*X36^2)+W$49*X36+W$50)+((AE$48*AF36^2)+AE$49*AF36+AE$50)+((AL$48*AM36^2)+AL$49*AM36+AL$50)</f>
        <v>-1.6418430158482955</v>
      </c>
      <c r="AR36" s="165">
        <f t="shared" si="22"/>
        <v>-1.0431238832649856</v>
      </c>
      <c r="AS36" s="165">
        <f t="shared" si="23"/>
        <v>-0.48422075013713889</v>
      </c>
      <c r="BC36" s="167" t="s">
        <v>71</v>
      </c>
      <c r="BD36" s="171">
        <f t="shared" si="24"/>
        <v>-1.0318323930328936</v>
      </c>
      <c r="BE36" s="171">
        <f t="shared" si="25"/>
        <v>-0.55505648603455771</v>
      </c>
      <c r="BF36" s="182"/>
      <c r="BG36" s="167" t="s">
        <v>71</v>
      </c>
      <c r="BH36" s="7">
        <f t="shared" si="26"/>
        <v>-0.92752835875494744</v>
      </c>
      <c r="BI36" s="171">
        <f t="shared" si="27"/>
        <v>-0.55505648603455771</v>
      </c>
      <c r="BJ36" s="182"/>
      <c r="BK36" s="171"/>
      <c r="BL36" s="182"/>
      <c r="BP36" s="186" t="s">
        <v>64</v>
      </c>
      <c r="BQ36">
        <f t="shared" si="29"/>
        <v>43</v>
      </c>
      <c r="BR36" s="7">
        <f t="shared" si="30"/>
        <v>-1.0068526793045534</v>
      </c>
      <c r="BS36" s="7">
        <f t="shared" si="31"/>
        <v>0.45654469091159733</v>
      </c>
      <c r="BU36" s="187" t="s">
        <v>64</v>
      </c>
      <c r="BV36">
        <f t="shared" si="32"/>
        <v>63</v>
      </c>
      <c r="BW36" s="14">
        <f t="shared" si="33"/>
        <v>-0.39862406945204171</v>
      </c>
      <c r="BX36" s="7">
        <f t="shared" si="40"/>
        <v>0.45654469091159733</v>
      </c>
    </row>
    <row r="37" spans="1:81" x14ac:dyDescent="0.2">
      <c r="A37" s="127" t="s">
        <v>71</v>
      </c>
      <c r="B37" s="127" t="s">
        <v>205</v>
      </c>
      <c r="C37" s="127" t="s">
        <v>169</v>
      </c>
      <c r="D37" s="128" t="str">
        <f t="shared" si="1"/>
        <v>Panama</v>
      </c>
      <c r="E37" s="147">
        <f>VLOOKUP(D37,DoingBusiness!$A$1:$K$202,3,FALSE)</f>
        <v>23</v>
      </c>
      <c r="F37" s="148">
        <f t="shared" si="2"/>
        <v>-1.489157870720371</v>
      </c>
      <c r="G37" s="147">
        <f>VLOOKUP(D37,DoingBusiness!$A$1:$K$202,5,FALSE)</f>
        <v>113</v>
      </c>
      <c r="H37" s="148">
        <f t="shared" si="3"/>
        <v>0.70540624082135317</v>
      </c>
      <c r="I37" s="147">
        <f>VLOOKUP(D37,DoingBusiness!$A$1:$K$202,9,FALSE)</f>
        <v>11</v>
      </c>
      <c r="J37" s="148">
        <f t="shared" si="4"/>
        <v>-1.6798831654010336</v>
      </c>
      <c r="K37" s="147">
        <f>VLOOKUP(D37,DoingBusiness!$A$1:$K$202,10,FALSE)</f>
        <v>119</v>
      </c>
      <c r="L37" s="148">
        <f t="shared" si="5"/>
        <v>0.74788458142948544</v>
      </c>
      <c r="M37" s="149">
        <f t="shared" si="6"/>
        <v>-0.15684097257092844</v>
      </c>
      <c r="N37" s="149">
        <f t="shared" si="7"/>
        <v>-0.61587781225976557</v>
      </c>
      <c r="O37" s="130"/>
      <c r="P37" s="118" t="s">
        <v>71</v>
      </c>
      <c r="Q37" s="146">
        <f>VLOOKUP(P37,ONDD!$A$5:$H$246,3,FALSE)</f>
        <v>3</v>
      </c>
      <c r="R37" s="149">
        <f t="shared" si="8"/>
        <v>-0.89020416509223754</v>
      </c>
      <c r="S37" s="146">
        <f>VLOOKUP(P37,ONDD!$A$5:$H$246,7,FALSE)</f>
        <v>2</v>
      </c>
      <c r="T37" s="149">
        <f t="shared" si="9"/>
        <v>-0.74036072058666413</v>
      </c>
      <c r="U37" s="146">
        <f>VLOOKUP(P37,ONDD!$A$5:$H$246,8,FALSE)</f>
        <v>3</v>
      </c>
      <c r="V37" s="149">
        <f t="shared" si="10"/>
        <v>-0.76184582881193175</v>
      </c>
      <c r="W37" s="149">
        <f t="shared" si="11"/>
        <v>-1.004888057041911</v>
      </c>
      <c r="X37" s="149">
        <f t="shared" si="12"/>
        <v>-0.8778891826894607</v>
      </c>
      <c r="Y37" s="130"/>
      <c r="Z37" s="146" t="str">
        <f t="shared" si="13"/>
        <v>Panama</v>
      </c>
      <c r="AA37" s="146">
        <f>VLOOKUP(Z37,Coface!$A$2:$G$161,7,FALSE)</f>
        <v>4</v>
      </c>
      <c r="AB37" s="165">
        <f t="shared" si="14"/>
        <v>-0.89039223904326426</v>
      </c>
      <c r="AC37" s="163">
        <f>VLOOKUP(Z37,Coface!$A$2:$G$161,4,FALSE)</f>
        <v>4</v>
      </c>
      <c r="AD37" s="165">
        <f t="shared" si="15"/>
        <v>-0.8955347708024407</v>
      </c>
      <c r="AE37" s="165">
        <f t="shared" si="16"/>
        <v>4</v>
      </c>
      <c r="AF37" s="165">
        <f t="shared" si="17"/>
        <v>-0.92752835875494744</v>
      </c>
      <c r="AG37" s="118"/>
      <c r="AH37" s="118"/>
      <c r="AI37" s="163" t="str">
        <f t="shared" si="18"/>
        <v>Panama</v>
      </c>
      <c r="AJ37" s="118">
        <v>37</v>
      </c>
      <c r="AK37" s="118">
        <v>37</v>
      </c>
      <c r="AL37" s="118">
        <v>40</v>
      </c>
      <c r="AM37" s="164">
        <f t="shared" si="19"/>
        <v>1.4050433118791859</v>
      </c>
      <c r="AN37" s="163" t="str">
        <f t="shared" si="20"/>
        <v>Panama</v>
      </c>
      <c r="AO37" s="165">
        <f>VLOOKUP(AN37,'Stripped Spread'!$C$18:$E$60,3,FALSE)</f>
        <v>-0.55505648603455771</v>
      </c>
      <c r="AP37" s="118"/>
      <c r="AQ37" s="164">
        <f>((M$48*N37^2)+M$49*N37+M$50)+((W$48*X37^2)+W$49*X37+W$50)+((AE$48*AF37^2)+AE$49*AF37+AE$50)+((AL$48*AM37^2)+AL$49*AM37+AL$50)</f>
        <v>-1.6113538459607861</v>
      </c>
      <c r="AR37" s="165">
        <f t="shared" si="22"/>
        <v>-1.0318323930328936</v>
      </c>
      <c r="AS37" s="165">
        <f t="shared" si="23"/>
        <v>-0.55505648603455771</v>
      </c>
      <c r="BC37" s="167" t="s">
        <v>47</v>
      </c>
      <c r="BD37" s="171">
        <f t="shared" si="24"/>
        <v>-0.77304168766066395</v>
      </c>
      <c r="BE37" s="171">
        <f t="shared" si="25"/>
        <v>-0.50718932529558414</v>
      </c>
      <c r="BF37" s="182"/>
      <c r="BG37" s="167" t="s">
        <v>47</v>
      </c>
      <c r="BH37" s="7">
        <f t="shared" si="26"/>
        <v>-0.62503130516796823</v>
      </c>
      <c r="BI37" s="171">
        <f t="shared" si="27"/>
        <v>-0.50718932529558414</v>
      </c>
      <c r="BJ37" s="182"/>
      <c r="BK37" s="185" t="s">
        <v>641</v>
      </c>
      <c r="BL37" s="182">
        <f>AVERAGE(BL2:BL35)</f>
        <v>94.970588235294116</v>
      </c>
      <c r="BZ37" s="185" t="s">
        <v>641</v>
      </c>
      <c r="CA37" s="7">
        <f>AVERAGE(CA2:CA35)</f>
        <v>88.647058823529406</v>
      </c>
    </row>
    <row r="38" spans="1:81" x14ac:dyDescent="0.2">
      <c r="A38" s="127" t="s">
        <v>47</v>
      </c>
      <c r="B38" s="127" t="s">
        <v>205</v>
      </c>
      <c r="C38" s="127" t="s">
        <v>169</v>
      </c>
      <c r="D38" s="128" t="str">
        <f t="shared" si="1"/>
        <v>Peru</v>
      </c>
      <c r="E38" s="147">
        <f>VLOOKUP(D38,DoingBusiness!$A$1:$K$202,3,FALSE)</f>
        <v>54</v>
      </c>
      <c r="F38" s="148">
        <f t="shared" si="2"/>
        <v>-0.83446991955639693</v>
      </c>
      <c r="G38" s="147">
        <f>VLOOKUP(D38,DoingBusiness!$A$1:$K$202,5,FALSE)</f>
        <v>24</v>
      </c>
      <c r="H38" s="148">
        <f t="shared" si="3"/>
        <v>-1.4071606805685666</v>
      </c>
      <c r="I38" s="147">
        <f>VLOOKUP(D38,DoingBusiness!$A$1:$K$202,9,FALSE)</f>
        <v>53</v>
      </c>
      <c r="J38" s="148">
        <f t="shared" si="4"/>
        <v>-0.75527005218635179</v>
      </c>
      <c r="K38" s="147">
        <f>VLOOKUP(D38,DoingBusiness!$A$1:$K$202,10,FALSE)</f>
        <v>110</v>
      </c>
      <c r="L38" s="148">
        <f t="shared" si="5"/>
        <v>0.5496160858994632</v>
      </c>
      <c r="M38" s="149">
        <f>((E$48*F38^2)+E$49*F38)+((G$48*H38^2)+G$49*H38+G$50)+((I$48*J38^2)+I$49*J38)+((K$48*L38^2)+K$49*L38+K$50)</f>
        <v>-0.65673275300290368</v>
      </c>
      <c r="N38" s="149">
        <f t="shared" si="7"/>
        <v>-1.0400356927722083</v>
      </c>
      <c r="O38" s="130"/>
      <c r="P38" s="118" t="s">
        <v>47</v>
      </c>
      <c r="Q38" s="146">
        <f>VLOOKUP(P38,ONDD!$A$5:$H$246,3,FALSE)</f>
        <v>3</v>
      </c>
      <c r="R38" s="149">
        <f t="shared" si="8"/>
        <v>-0.89020416509223754</v>
      </c>
      <c r="S38" s="146">
        <f>VLOOKUP(P38,ONDD!$A$5:$H$246,7,FALSE)</f>
        <v>3</v>
      </c>
      <c r="T38" s="149">
        <f t="shared" si="9"/>
        <v>-0.15109402460952329</v>
      </c>
      <c r="U38" s="146">
        <f>VLOOKUP(P38,ONDD!$A$5:$H$246,8,FALSE)</f>
        <v>3</v>
      </c>
      <c r="V38" s="149">
        <f t="shared" si="10"/>
        <v>-0.76184582881193175</v>
      </c>
      <c r="W38" s="149">
        <f t="shared" si="11"/>
        <v>-0.85310258565029184</v>
      </c>
      <c r="X38" s="149">
        <f t="shared" si="12"/>
        <v>-0.80805989044936255</v>
      </c>
      <c r="Y38" s="130"/>
      <c r="Z38" s="146" t="str">
        <f t="shared" si="13"/>
        <v>Peru</v>
      </c>
      <c r="AA38" s="146">
        <f>VLOOKUP(Z38,Coface!$A$2:$G$161,7,FALSE)</f>
        <v>8</v>
      </c>
      <c r="AB38" s="165">
        <f t="shared" si="14"/>
        <v>0.15397760524808318</v>
      </c>
      <c r="AC38" s="163">
        <f>VLOOKUP(Z38,Coface!$A$2:$G$161,4,FALSE)</f>
        <v>4</v>
      </c>
      <c r="AD38" s="165">
        <f t="shared" si="15"/>
        <v>-0.8955347708024407</v>
      </c>
      <c r="AE38" s="165">
        <f t="shared" si="16"/>
        <v>5.1999999999999993</v>
      </c>
      <c r="AF38" s="165">
        <f t="shared" si="17"/>
        <v>-0.62503130516796823</v>
      </c>
      <c r="AG38" s="118"/>
      <c r="AH38" s="118"/>
      <c r="AI38" s="163" t="str">
        <f t="shared" si="18"/>
        <v>Peru</v>
      </c>
      <c r="AJ38" s="118">
        <v>34</v>
      </c>
      <c r="AK38" s="118">
        <v>32</v>
      </c>
      <c r="AL38" s="118">
        <v>33</v>
      </c>
      <c r="AM38" s="164">
        <f t="shared" si="19"/>
        <v>0.39563061676598138</v>
      </c>
      <c r="AN38" s="163" t="str">
        <f t="shared" si="20"/>
        <v>Peru</v>
      </c>
      <c r="AO38" s="165">
        <f>VLOOKUP(AN38,'Stripped Spread'!$C$18:$E$60,3,FALSE)</f>
        <v>-0.50718932529558414</v>
      </c>
      <c r="AP38" s="118"/>
      <c r="AQ38" s="164">
        <f t="shared" si="21"/>
        <v>-0.91256975110526417</v>
      </c>
      <c r="AR38" s="165">
        <f t="shared" si="22"/>
        <v>-0.77304168766066395</v>
      </c>
      <c r="AS38" s="165">
        <f t="shared" si="23"/>
        <v>-0.50718932529558414</v>
      </c>
      <c r="BC38" s="167" t="s">
        <v>72</v>
      </c>
      <c r="BD38" s="171">
        <f t="shared" si="24"/>
        <v>-0.44534397779812457</v>
      </c>
      <c r="BE38" s="171">
        <f t="shared" si="25"/>
        <v>-0.34765727585037098</v>
      </c>
      <c r="BF38" s="182"/>
      <c r="BG38" s="167" t="s">
        <v>72</v>
      </c>
      <c r="BH38" s="7">
        <f t="shared" si="26"/>
        <v>-0.92752835875494744</v>
      </c>
      <c r="BI38" s="171">
        <f t="shared" si="27"/>
        <v>-0.34765727585037098</v>
      </c>
      <c r="BJ38" s="182"/>
      <c r="BK38" s="185" t="s">
        <v>642</v>
      </c>
      <c r="BL38" s="182">
        <f>STDEV(BL2:BL35)</f>
        <v>44.323524976136099</v>
      </c>
      <c r="BP38" s="185" t="s">
        <v>641</v>
      </c>
      <c r="BQ38" s="7">
        <f>AVERAGE(BQ2:BQ36)</f>
        <v>83.342857142857142</v>
      </c>
      <c r="BU38" s="185" t="s">
        <v>641</v>
      </c>
      <c r="BV38" s="7">
        <f>AVERAGE(BV2:BV36)</f>
        <v>78.114285714285714</v>
      </c>
      <c r="BZ38" s="185" t="s">
        <v>642</v>
      </c>
      <c r="CA38" s="7">
        <f>STDEV(CA2:CA35)</f>
        <v>46.775338200964583</v>
      </c>
    </row>
    <row r="39" spans="1:81" ht="15" x14ac:dyDescent="0.25">
      <c r="A39" s="127" t="s">
        <v>72</v>
      </c>
      <c r="B39" s="127" t="s">
        <v>206</v>
      </c>
      <c r="C39" s="127" t="s">
        <v>169</v>
      </c>
      <c r="D39" s="128" t="str">
        <f t="shared" si="1"/>
        <v>Uruguay</v>
      </c>
      <c r="E39" s="147">
        <f>VLOOKUP(D39,DoingBusiness!$A$1:$K$202,3,FALSE)</f>
        <v>139</v>
      </c>
      <c r="F39" s="148">
        <f t="shared" si="2"/>
        <v>0.96064220460288663</v>
      </c>
      <c r="G39" s="147">
        <f>VLOOKUP(D39,DoingBusiness!$A$1:$K$202,5,FALSE)</f>
        <v>159</v>
      </c>
      <c r="H39" s="148">
        <f t="shared" si="3"/>
        <v>1.797294761989177</v>
      </c>
      <c r="I39" s="147">
        <f>VLOOKUP(D39,DoingBusiness!$A$1:$K$202,9,FALSE)</f>
        <v>132</v>
      </c>
      <c r="J39" s="148">
        <f t="shared" si="4"/>
        <v>0.98388318457459734</v>
      </c>
      <c r="K39" s="147">
        <f>VLOOKUP(D39,DoingBusiness!$A$1:$K$202,10,FALSE)</f>
        <v>102</v>
      </c>
      <c r="L39" s="148">
        <f t="shared" si="5"/>
        <v>0.37337742320611006</v>
      </c>
      <c r="M39" s="149">
        <f t="shared" si="6"/>
        <v>2.3464430265788576</v>
      </c>
      <c r="N39" s="149">
        <f t="shared" si="7"/>
        <v>1.5081571828396816</v>
      </c>
      <c r="O39" s="130"/>
      <c r="P39" s="118" t="s">
        <v>72</v>
      </c>
      <c r="Q39" s="146">
        <f>VLOOKUP(P39,ONDD!$A$5:$H$246,3,FALSE)</f>
        <v>3</v>
      </c>
      <c r="R39" s="149">
        <f t="shared" si="8"/>
        <v>-0.89020416509223754</v>
      </c>
      <c r="S39" s="146">
        <f>VLOOKUP(P39,ONDD!$A$5:$H$246,7,FALSE)</f>
        <v>1</v>
      </c>
      <c r="T39" s="149">
        <f t="shared" si="9"/>
        <v>-1.3296274165638051</v>
      </c>
      <c r="U39" s="146">
        <f>VLOOKUP(P39,ONDD!$A$5:$H$246,8,FALSE)</f>
        <v>3</v>
      </c>
      <c r="V39" s="149">
        <f t="shared" si="10"/>
        <v>-0.76184582881193175</v>
      </c>
      <c r="W39" s="149">
        <f t="shared" si="11"/>
        <v>-0.98083360341010006</v>
      </c>
      <c r="X39" s="149">
        <f t="shared" si="12"/>
        <v>-0.86682287010412884</v>
      </c>
      <c r="Y39" s="130"/>
      <c r="Z39" s="146" t="str">
        <f t="shared" si="13"/>
        <v>Uruguay</v>
      </c>
      <c r="AA39" s="146">
        <f>VLOOKUP(Z39,Coface!$A$2:$G$161,7,FALSE)</f>
        <v>4</v>
      </c>
      <c r="AB39" s="165">
        <f t="shared" si="14"/>
        <v>-0.89039223904326426</v>
      </c>
      <c r="AC39" s="163">
        <f>VLOOKUP(Z39,Coface!$A$2:$G$161,4,FALSE)</f>
        <v>4</v>
      </c>
      <c r="AD39" s="165">
        <f t="shared" si="15"/>
        <v>-0.8955347708024407</v>
      </c>
      <c r="AE39" s="165">
        <f t="shared" si="16"/>
        <v>4</v>
      </c>
      <c r="AF39" s="165">
        <f t="shared" si="17"/>
        <v>-0.92752835875494744</v>
      </c>
      <c r="AG39" s="118"/>
      <c r="AH39" s="118"/>
      <c r="AI39" s="163" t="str">
        <f t="shared" si="18"/>
        <v>Uruguay</v>
      </c>
      <c r="AJ39" s="118">
        <v>37</v>
      </c>
      <c r="AK39" s="118">
        <v>38</v>
      </c>
      <c r="AL39" s="118">
        <v>38</v>
      </c>
      <c r="AM39" s="164">
        <f t="shared" si="19"/>
        <v>1.1166396847039846</v>
      </c>
      <c r="AN39" s="163" t="str">
        <f t="shared" si="20"/>
        <v>Uruguay</v>
      </c>
      <c r="AO39" s="165">
        <f>VLOOKUP(AN39,'Stripped Spread'!$C$18:$E$60,3,FALSE)</f>
        <v>-0.34765727585037098</v>
      </c>
      <c r="AP39" s="118"/>
      <c r="AQ39" s="164">
        <f t="shared" si="21"/>
        <v>-2.7723646438730931E-2</v>
      </c>
      <c r="AR39" s="165">
        <f t="shared" si="22"/>
        <v>-0.44534397779812457</v>
      </c>
      <c r="AS39" s="165">
        <f t="shared" si="23"/>
        <v>-0.34765727585037098</v>
      </c>
      <c r="BC39" s="167" t="s">
        <v>12</v>
      </c>
      <c r="BD39" s="171">
        <f t="shared" si="24"/>
        <v>1.6415327013261518</v>
      </c>
      <c r="BE39" s="171">
        <f t="shared" si="25"/>
        <v>2.7898082980863612</v>
      </c>
      <c r="BF39" s="182"/>
      <c r="BG39" s="174" t="s">
        <v>12</v>
      </c>
      <c r="BH39" s="7">
        <f t="shared" si="26"/>
        <v>1.0891186651582478</v>
      </c>
      <c r="BI39" s="171">
        <f t="shared" si="27"/>
        <v>2.7898082980863612</v>
      </c>
      <c r="BJ39" s="182"/>
      <c r="BK39" s="171"/>
      <c r="BL39" s="182"/>
      <c r="BP39" s="185" t="s">
        <v>642</v>
      </c>
      <c r="BQ39" s="7">
        <f>STDEV(BQ2:BQ36)</f>
        <v>40.068282055645412</v>
      </c>
      <c r="BU39" s="185" t="s">
        <v>642</v>
      </c>
      <c r="BV39" s="7">
        <f>STDEV(BV2:BV36)</f>
        <v>37.916139221252187</v>
      </c>
    </row>
    <row r="40" spans="1:81" ht="26.25" x14ac:dyDescent="0.25">
      <c r="A40" s="127" t="s">
        <v>461</v>
      </c>
      <c r="B40" s="127" t="s">
        <v>206</v>
      </c>
      <c r="C40" s="127" t="s">
        <v>169</v>
      </c>
      <c r="D40" s="128" t="str">
        <f t="shared" si="1"/>
        <v>Venezuela, R.B.</v>
      </c>
      <c r="E40" s="147">
        <f>VLOOKUP(D40,DoingBusiness!$A$1:$K$202,3,FALSE)</f>
        <v>144</v>
      </c>
      <c r="F40" s="148">
        <f t="shared" si="2"/>
        <v>1.0662370354357857</v>
      </c>
      <c r="G40" s="147">
        <f>VLOOKUP(D40,DoingBusiness!$A$1:$K$202,5,FALSE)</f>
        <v>101</v>
      </c>
      <c r="H40" s="148">
        <f t="shared" si="3"/>
        <v>0.42056575703844262</v>
      </c>
      <c r="I40" s="147">
        <f>VLOOKUP(D40,DoingBusiness!$A$1:$K$202,9,FALSE)</f>
        <v>167</v>
      </c>
      <c r="J40" s="148">
        <f t="shared" si="4"/>
        <v>1.7543941122534987</v>
      </c>
      <c r="K40" s="147">
        <f>VLOOKUP(D40,DoingBusiness!$A$1:$K$202,10,FALSE)</f>
        <v>74</v>
      </c>
      <c r="L40" s="148">
        <f t="shared" si="5"/>
        <v>-0.24345789622062575</v>
      </c>
      <c r="M40" s="149">
        <f t="shared" si="6"/>
        <v>1.7801708141377608</v>
      </c>
      <c r="N40" s="149">
        <f t="shared" si="7"/>
        <v>1.0276755449648778</v>
      </c>
      <c r="O40" s="130"/>
      <c r="P40" s="139" t="s">
        <v>12</v>
      </c>
      <c r="Q40" s="146">
        <f>VLOOKUP(P40,ONDD!$A$5:$H$246,3,FALSE)</f>
        <v>7</v>
      </c>
      <c r="R40" s="149">
        <f t="shared" si="8"/>
        <v>1.4635560002363905</v>
      </c>
      <c r="S40" s="146">
        <f>VLOOKUP(P40,ONDD!$A$5:$H$246,7,FALSE)</f>
        <v>7</v>
      </c>
      <c r="T40" s="149">
        <f t="shared" si="9"/>
        <v>2.2059727592990401</v>
      </c>
      <c r="U40" s="146">
        <f>VLOOKUP(P40,ONDD!$A$5:$H$246,8,FALSE)</f>
        <v>6</v>
      </c>
      <c r="V40" s="149">
        <f t="shared" si="10"/>
        <v>1.3110835193507668</v>
      </c>
      <c r="W40" s="149">
        <f>((Q$48*R40^2)+Q$49*R40+Q$50)+((S$48*T40^2)+S$49*T40)+(U$48*V40^2)+(U$49*V40+U$50)</f>
        <v>5.7028493960120308</v>
      </c>
      <c r="X40" s="149">
        <f t="shared" si="12"/>
        <v>2.208022496371397</v>
      </c>
      <c r="Y40" s="130"/>
      <c r="Z40" s="166" t="s">
        <v>12</v>
      </c>
      <c r="AA40" s="146">
        <f>VLOOKUP(Z40,Coface!$A$2:$G$161,7,FALSE)</f>
        <v>12</v>
      </c>
      <c r="AB40" s="165">
        <f t="shared" si="14"/>
        <v>1.1983474495394306</v>
      </c>
      <c r="AC40" s="163">
        <f>VLOOKUP(Z40,Coface!$A$2:$G$161,4,FALSE)</f>
        <v>12</v>
      </c>
      <c r="AD40" s="165">
        <f t="shared" si="15"/>
        <v>0.99234934061892088</v>
      </c>
      <c r="AE40" s="165">
        <f t="shared" si="16"/>
        <v>11.999999999999998</v>
      </c>
      <c r="AF40" s="165">
        <f t="shared" si="17"/>
        <v>1.0891186651582478</v>
      </c>
      <c r="AG40" s="118"/>
      <c r="AH40" s="118"/>
      <c r="AI40" s="163" t="str">
        <f t="shared" si="18"/>
        <v>Venezuela, R.B.</v>
      </c>
      <c r="AJ40" s="118">
        <v>24</v>
      </c>
      <c r="AK40" s="118">
        <v>24</v>
      </c>
      <c r="AL40" s="118">
        <v>22</v>
      </c>
      <c r="AM40" s="164">
        <f t="shared" si="19"/>
        <v>-1.1905893326976258</v>
      </c>
      <c r="AN40" s="163" t="str">
        <f t="shared" si="20"/>
        <v>Venezuela</v>
      </c>
      <c r="AO40" s="165">
        <f>VLOOKUP(AN40,'Stripped Spread'!$C$18:$E$60,3,FALSE)</f>
        <v>2.7898082980863612</v>
      </c>
      <c r="AP40" s="118"/>
      <c r="AQ40" s="65">
        <f>((M$48*N40^2)+M$49*N40+M$50)+((W$48*X40^2)+W$49*X40+W$50)+((AE$48*AF40^2)+AE$49*AF40+AE$50)+((AL$48*AM40^2)+AL$49*AM40+AL$50)</f>
        <v>5.607240055984251</v>
      </c>
      <c r="AR40" s="165">
        <f t="shared" si="22"/>
        <v>1.6415327013261518</v>
      </c>
      <c r="AS40" s="165">
        <f t="shared" si="23"/>
        <v>2.7898082980863612</v>
      </c>
    </row>
    <row r="41" spans="1:81" x14ac:dyDescent="0.2">
      <c r="A41" s="127"/>
      <c r="B41" s="127"/>
      <c r="C41" s="127"/>
      <c r="D41" s="128"/>
      <c r="E41" s="128"/>
      <c r="F41" s="128"/>
      <c r="G41" s="128"/>
      <c r="H41" s="129"/>
      <c r="I41" s="128"/>
      <c r="J41" s="129"/>
      <c r="K41" s="128"/>
      <c r="L41" s="129"/>
      <c r="M41" s="130"/>
      <c r="N41" s="130"/>
      <c r="O41" s="130"/>
      <c r="P41" s="118"/>
      <c r="Q41" s="118"/>
      <c r="R41" s="130"/>
      <c r="S41" s="118"/>
      <c r="T41" s="130"/>
      <c r="U41" s="118"/>
      <c r="V41" s="130"/>
      <c r="W41" s="130"/>
      <c r="X41" s="130"/>
      <c r="Y41" s="130"/>
      <c r="Z41" s="131"/>
      <c r="AA41" s="118"/>
      <c r="AB41" s="132"/>
      <c r="AC41" s="118"/>
      <c r="AD41" s="132"/>
      <c r="AE41" s="132"/>
      <c r="AF41" s="132"/>
      <c r="AG41" s="118"/>
      <c r="AH41" s="118"/>
      <c r="AI41" s="118"/>
      <c r="AJ41" s="118"/>
      <c r="AK41" s="118"/>
      <c r="AL41" s="118"/>
      <c r="AM41" s="130"/>
      <c r="AN41" s="118"/>
      <c r="AO41" s="132"/>
      <c r="AP41" s="118"/>
      <c r="AQ41" s="130"/>
      <c r="AR41" s="132"/>
      <c r="AS41" s="132"/>
    </row>
    <row r="42" spans="1:81" x14ac:dyDescent="0.2">
      <c r="A42" s="127"/>
      <c r="B42" s="127"/>
      <c r="C42" s="127"/>
      <c r="D42" s="128"/>
      <c r="E42" s="128"/>
      <c r="F42" s="128"/>
      <c r="G42" s="128"/>
      <c r="H42" s="129"/>
      <c r="I42" s="128"/>
      <c r="J42" s="129"/>
      <c r="K42" s="128"/>
      <c r="L42" s="129"/>
      <c r="M42" s="130"/>
      <c r="N42" s="130"/>
      <c r="O42" s="130"/>
      <c r="P42" s="118"/>
      <c r="Q42" s="118"/>
      <c r="R42" s="130"/>
      <c r="S42" s="118"/>
      <c r="T42" s="130"/>
      <c r="U42" s="118"/>
      <c r="V42" s="130"/>
      <c r="W42" s="130"/>
      <c r="X42" s="130"/>
      <c r="Y42" s="130"/>
      <c r="Z42" s="131"/>
      <c r="AA42" s="118"/>
      <c r="AB42" s="132"/>
      <c r="AC42" s="118"/>
      <c r="AD42" s="132"/>
      <c r="AE42" s="132"/>
      <c r="AF42" s="132"/>
      <c r="AG42" s="118"/>
      <c r="AH42" s="118"/>
      <c r="AI42" s="118"/>
      <c r="AJ42" s="118"/>
      <c r="AK42" s="118"/>
      <c r="AL42" s="118"/>
      <c r="AM42" s="130"/>
      <c r="AN42" s="118"/>
      <c r="AO42" s="132"/>
      <c r="AP42" s="118"/>
      <c r="AQ42" s="164"/>
      <c r="AR42" s="132"/>
      <c r="AS42" s="132"/>
    </row>
    <row r="43" spans="1:81" x14ac:dyDescent="0.2">
      <c r="A43" s="127"/>
      <c r="B43" s="127"/>
      <c r="C43" s="127"/>
      <c r="D43" s="128"/>
      <c r="E43" s="128"/>
      <c r="F43" s="128"/>
      <c r="G43" s="128"/>
      <c r="H43" s="129"/>
      <c r="I43" s="128"/>
      <c r="J43" s="129"/>
      <c r="K43" s="128"/>
      <c r="L43" s="129"/>
      <c r="M43" s="130"/>
      <c r="N43" s="130"/>
      <c r="O43" s="130"/>
      <c r="P43" s="118"/>
      <c r="Q43" s="118"/>
      <c r="R43" s="130"/>
      <c r="S43" s="118"/>
      <c r="T43" s="130"/>
      <c r="U43" s="118"/>
      <c r="V43" s="130"/>
      <c r="W43" s="130"/>
      <c r="X43" s="130"/>
      <c r="Y43" s="130"/>
      <c r="Z43" s="131"/>
      <c r="AA43" s="118"/>
      <c r="AB43" s="132"/>
      <c r="AC43" s="118"/>
      <c r="AD43" s="132"/>
      <c r="AE43" s="132"/>
      <c r="AF43" s="132"/>
      <c r="AG43" s="118"/>
      <c r="AH43" s="118"/>
      <c r="AI43" s="118"/>
      <c r="AJ43" s="118"/>
      <c r="AK43" s="118"/>
      <c r="AL43" s="118"/>
      <c r="AM43" s="130"/>
      <c r="AN43" s="118"/>
      <c r="AO43" s="132"/>
      <c r="AP43" s="118"/>
      <c r="AQ43" s="164"/>
      <c r="AR43" s="132"/>
      <c r="AS43" s="132"/>
    </row>
    <row r="44" spans="1:81" x14ac:dyDescent="0.2">
      <c r="A44" s="127"/>
      <c r="B44" s="127"/>
      <c r="C44" s="127"/>
      <c r="D44" s="128"/>
      <c r="E44" s="128"/>
      <c r="F44" s="128"/>
      <c r="G44" s="128"/>
      <c r="H44" s="128"/>
      <c r="I44" s="128"/>
      <c r="J44" s="128"/>
      <c r="K44" s="128"/>
      <c r="L44" s="128"/>
      <c r="M44" s="118"/>
      <c r="N44" s="118"/>
      <c r="O44" s="118"/>
      <c r="P44" s="118"/>
      <c r="Q44" s="118"/>
      <c r="R44" s="118"/>
      <c r="S44" s="118"/>
      <c r="T44" s="118"/>
      <c r="U44" s="118"/>
      <c r="V44" s="118"/>
      <c r="W44" s="118"/>
      <c r="X44" s="118"/>
      <c r="Y44" s="118"/>
      <c r="Z44" s="131"/>
      <c r="AA44" s="118"/>
      <c r="AB44" s="118"/>
      <c r="AC44" s="118"/>
      <c r="AD44" s="118"/>
      <c r="AE44" s="118"/>
      <c r="AF44" s="118"/>
      <c r="AG44" s="118"/>
      <c r="AH44" s="118"/>
      <c r="AI44" s="118"/>
      <c r="AJ44" s="118"/>
      <c r="AK44" s="118"/>
      <c r="AL44" s="118"/>
      <c r="AM44" s="118"/>
      <c r="AN44" s="118"/>
      <c r="AO44" s="118"/>
      <c r="AP44" s="118"/>
      <c r="AQ44" s="164"/>
      <c r="AR44" s="132"/>
      <c r="AS44" s="132"/>
    </row>
    <row r="45" spans="1:81" x14ac:dyDescent="0.2">
      <c r="A45" s="172" t="s">
        <v>635</v>
      </c>
      <c r="B45" s="127"/>
      <c r="C45" s="127"/>
      <c r="D45" s="128"/>
      <c r="E45" s="133">
        <f>AVERAGE(E2:E40)</f>
        <v>93.512820512820511</v>
      </c>
      <c r="F45" s="133"/>
      <c r="G45" s="150">
        <f>AVERAGE(G2:G40)</f>
        <v>83.282051282051285</v>
      </c>
      <c r="H45" s="133"/>
      <c r="I45" s="150">
        <f>AVERAGE(I2:I40)</f>
        <v>87.307692307692307</v>
      </c>
      <c r="J45" s="133"/>
      <c r="K45" s="150">
        <f>AVERAGE(K2:K40)</f>
        <v>85.051282051282058</v>
      </c>
      <c r="L45" s="133"/>
      <c r="M45" s="150">
        <f>AVERAGE(M2:M40)</f>
        <v>0.56900256410256411</v>
      </c>
      <c r="N45" s="118"/>
      <c r="O45" s="118"/>
      <c r="P45" s="118"/>
      <c r="Q45" s="150">
        <f>AVERAGE(Q2:Q40)</f>
        <v>4.5128205128205128</v>
      </c>
      <c r="R45" s="118"/>
      <c r="S45" s="150">
        <f>AVERAGE(S2:S40)</f>
        <v>3.2564102564102564</v>
      </c>
      <c r="T45" s="118"/>
      <c r="U45" s="150">
        <f>AVERAGE(U2:U40)</f>
        <v>4.1025641025641022</v>
      </c>
      <c r="V45" s="118"/>
      <c r="W45" s="150">
        <f>AVERAGE(W2:W40)</f>
        <v>0.90334871794871852</v>
      </c>
      <c r="X45" s="118"/>
      <c r="Y45" s="118"/>
      <c r="Z45" s="131"/>
      <c r="AA45" s="150">
        <f>AVERAGE(AA2:AA40)</f>
        <v>7.4102564102564106</v>
      </c>
      <c r="AB45" s="118"/>
      <c r="AC45" s="150">
        <f>AVERAGE(AC2:AC40)</f>
        <v>7.7948717948717947</v>
      </c>
      <c r="AD45" s="118"/>
      <c r="AE45" s="150">
        <f>AVERAGE(AE2:AE40)</f>
        <v>7.6794871794871797</v>
      </c>
      <c r="AF45" s="118"/>
      <c r="AG45" s="118"/>
      <c r="AH45" s="118"/>
      <c r="AI45" s="118"/>
      <c r="AJ45" s="118"/>
      <c r="AK45" s="118"/>
      <c r="AL45" s="150">
        <f>AVERAGE(AL2:AL40)</f>
        <v>30.256410256410255</v>
      </c>
      <c r="AM45" s="118"/>
      <c r="AN45" s="118"/>
      <c r="AO45" s="118"/>
      <c r="AP45" s="118"/>
      <c r="AQ45" s="150">
        <f>AVERAGE(AQ2:AQ40)</f>
        <v>1.1747897435897434</v>
      </c>
      <c r="AR45" s="118"/>
      <c r="AS45" s="173"/>
    </row>
    <row r="46" spans="1:81" x14ac:dyDescent="0.2">
      <c r="A46" s="177" t="s">
        <v>636</v>
      </c>
      <c r="B46" s="134"/>
      <c r="C46" s="134"/>
      <c r="D46" s="128"/>
      <c r="E46" s="133">
        <f>STDEV(E2:E40)</f>
        <v>47.350802691396559</v>
      </c>
      <c r="F46" s="133"/>
      <c r="G46" s="150">
        <f>STDEV(G2:G40)</f>
        <v>42.12884292510094</v>
      </c>
      <c r="H46" s="133"/>
      <c r="I46" s="150">
        <f>STDEV(I2:I40)</f>
        <v>45.424404434385529</v>
      </c>
      <c r="J46" s="133"/>
      <c r="K46" s="150">
        <f>STDEV(K2:K40)</f>
        <v>45.392990832662072</v>
      </c>
      <c r="L46" s="133"/>
      <c r="M46" s="150">
        <f>STDEV(M2:M40)</f>
        <v>1.1785512032171497</v>
      </c>
      <c r="N46" s="118"/>
      <c r="O46" s="118"/>
      <c r="P46" s="118"/>
      <c r="Q46" s="150">
        <f>STDEV(Q2:Q40)</f>
        <v>1.6994084864383481</v>
      </c>
      <c r="R46" s="118"/>
      <c r="S46" s="150">
        <f>STDEV(S2:S40)</f>
        <v>1.6970244658774887</v>
      </c>
      <c r="T46" s="118"/>
      <c r="U46" s="150">
        <f>STDEV(U2:U40)</f>
        <v>1.4472273271923102</v>
      </c>
      <c r="V46" s="118"/>
      <c r="W46" s="150">
        <f>STDEV(W2:W40)</f>
        <v>2.17366475475258</v>
      </c>
      <c r="X46" s="118"/>
      <c r="Y46" s="118"/>
      <c r="Z46" s="131"/>
      <c r="AA46" s="150">
        <f>STDEV(AA2:AA40)</f>
        <v>3.830060798733788</v>
      </c>
      <c r="AB46" s="118"/>
      <c r="AC46" s="150">
        <f>STDEV(AC2:AC40)</f>
        <v>4.2375482433489582</v>
      </c>
      <c r="AD46" s="118"/>
      <c r="AE46" s="150">
        <f>STDEV(AE2:AE40)</f>
        <v>3.9669807879796575</v>
      </c>
      <c r="AF46" s="118"/>
      <c r="AG46" s="118"/>
      <c r="AH46" s="118"/>
      <c r="AI46" s="118"/>
      <c r="AJ46" s="118"/>
      <c r="AK46" s="132"/>
      <c r="AL46" s="150">
        <f>STDEV(AL2:AL40)</f>
        <v>6.9347255427721342</v>
      </c>
      <c r="AM46" s="132"/>
      <c r="AN46" s="132"/>
      <c r="AO46" s="132"/>
      <c r="AP46" s="118"/>
      <c r="AQ46" s="150">
        <f>STDEV(AQ2:AQ40)</f>
        <v>2.7001900777326249</v>
      </c>
      <c r="AR46" s="118"/>
      <c r="AS46" s="173"/>
    </row>
    <row r="47" spans="1:81" x14ac:dyDescent="0.2">
      <c r="A47" s="118"/>
      <c r="B47" s="118"/>
      <c r="C47" s="118"/>
      <c r="D47" s="128"/>
      <c r="E47" s="128"/>
      <c r="F47" s="128"/>
      <c r="G47" s="128"/>
      <c r="H47" s="128"/>
      <c r="I47" s="128"/>
      <c r="J47" s="128"/>
      <c r="K47" s="128"/>
      <c r="L47" s="128"/>
      <c r="M47" s="118"/>
      <c r="N47" s="118"/>
      <c r="O47" s="118"/>
      <c r="P47" s="118"/>
      <c r="Q47" s="118"/>
      <c r="R47" s="118"/>
      <c r="S47" s="118"/>
      <c r="T47" s="118"/>
      <c r="U47" s="118"/>
      <c r="V47" s="118"/>
      <c r="W47" s="118"/>
      <c r="X47" s="118"/>
      <c r="Y47" s="118"/>
      <c r="Z47" s="118"/>
      <c r="AA47" s="118"/>
      <c r="AB47" s="118"/>
      <c r="AC47" s="118"/>
      <c r="AD47" s="118"/>
      <c r="AE47" s="118"/>
      <c r="AF47" s="118"/>
      <c r="AG47" s="118"/>
      <c r="AH47" s="118"/>
      <c r="AI47" s="118"/>
      <c r="AJ47" s="118"/>
      <c r="AK47" s="132"/>
      <c r="AL47" s="132"/>
      <c r="AM47" s="132"/>
      <c r="AN47" s="132"/>
      <c r="AO47" s="132"/>
      <c r="AP47" s="118"/>
      <c r="AQ47" s="132"/>
      <c r="AR47" s="118"/>
      <c r="AS47" s="118"/>
    </row>
    <row r="48" spans="1:81" x14ac:dyDescent="0.2">
      <c r="A48" s="173" t="s">
        <v>640</v>
      </c>
      <c r="B48" s="118"/>
      <c r="C48" s="118"/>
      <c r="D48" s="128"/>
      <c r="E48" s="138">
        <v>0.2034</v>
      </c>
      <c r="F48" s="128"/>
      <c r="G48" s="138">
        <v>0.2452</v>
      </c>
      <c r="H48" s="128"/>
      <c r="I48" s="138">
        <v>0.17549999999999999</v>
      </c>
      <c r="J48" s="128"/>
      <c r="K48" s="138">
        <v>0.40150000000000002</v>
      </c>
      <c r="L48" s="128"/>
      <c r="M48" s="140">
        <v>0.1318</v>
      </c>
      <c r="N48" s="135"/>
      <c r="O48" s="135"/>
      <c r="P48" s="135"/>
      <c r="Q48" s="141">
        <v>0.33829999999999999</v>
      </c>
      <c r="R48" s="130"/>
      <c r="S48" s="141">
        <v>0.25319999999999998</v>
      </c>
      <c r="T48" s="130"/>
      <c r="U48" s="141">
        <v>0.41670000000000001</v>
      </c>
      <c r="V48" s="130"/>
      <c r="W48" s="140">
        <v>9.8199999999999996E-2</v>
      </c>
      <c r="X48" s="135"/>
      <c r="Y48" s="135"/>
      <c r="Z48" s="135"/>
      <c r="AA48" s="135"/>
      <c r="AB48" s="135"/>
      <c r="AC48" s="135"/>
      <c r="AD48" s="135"/>
      <c r="AE48" s="140">
        <v>0.1946</v>
      </c>
      <c r="AF48" s="135"/>
      <c r="AG48" s="118"/>
      <c r="AH48" s="118"/>
      <c r="AI48" s="118"/>
      <c r="AJ48" s="118"/>
      <c r="AK48" s="118"/>
      <c r="AL48" s="140">
        <v>3.5999999999999997E-2</v>
      </c>
      <c r="AM48" s="118"/>
      <c r="AN48" s="118"/>
      <c r="AO48" s="118"/>
      <c r="AP48" s="173"/>
      <c r="AQ48" s="173" t="s">
        <v>709</v>
      </c>
      <c r="AR48" s="104">
        <f>LINEST(BE2:BE39,BD2:BD39,TRUE,FALSE)</f>
        <v>0.85531297104004989</v>
      </c>
      <c r="AS48" s="118"/>
      <c r="AV48" s="208"/>
    </row>
    <row r="49" spans="1:48" x14ac:dyDescent="0.2">
      <c r="A49" s="173" t="s">
        <v>308</v>
      </c>
      <c r="B49" s="136"/>
      <c r="C49" s="136"/>
      <c r="D49" s="128"/>
      <c r="E49" s="138">
        <v>0.42449999999999999</v>
      </c>
      <c r="F49" s="128"/>
      <c r="G49" s="138">
        <v>0.34389999999999998</v>
      </c>
      <c r="H49" s="128"/>
      <c r="I49" s="138">
        <v>0.47170000000000001</v>
      </c>
      <c r="J49" s="128"/>
      <c r="K49" s="138">
        <v>0.21729999999999999</v>
      </c>
      <c r="L49" s="128"/>
      <c r="M49" s="140">
        <v>0.53580000000000005</v>
      </c>
      <c r="N49" s="135"/>
      <c r="O49" s="135"/>
      <c r="P49" s="118"/>
      <c r="Q49" s="141">
        <v>0.75129999999999997</v>
      </c>
      <c r="R49" s="130"/>
      <c r="S49" s="142">
        <v>0.48330000000000001</v>
      </c>
      <c r="T49" s="118"/>
      <c r="U49" s="142">
        <v>0.71930000000000005</v>
      </c>
      <c r="V49" s="118"/>
      <c r="W49" s="140">
        <v>0.83909999999999996</v>
      </c>
      <c r="X49" s="135"/>
      <c r="Y49" s="135"/>
      <c r="Z49" s="135"/>
      <c r="AA49" s="135"/>
      <c r="AB49" s="135"/>
      <c r="AC49" s="135"/>
      <c r="AD49" s="135"/>
      <c r="AE49" s="180">
        <v>0.63560000000000005</v>
      </c>
      <c r="AF49" s="135"/>
      <c r="AG49" s="118"/>
      <c r="AH49" s="118"/>
      <c r="AI49" s="118"/>
      <c r="AJ49" s="118"/>
      <c r="AK49" s="118"/>
      <c r="AL49" s="140">
        <v>-0.74399999999999999</v>
      </c>
      <c r="AO49" s="14"/>
      <c r="AP49" s="1"/>
      <c r="AQ49" s="173" t="s">
        <v>315</v>
      </c>
      <c r="AR49" s="14">
        <f>INTERCEPT(BE2:BE39,BD2:BD39)</f>
        <v>0.2922465237980616</v>
      </c>
      <c r="AV49" s="208"/>
    </row>
    <row r="50" spans="1:48" x14ac:dyDescent="0.2">
      <c r="A50" s="173" t="s">
        <v>315</v>
      </c>
      <c r="B50" s="130"/>
      <c r="C50" s="130"/>
      <c r="D50" s="128"/>
      <c r="E50" s="128">
        <v>1.9E-2</v>
      </c>
      <c r="F50" s="128"/>
      <c r="G50" s="138">
        <v>-9.2899999999999996E-2</v>
      </c>
      <c r="H50" s="128"/>
      <c r="I50" s="128">
        <v>8.9700000000000002E-2</v>
      </c>
      <c r="J50" s="128"/>
      <c r="K50" s="138">
        <v>-0.33739999999999998</v>
      </c>
      <c r="L50" s="128"/>
      <c r="M50" s="140">
        <v>0.19339999999999999</v>
      </c>
      <c r="N50" s="135"/>
      <c r="O50" s="135"/>
      <c r="P50" s="118"/>
      <c r="Q50" s="141">
        <v>-1.44E-2</v>
      </c>
      <c r="R50" s="130"/>
      <c r="S50" s="118">
        <v>4.36E-2</v>
      </c>
      <c r="T50" s="118"/>
      <c r="U50" s="142">
        <v>-6.4600000000000005E-2</v>
      </c>
      <c r="V50" s="118"/>
      <c r="W50" s="140">
        <v>0.25380000000000003</v>
      </c>
      <c r="X50" s="135"/>
      <c r="Y50" s="135"/>
      <c r="Z50" s="178"/>
      <c r="AA50" s="135"/>
      <c r="AB50" s="135"/>
      <c r="AC50" s="135"/>
      <c r="AD50" s="135"/>
      <c r="AE50" s="180">
        <v>8.8800000000000004E-2</v>
      </c>
      <c r="AF50" s="135"/>
      <c r="AG50" s="118"/>
      <c r="AH50" s="118"/>
      <c r="AI50" s="118"/>
      <c r="AJ50" s="118"/>
      <c r="AK50" s="118"/>
      <c r="AL50" s="140">
        <v>0.19</v>
      </c>
      <c r="AP50" s="1"/>
      <c r="AV50" s="208"/>
    </row>
    <row r="51" spans="1:48" x14ac:dyDescent="0.2">
      <c r="A51" s="118"/>
      <c r="B51" s="130"/>
      <c r="C51" s="130"/>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18"/>
      <c r="AH51" s="118"/>
      <c r="AI51" s="118"/>
      <c r="AJ51" s="118"/>
      <c r="AK51" s="118"/>
      <c r="AL51" s="118"/>
      <c r="AV51" s="208"/>
    </row>
    <row r="52" spans="1:48" x14ac:dyDescent="0.2">
      <c r="A52" s="118"/>
      <c r="B52" s="130"/>
      <c r="C52" s="130"/>
      <c r="D52" s="130"/>
      <c r="E52" s="130"/>
      <c r="F52" s="130"/>
      <c r="G52" s="130"/>
      <c r="H52" s="130"/>
      <c r="I52" s="130"/>
      <c r="J52" s="130"/>
      <c r="K52" s="130"/>
      <c r="L52" s="130"/>
      <c r="M52" s="130"/>
      <c r="N52" s="130"/>
      <c r="O52" s="130"/>
      <c r="P52" s="130"/>
      <c r="Q52" s="130"/>
      <c r="R52" s="130"/>
      <c r="S52" s="130"/>
      <c r="T52" s="130"/>
      <c r="U52" s="130"/>
      <c r="V52" s="130"/>
      <c r="W52" s="164"/>
      <c r="X52" s="130"/>
      <c r="Y52" s="130"/>
      <c r="Z52" s="130"/>
      <c r="AA52" s="130"/>
      <c r="AB52" s="130"/>
      <c r="AC52" s="130"/>
      <c r="AD52" s="130"/>
      <c r="AE52" s="164"/>
      <c r="AF52" s="130"/>
      <c r="AG52" s="118"/>
      <c r="AH52" s="118"/>
      <c r="AI52" s="118"/>
      <c r="AJ52" s="118"/>
      <c r="AK52" s="118"/>
      <c r="AL52" s="164"/>
    </row>
    <row r="53" spans="1:48" x14ac:dyDescent="0.2">
      <c r="A53" s="118"/>
      <c r="B53" s="130"/>
      <c r="C53" s="130"/>
      <c r="D53" s="130"/>
      <c r="E53" s="130"/>
      <c r="F53" s="130"/>
      <c r="G53" s="130"/>
      <c r="H53" s="130"/>
      <c r="I53" s="130"/>
      <c r="J53" s="130"/>
      <c r="K53" s="130"/>
      <c r="L53" s="130"/>
      <c r="M53" s="130"/>
      <c r="N53" s="130"/>
      <c r="O53" s="130"/>
      <c r="P53" s="130"/>
      <c r="Q53" s="130"/>
      <c r="R53" s="130"/>
      <c r="S53" s="130"/>
      <c r="T53" s="130"/>
      <c r="U53" s="130"/>
      <c r="V53" s="130"/>
      <c r="W53" s="130"/>
      <c r="X53" s="130"/>
      <c r="Y53" s="130"/>
      <c r="Z53" s="130"/>
      <c r="AA53" s="130"/>
      <c r="AB53" s="130"/>
      <c r="AC53" s="130"/>
      <c r="AD53" s="130"/>
      <c r="AE53" s="130"/>
      <c r="AF53" s="130"/>
      <c r="AG53" s="118"/>
      <c r="AH53" s="118"/>
      <c r="AI53" s="118"/>
      <c r="AJ53" s="118"/>
      <c r="AK53" s="118"/>
      <c r="AL53" s="118"/>
    </row>
    <row r="54" spans="1:48" x14ac:dyDescent="0.2">
      <c r="A54" s="118"/>
      <c r="B54" s="136" t="s">
        <v>200</v>
      </c>
      <c r="C54" s="136" t="s">
        <v>163</v>
      </c>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8"/>
      <c r="AB54" s="118"/>
      <c r="AC54" s="118"/>
      <c r="AD54" s="118"/>
      <c r="AE54" s="118"/>
      <c r="AF54" s="118"/>
      <c r="AG54" s="118"/>
      <c r="AH54" s="118"/>
      <c r="AI54" s="118"/>
      <c r="AJ54" s="118"/>
      <c r="AK54" s="118"/>
      <c r="AL54" s="118"/>
    </row>
    <row r="55" spans="1:48" x14ac:dyDescent="0.2">
      <c r="A55" s="118" t="s">
        <v>204</v>
      </c>
      <c r="B55" s="130"/>
      <c r="C55" s="130"/>
      <c r="D55" s="130"/>
      <c r="E55" s="130"/>
      <c r="F55" s="130"/>
      <c r="G55" s="130"/>
      <c r="H55" s="130"/>
      <c r="I55" s="130"/>
      <c r="J55" s="130"/>
      <c r="K55" s="130"/>
      <c r="L55" s="130"/>
      <c r="M55" s="130"/>
      <c r="N55" s="130"/>
      <c r="O55" s="130"/>
      <c r="P55" s="130"/>
      <c r="Q55" s="130"/>
      <c r="R55" s="130"/>
      <c r="S55" s="130"/>
      <c r="T55" s="130"/>
      <c r="U55" s="130"/>
      <c r="V55" s="130"/>
      <c r="W55" s="130"/>
      <c r="X55" s="130"/>
      <c r="Y55" s="130"/>
      <c r="Z55" s="130"/>
      <c r="AA55" s="130"/>
      <c r="AB55" s="130"/>
      <c r="AC55" s="130"/>
      <c r="AD55" s="130"/>
      <c r="AE55" s="130"/>
      <c r="AF55" s="130"/>
      <c r="AG55" s="118"/>
      <c r="AH55" s="118"/>
      <c r="AI55" s="118"/>
      <c r="AJ55" s="118"/>
      <c r="AK55" s="118"/>
      <c r="AL55" s="118"/>
    </row>
    <row r="56" spans="1:48" x14ac:dyDescent="0.2">
      <c r="A56" s="118" t="s">
        <v>205</v>
      </c>
      <c r="B56" s="130"/>
      <c r="C56" s="130"/>
      <c r="D56" s="130"/>
      <c r="E56" s="130"/>
      <c r="F56" s="130"/>
      <c r="G56" s="130"/>
      <c r="H56" s="130"/>
      <c r="I56" s="130"/>
      <c r="J56" s="130"/>
      <c r="K56" s="130"/>
      <c r="L56" s="130"/>
      <c r="M56" s="130"/>
      <c r="N56" s="130"/>
      <c r="O56" s="130"/>
      <c r="P56" s="130"/>
      <c r="Q56" s="130"/>
      <c r="R56" s="130"/>
      <c r="S56" s="130"/>
      <c r="T56" s="130"/>
      <c r="U56" s="130"/>
      <c r="V56" s="130"/>
      <c r="W56" s="130"/>
      <c r="X56" s="130"/>
      <c r="Y56" s="130"/>
      <c r="Z56" s="130"/>
      <c r="AA56" s="130"/>
      <c r="AB56" s="130"/>
      <c r="AC56" s="130"/>
      <c r="AD56" s="130"/>
      <c r="AE56" s="130"/>
      <c r="AF56" s="130"/>
      <c r="AG56" s="118"/>
      <c r="AH56" s="118"/>
      <c r="AI56" s="118"/>
      <c r="AJ56" s="118"/>
      <c r="AK56" s="118"/>
      <c r="AL56" s="118"/>
    </row>
    <row r="57" spans="1:48" x14ac:dyDescent="0.2">
      <c r="A57" s="118" t="s">
        <v>208</v>
      </c>
      <c r="B57" s="130"/>
      <c r="C57" s="130"/>
      <c r="D57" s="130"/>
      <c r="E57" s="130"/>
      <c r="F57" s="130"/>
      <c r="G57" s="130"/>
      <c r="H57" s="130"/>
      <c r="I57" s="130"/>
      <c r="J57" s="130"/>
      <c r="K57" s="130"/>
      <c r="L57" s="130"/>
      <c r="M57" s="130"/>
      <c r="N57" s="130"/>
      <c r="O57" s="130"/>
      <c r="P57" s="130"/>
      <c r="Q57" s="130"/>
      <c r="R57" s="130"/>
      <c r="S57" s="130"/>
      <c r="T57" s="130"/>
      <c r="U57" s="130"/>
      <c r="V57" s="130"/>
      <c r="W57" s="130"/>
      <c r="X57" s="130"/>
      <c r="Y57" s="130"/>
      <c r="Z57" s="130"/>
      <c r="AA57" s="130"/>
      <c r="AB57" s="130"/>
      <c r="AC57" s="130"/>
      <c r="AD57" s="130"/>
      <c r="AE57" s="130"/>
      <c r="AF57" s="130"/>
      <c r="AG57" s="118"/>
      <c r="AH57" s="118"/>
      <c r="AI57" s="118"/>
      <c r="AJ57" s="118"/>
      <c r="AK57" s="118"/>
      <c r="AL57" s="118"/>
    </row>
    <row r="58" spans="1:48" x14ac:dyDescent="0.2">
      <c r="A58" s="118" t="s">
        <v>207</v>
      </c>
      <c r="B58" s="130"/>
      <c r="C58" s="130"/>
      <c r="D58" s="118"/>
      <c r="E58" s="118"/>
      <c r="F58" s="118"/>
      <c r="G58" s="118"/>
      <c r="H58" s="118"/>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8"/>
      <c r="AF58" s="118"/>
      <c r="AG58" s="118"/>
      <c r="AH58" s="118"/>
      <c r="AI58" s="118"/>
      <c r="AJ58" s="118"/>
      <c r="AK58" s="118"/>
      <c r="AL58" s="118"/>
    </row>
    <row r="60" spans="1:48" x14ac:dyDescent="0.2">
      <c r="A60" s="118" t="s">
        <v>169</v>
      </c>
      <c r="B60" s="130">
        <v>1.3102079394960182</v>
      </c>
      <c r="C60" s="130">
        <v>3.37963547332369</v>
      </c>
      <c r="D60" s="118"/>
      <c r="E60" s="118"/>
      <c r="F60" s="118"/>
      <c r="G60" s="118"/>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118"/>
      <c r="AH60" s="118"/>
      <c r="AI60" s="118"/>
      <c r="AJ60" s="118"/>
      <c r="AK60" s="118"/>
      <c r="AL60" s="118"/>
    </row>
    <row r="61" spans="1:48" x14ac:dyDescent="0.2">
      <c r="A61" s="118" t="s">
        <v>124</v>
      </c>
      <c r="B61" s="130">
        <v>1.7026283157774948</v>
      </c>
      <c r="C61" s="130">
        <v>3.6663076726854342</v>
      </c>
      <c r="D61" s="118"/>
      <c r="E61" s="118"/>
      <c r="F61" s="118"/>
      <c r="G61" s="118"/>
      <c r="H61" s="118"/>
      <c r="I61" s="118"/>
      <c r="J61" s="118"/>
      <c r="K61" s="118"/>
      <c r="L61" s="118"/>
      <c r="M61" s="118"/>
      <c r="N61" s="118"/>
      <c r="O61" s="118"/>
      <c r="P61" s="118"/>
      <c r="Q61" s="118"/>
      <c r="R61" s="118"/>
      <c r="S61" s="118"/>
      <c r="T61" s="118"/>
      <c r="U61" s="118"/>
      <c r="V61" s="118"/>
      <c r="W61" s="118"/>
      <c r="X61" s="118"/>
      <c r="Y61" s="118"/>
      <c r="Z61" s="118"/>
      <c r="AA61" s="118"/>
      <c r="AB61" s="118"/>
      <c r="AC61" s="118"/>
      <c r="AD61" s="118"/>
      <c r="AE61" s="118"/>
      <c r="AF61" s="118"/>
      <c r="AG61" s="118"/>
      <c r="AH61" s="118"/>
      <c r="AI61" s="118"/>
      <c r="AJ61" s="118"/>
      <c r="AK61" s="118"/>
      <c r="AL61" s="118"/>
    </row>
    <row r="62" spans="1:48" x14ac:dyDescent="0.2">
      <c r="A62" s="118" t="s">
        <v>16</v>
      </c>
      <c r="B62" s="130">
        <v>0.32869180788055791</v>
      </c>
      <c r="C62" s="130">
        <v>1.4775710526018315</v>
      </c>
      <c r="D62" s="118"/>
      <c r="E62" s="118"/>
      <c r="F62" s="118"/>
      <c r="G62" s="118"/>
      <c r="H62" s="118"/>
      <c r="I62" s="118"/>
      <c r="J62" s="118"/>
      <c r="K62" s="118"/>
      <c r="L62" s="118"/>
      <c r="M62" s="118"/>
      <c r="N62" s="118"/>
      <c r="O62" s="118"/>
      <c r="P62" s="118"/>
      <c r="Q62" s="118"/>
      <c r="R62" s="118"/>
      <c r="S62" s="118"/>
      <c r="T62" s="118"/>
      <c r="U62" s="118"/>
      <c r="V62" s="118"/>
      <c r="W62" s="118"/>
      <c r="X62" s="118"/>
      <c r="Y62" s="118"/>
      <c r="Z62" s="118"/>
      <c r="AA62" s="118"/>
      <c r="AB62" s="118"/>
      <c r="AC62" s="118"/>
      <c r="AD62" s="118"/>
      <c r="AE62" s="118"/>
      <c r="AF62" s="118"/>
      <c r="AG62" s="118"/>
      <c r="AH62" s="118"/>
      <c r="AI62" s="118"/>
      <c r="AJ62" s="118"/>
      <c r="AK62" s="118"/>
      <c r="AL62" s="118"/>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K202"/>
  <sheetViews>
    <sheetView workbookViewId="0">
      <pane xSplit="1" ySplit="1" topLeftCell="B2" activePane="bottomRight" state="frozen"/>
      <selection pane="topRight" activeCell="B1" sqref="B1"/>
      <selection pane="bottomLeft" activeCell="A2" sqref="A2"/>
      <selection pane="bottomRight" activeCell="C3" sqref="C3"/>
    </sheetView>
  </sheetViews>
  <sheetFormatPr defaultRowHeight="12.75" x14ac:dyDescent="0.2"/>
  <sheetData>
    <row r="1" spans="1:11" ht="75" x14ac:dyDescent="0.2">
      <c r="A1" s="143" t="s">
        <v>442</v>
      </c>
      <c r="B1" s="143" t="s">
        <v>462</v>
      </c>
      <c r="C1" s="143" t="s">
        <v>443</v>
      </c>
      <c r="D1" s="143" t="s">
        <v>463</v>
      </c>
      <c r="E1" s="143" t="s">
        <v>445</v>
      </c>
      <c r="F1" s="143" t="s">
        <v>464</v>
      </c>
      <c r="G1" s="143" t="s">
        <v>465</v>
      </c>
      <c r="H1" s="143" t="s">
        <v>466</v>
      </c>
      <c r="I1" s="143" t="s">
        <v>446</v>
      </c>
      <c r="J1" s="143" t="s">
        <v>447</v>
      </c>
      <c r="K1" s="143" t="s">
        <v>467</v>
      </c>
    </row>
    <row r="2" spans="1:11" ht="30" x14ac:dyDescent="0.25">
      <c r="A2" s="159" t="s">
        <v>5</v>
      </c>
      <c r="B2" s="160">
        <v>1</v>
      </c>
      <c r="C2" s="160">
        <v>4</v>
      </c>
      <c r="D2" s="160">
        <v>2</v>
      </c>
      <c r="E2" s="160">
        <v>15</v>
      </c>
      <c r="F2" s="160">
        <v>6</v>
      </c>
      <c r="G2" s="160">
        <v>2</v>
      </c>
      <c r="H2" s="160">
        <v>4</v>
      </c>
      <c r="I2" s="160">
        <v>1</v>
      </c>
      <c r="J2" s="160">
        <v>13</v>
      </c>
      <c r="K2" s="160">
        <v>2</v>
      </c>
    </row>
    <row r="3" spans="1:11" ht="60" x14ac:dyDescent="0.25">
      <c r="A3" s="159" t="s">
        <v>468</v>
      </c>
      <c r="B3" s="160">
        <v>2</v>
      </c>
      <c r="C3" s="160">
        <v>6</v>
      </c>
      <c r="D3" s="160">
        <v>1</v>
      </c>
      <c r="E3" s="160">
        <v>56</v>
      </c>
      <c r="F3" s="160">
        <v>2</v>
      </c>
      <c r="G3" s="160">
        <v>3</v>
      </c>
      <c r="H3" s="160">
        <v>3</v>
      </c>
      <c r="I3" s="160">
        <v>2</v>
      </c>
      <c r="J3" s="160">
        <v>2</v>
      </c>
      <c r="K3" s="160">
        <v>15</v>
      </c>
    </row>
    <row r="4" spans="1:11" ht="30" x14ac:dyDescent="0.25">
      <c r="A4" s="159" t="s">
        <v>59</v>
      </c>
      <c r="B4" s="160">
        <v>3</v>
      </c>
      <c r="C4" s="160">
        <v>1</v>
      </c>
      <c r="D4" s="160">
        <v>5</v>
      </c>
      <c r="E4" s="160">
        <v>3</v>
      </c>
      <c r="F4" s="160">
        <v>2</v>
      </c>
      <c r="G4" s="160">
        <v>1</v>
      </c>
      <c r="H4" s="160">
        <v>26</v>
      </c>
      <c r="I4" s="160">
        <v>28</v>
      </c>
      <c r="J4" s="160">
        <v>9</v>
      </c>
      <c r="K4" s="160">
        <v>16</v>
      </c>
    </row>
    <row r="5" spans="1:11" ht="30" x14ac:dyDescent="0.25">
      <c r="A5" s="159" t="s">
        <v>107</v>
      </c>
      <c r="B5" s="160">
        <v>4</v>
      </c>
      <c r="C5" s="160">
        <v>17</v>
      </c>
      <c r="D5" s="160">
        <v>16</v>
      </c>
      <c r="E5" s="160">
        <v>22</v>
      </c>
      <c r="F5" s="160">
        <v>2</v>
      </c>
      <c r="G5" s="160">
        <v>10</v>
      </c>
      <c r="H5" s="160">
        <v>16</v>
      </c>
      <c r="I5" s="160">
        <v>15</v>
      </c>
      <c r="J5" s="160">
        <v>23</v>
      </c>
      <c r="K5" s="160">
        <v>7</v>
      </c>
    </row>
    <row r="6" spans="1:11" ht="30" x14ac:dyDescent="0.25">
      <c r="A6" s="159" t="s">
        <v>104</v>
      </c>
      <c r="B6" s="160">
        <v>5</v>
      </c>
      <c r="C6" s="160">
        <v>9</v>
      </c>
      <c r="D6" s="160">
        <v>27</v>
      </c>
      <c r="E6" s="160">
        <v>12</v>
      </c>
      <c r="F6" s="160">
        <v>6</v>
      </c>
      <c r="G6" s="160">
        <v>5</v>
      </c>
      <c r="H6" s="160">
        <v>62</v>
      </c>
      <c r="I6" s="160">
        <v>20</v>
      </c>
      <c r="J6" s="160">
        <v>8</v>
      </c>
      <c r="K6" s="160">
        <v>14</v>
      </c>
    </row>
    <row r="7" spans="1:11" ht="15" x14ac:dyDescent="0.25">
      <c r="A7" s="159" t="s">
        <v>38</v>
      </c>
      <c r="B7" s="160">
        <v>6</v>
      </c>
      <c r="C7" s="160">
        <v>27</v>
      </c>
      <c r="D7" s="160">
        <v>10</v>
      </c>
      <c r="E7" s="160">
        <v>30</v>
      </c>
      <c r="F7" s="160">
        <v>15</v>
      </c>
      <c r="G7" s="160">
        <v>28</v>
      </c>
      <c r="H7" s="160">
        <v>13</v>
      </c>
      <c r="I7" s="160">
        <v>5</v>
      </c>
      <c r="J7" s="160">
        <v>30</v>
      </c>
      <c r="K7" s="160">
        <v>5</v>
      </c>
    </row>
    <row r="8" spans="1:11" ht="15" x14ac:dyDescent="0.25">
      <c r="A8" s="159" t="s">
        <v>35</v>
      </c>
      <c r="B8" s="160">
        <v>7</v>
      </c>
      <c r="C8" s="160">
        <v>3</v>
      </c>
      <c r="D8" s="160">
        <v>29</v>
      </c>
      <c r="E8" s="160">
        <v>37</v>
      </c>
      <c r="F8" s="160">
        <v>32</v>
      </c>
      <c r="G8" s="160">
        <v>5</v>
      </c>
      <c r="H8" s="160">
        <v>10</v>
      </c>
      <c r="I8" s="160">
        <v>41</v>
      </c>
      <c r="J8" s="160">
        <v>58</v>
      </c>
      <c r="K8" s="160">
        <v>3</v>
      </c>
    </row>
    <row r="9" spans="1:11" ht="15" x14ac:dyDescent="0.25">
      <c r="A9" s="159" t="s">
        <v>63</v>
      </c>
      <c r="B9" s="160">
        <v>8</v>
      </c>
      <c r="C9" s="160">
        <v>33</v>
      </c>
      <c r="D9" s="160">
        <v>65</v>
      </c>
      <c r="E9" s="160">
        <v>8</v>
      </c>
      <c r="F9" s="160">
        <v>46</v>
      </c>
      <c r="G9" s="160">
        <v>20</v>
      </c>
      <c r="H9" s="160">
        <v>18</v>
      </c>
      <c r="I9" s="160">
        <v>9</v>
      </c>
      <c r="J9" s="160">
        <v>4</v>
      </c>
      <c r="K9" s="160">
        <v>4</v>
      </c>
    </row>
    <row r="10" spans="1:11" ht="15" x14ac:dyDescent="0.25">
      <c r="A10" s="159" t="s">
        <v>380</v>
      </c>
      <c r="B10" s="160">
        <v>9</v>
      </c>
      <c r="C10" s="160">
        <v>11</v>
      </c>
      <c r="D10" s="160">
        <v>38</v>
      </c>
      <c r="E10" s="160">
        <v>78</v>
      </c>
      <c r="F10" s="160">
        <v>15</v>
      </c>
      <c r="G10" s="160">
        <v>5</v>
      </c>
      <c r="H10" s="160">
        <v>7</v>
      </c>
      <c r="I10" s="160">
        <v>23</v>
      </c>
      <c r="J10" s="160">
        <v>37</v>
      </c>
      <c r="K10" s="160">
        <v>9</v>
      </c>
    </row>
    <row r="11" spans="1:11" ht="15" x14ac:dyDescent="0.25">
      <c r="A11" s="159" t="s">
        <v>34</v>
      </c>
      <c r="B11" s="160">
        <v>10</v>
      </c>
      <c r="C11" s="160">
        <v>2</v>
      </c>
      <c r="D11" s="160">
        <v>63</v>
      </c>
      <c r="E11" s="160">
        <v>35</v>
      </c>
      <c r="F11" s="160">
        <v>6</v>
      </c>
      <c r="G11" s="160">
        <v>59</v>
      </c>
      <c r="H11" s="160">
        <v>48</v>
      </c>
      <c r="I11" s="160">
        <v>29</v>
      </c>
      <c r="J11" s="160">
        <v>16</v>
      </c>
      <c r="K11" s="160">
        <v>12</v>
      </c>
    </row>
    <row r="12" spans="1:11" ht="30" x14ac:dyDescent="0.25">
      <c r="A12" s="159" t="s">
        <v>84</v>
      </c>
      <c r="B12" s="160">
        <v>11</v>
      </c>
      <c r="C12" s="160">
        <v>13</v>
      </c>
      <c r="D12" s="160">
        <v>14</v>
      </c>
      <c r="E12" s="160">
        <v>1</v>
      </c>
      <c r="F12" s="160">
        <v>46</v>
      </c>
      <c r="G12" s="160">
        <v>16</v>
      </c>
      <c r="H12" s="160">
        <v>6</v>
      </c>
      <c r="I12" s="160">
        <v>18</v>
      </c>
      <c r="J12" s="160">
        <v>140</v>
      </c>
      <c r="K12" s="160">
        <v>65</v>
      </c>
    </row>
    <row r="13" spans="1:11" ht="15" x14ac:dyDescent="0.25">
      <c r="A13" s="159" t="s">
        <v>261</v>
      </c>
      <c r="B13" s="160">
        <v>12</v>
      </c>
      <c r="C13" s="160">
        <v>8</v>
      </c>
      <c r="D13" s="160">
        <v>7</v>
      </c>
      <c r="E13" s="160">
        <v>2</v>
      </c>
      <c r="F13" s="160">
        <v>15</v>
      </c>
      <c r="G13" s="160">
        <v>20</v>
      </c>
      <c r="H13" s="160">
        <v>61</v>
      </c>
      <c r="I13" s="160">
        <v>35</v>
      </c>
      <c r="J13" s="160">
        <v>41</v>
      </c>
      <c r="K13" s="160">
        <v>105</v>
      </c>
    </row>
    <row r="14" spans="1:11" ht="15" x14ac:dyDescent="0.25">
      <c r="A14" s="159" t="s">
        <v>372</v>
      </c>
      <c r="B14" s="160">
        <v>13</v>
      </c>
      <c r="C14" s="160">
        <v>32</v>
      </c>
      <c r="D14" s="160">
        <v>55</v>
      </c>
      <c r="E14" s="160">
        <v>26</v>
      </c>
      <c r="F14" s="160">
        <v>32</v>
      </c>
      <c r="G14" s="160">
        <v>59</v>
      </c>
      <c r="H14" s="160">
        <v>65</v>
      </c>
      <c r="I14" s="160">
        <v>6</v>
      </c>
      <c r="J14" s="160">
        <v>11</v>
      </c>
      <c r="K14" s="160">
        <v>6</v>
      </c>
    </row>
    <row r="15" spans="1:11" ht="15" x14ac:dyDescent="0.25">
      <c r="A15" s="159" t="s">
        <v>50</v>
      </c>
      <c r="B15" s="160">
        <v>14</v>
      </c>
      <c r="C15" s="160">
        <v>39</v>
      </c>
      <c r="D15" s="160">
        <v>20</v>
      </c>
      <c r="E15" s="160">
        <v>15</v>
      </c>
      <c r="F15" s="160">
        <v>72</v>
      </c>
      <c r="G15" s="160">
        <v>28</v>
      </c>
      <c r="H15" s="160">
        <v>39</v>
      </c>
      <c r="I15" s="160">
        <v>7</v>
      </c>
      <c r="J15" s="160">
        <v>52</v>
      </c>
      <c r="K15" s="160">
        <v>18</v>
      </c>
    </row>
    <row r="16" spans="1:11" ht="15" x14ac:dyDescent="0.25">
      <c r="A16" s="159" t="s">
        <v>379</v>
      </c>
      <c r="B16" s="160">
        <v>15</v>
      </c>
      <c r="C16" s="160">
        <v>29</v>
      </c>
      <c r="D16" s="160">
        <v>31</v>
      </c>
      <c r="E16" s="160">
        <v>11</v>
      </c>
      <c r="F16" s="160">
        <v>32</v>
      </c>
      <c r="G16" s="160">
        <v>74</v>
      </c>
      <c r="H16" s="160">
        <v>35</v>
      </c>
      <c r="I16" s="160">
        <v>79</v>
      </c>
      <c r="J16" s="160">
        <v>3</v>
      </c>
      <c r="K16" s="160">
        <v>17</v>
      </c>
    </row>
    <row r="17" spans="1:11" ht="30" x14ac:dyDescent="0.25">
      <c r="A17" s="159" t="s">
        <v>382</v>
      </c>
      <c r="B17" s="160">
        <v>16</v>
      </c>
      <c r="C17" s="160">
        <v>60</v>
      </c>
      <c r="D17" s="160">
        <v>22</v>
      </c>
      <c r="E17" s="160">
        <v>74</v>
      </c>
      <c r="F17" s="160">
        <v>15</v>
      </c>
      <c r="G17" s="160">
        <v>74</v>
      </c>
      <c r="H17" s="160">
        <v>49</v>
      </c>
      <c r="I17" s="160">
        <v>8</v>
      </c>
      <c r="J17" s="160">
        <v>5</v>
      </c>
      <c r="K17" s="160">
        <v>13</v>
      </c>
    </row>
    <row r="18" spans="1:11" ht="15" x14ac:dyDescent="0.25">
      <c r="A18" s="159" t="s">
        <v>370</v>
      </c>
      <c r="B18" s="160">
        <v>17</v>
      </c>
      <c r="C18" s="160">
        <v>37</v>
      </c>
      <c r="D18" s="160">
        <v>24</v>
      </c>
      <c r="E18" s="160">
        <v>13</v>
      </c>
      <c r="F18" s="160">
        <v>32</v>
      </c>
      <c r="G18" s="160">
        <v>59</v>
      </c>
      <c r="H18" s="160">
        <v>30</v>
      </c>
      <c r="I18" s="160">
        <v>4</v>
      </c>
      <c r="J18" s="160">
        <v>50</v>
      </c>
      <c r="K18" s="160">
        <v>70</v>
      </c>
    </row>
    <row r="19" spans="1:11" ht="15" x14ac:dyDescent="0.25">
      <c r="A19" s="159" t="s">
        <v>17</v>
      </c>
      <c r="B19" s="160">
        <v>18</v>
      </c>
      <c r="C19" s="160">
        <v>98</v>
      </c>
      <c r="D19" s="160">
        <v>44</v>
      </c>
      <c r="E19" s="160">
        <v>59</v>
      </c>
      <c r="F19" s="160">
        <v>15</v>
      </c>
      <c r="G19" s="160">
        <v>16</v>
      </c>
      <c r="H19" s="160">
        <v>112</v>
      </c>
      <c r="I19" s="160">
        <v>24</v>
      </c>
      <c r="J19" s="160">
        <v>19</v>
      </c>
      <c r="K19" s="160">
        <v>1</v>
      </c>
    </row>
    <row r="20" spans="1:11" ht="15" x14ac:dyDescent="0.25">
      <c r="A20" s="159" t="s">
        <v>8</v>
      </c>
      <c r="B20" s="160">
        <v>19</v>
      </c>
      <c r="C20" s="160">
        <v>95</v>
      </c>
      <c r="D20" s="160">
        <v>12</v>
      </c>
      <c r="E20" s="160">
        <v>19</v>
      </c>
      <c r="F20" s="160">
        <v>72</v>
      </c>
      <c r="G20" s="160">
        <v>12</v>
      </c>
      <c r="H20" s="160">
        <v>91</v>
      </c>
      <c r="I20" s="160">
        <v>12</v>
      </c>
      <c r="J20" s="160">
        <v>25</v>
      </c>
      <c r="K20" s="160">
        <v>46</v>
      </c>
    </row>
    <row r="21" spans="1:11" ht="30" x14ac:dyDescent="0.25">
      <c r="A21" s="159" t="s">
        <v>395</v>
      </c>
      <c r="B21" s="160">
        <v>20</v>
      </c>
      <c r="C21" s="160">
        <v>12</v>
      </c>
      <c r="D21" s="160">
        <v>39</v>
      </c>
      <c r="E21" s="160">
        <v>69</v>
      </c>
      <c r="F21" s="160">
        <v>89</v>
      </c>
      <c r="G21" s="160">
        <v>12</v>
      </c>
      <c r="H21" s="160">
        <v>12</v>
      </c>
      <c r="I21" s="160">
        <v>22</v>
      </c>
      <c r="J21" s="160">
        <v>61</v>
      </c>
      <c r="K21" s="160">
        <v>71</v>
      </c>
    </row>
    <row r="22" spans="1:11" ht="15" x14ac:dyDescent="0.25">
      <c r="A22" s="159" t="s">
        <v>3</v>
      </c>
      <c r="B22" s="160">
        <v>21</v>
      </c>
      <c r="C22" s="160">
        <v>113</v>
      </c>
      <c r="D22" s="160">
        <v>108</v>
      </c>
      <c r="E22" s="160">
        <v>60</v>
      </c>
      <c r="F22" s="160">
        <v>1</v>
      </c>
      <c r="G22" s="160">
        <v>4</v>
      </c>
      <c r="H22" s="160">
        <v>23</v>
      </c>
      <c r="I22" s="160">
        <v>37</v>
      </c>
      <c r="J22" s="160">
        <v>59</v>
      </c>
      <c r="K22" s="160">
        <v>55</v>
      </c>
    </row>
    <row r="23" spans="1:11" ht="15" x14ac:dyDescent="0.25">
      <c r="A23" s="159" t="s">
        <v>42</v>
      </c>
      <c r="B23" s="160">
        <v>22</v>
      </c>
      <c r="C23" s="160">
        <v>88</v>
      </c>
      <c r="D23" s="160">
        <v>18</v>
      </c>
      <c r="E23" s="160">
        <v>67</v>
      </c>
      <c r="F23" s="160">
        <v>15</v>
      </c>
      <c r="G23" s="160">
        <v>93</v>
      </c>
      <c r="H23" s="160">
        <v>88</v>
      </c>
      <c r="I23" s="160">
        <v>14</v>
      </c>
      <c r="J23" s="160">
        <v>6</v>
      </c>
      <c r="K23" s="160">
        <v>35</v>
      </c>
    </row>
    <row r="24" spans="1:11" ht="15" x14ac:dyDescent="0.25">
      <c r="A24" s="159" t="s">
        <v>274</v>
      </c>
      <c r="B24" s="160">
        <v>23</v>
      </c>
      <c r="C24" s="160">
        <v>87</v>
      </c>
      <c r="D24" s="160">
        <v>59</v>
      </c>
      <c r="E24" s="160">
        <v>7</v>
      </c>
      <c r="F24" s="160">
        <v>46</v>
      </c>
      <c r="G24" s="160">
        <v>93</v>
      </c>
      <c r="H24" s="160">
        <v>44</v>
      </c>
      <c r="I24" s="160">
        <v>31</v>
      </c>
      <c r="J24" s="160">
        <v>17</v>
      </c>
      <c r="K24" s="160">
        <v>39</v>
      </c>
    </row>
    <row r="25" spans="1:11" ht="15" x14ac:dyDescent="0.25">
      <c r="A25" s="159" t="s">
        <v>385</v>
      </c>
      <c r="B25" s="160">
        <v>24</v>
      </c>
      <c r="C25" s="160">
        <v>53</v>
      </c>
      <c r="D25" s="160">
        <v>79</v>
      </c>
      <c r="E25" s="160">
        <v>57</v>
      </c>
      <c r="F25" s="160">
        <v>6</v>
      </c>
      <c r="G25" s="160">
        <v>59</v>
      </c>
      <c r="H25" s="160">
        <v>59</v>
      </c>
      <c r="I25" s="160">
        <v>16</v>
      </c>
      <c r="J25" s="160">
        <v>14</v>
      </c>
      <c r="K25" s="160">
        <v>80</v>
      </c>
    </row>
    <row r="26" spans="1:11" ht="15" x14ac:dyDescent="0.25">
      <c r="A26" s="159" t="s">
        <v>356</v>
      </c>
      <c r="B26" s="160">
        <v>25</v>
      </c>
      <c r="C26" s="160">
        <v>31</v>
      </c>
      <c r="D26" s="160">
        <v>41</v>
      </c>
      <c r="E26" s="160">
        <v>177</v>
      </c>
      <c r="F26" s="160">
        <v>46</v>
      </c>
      <c r="G26" s="160">
        <v>16</v>
      </c>
      <c r="H26" s="160">
        <v>70</v>
      </c>
      <c r="I26" s="160">
        <v>44</v>
      </c>
      <c r="J26" s="160">
        <v>21</v>
      </c>
      <c r="K26" s="160">
        <v>8</v>
      </c>
    </row>
    <row r="27" spans="1:11" ht="15" x14ac:dyDescent="0.25">
      <c r="A27" s="159" t="s">
        <v>41</v>
      </c>
      <c r="B27" s="160">
        <v>26</v>
      </c>
      <c r="C27" s="160">
        <v>21</v>
      </c>
      <c r="D27" s="160">
        <v>19</v>
      </c>
      <c r="E27" s="160">
        <v>142</v>
      </c>
      <c r="F27" s="160">
        <v>46</v>
      </c>
      <c r="G27" s="160">
        <v>74</v>
      </c>
      <c r="H27" s="160">
        <v>55</v>
      </c>
      <c r="I27" s="160">
        <v>26</v>
      </c>
      <c r="J27" s="160">
        <v>7</v>
      </c>
      <c r="K27" s="160">
        <v>44</v>
      </c>
    </row>
    <row r="28" spans="1:11" ht="30" x14ac:dyDescent="0.25">
      <c r="A28" s="159" t="s">
        <v>51</v>
      </c>
      <c r="B28" s="160">
        <v>27</v>
      </c>
      <c r="C28" s="160">
        <v>80</v>
      </c>
      <c r="D28" s="160">
        <v>37</v>
      </c>
      <c r="E28" s="160">
        <v>14</v>
      </c>
      <c r="F28" s="160">
        <v>15</v>
      </c>
      <c r="G28" s="160">
        <v>167</v>
      </c>
      <c r="H28" s="160">
        <v>16</v>
      </c>
      <c r="I28" s="160">
        <v>43</v>
      </c>
      <c r="J28" s="160">
        <v>28</v>
      </c>
      <c r="K28" s="160">
        <v>41</v>
      </c>
    </row>
    <row r="29" spans="1:11" ht="15" x14ac:dyDescent="0.25">
      <c r="A29" s="159" t="s">
        <v>354</v>
      </c>
      <c r="B29" s="160">
        <v>28</v>
      </c>
      <c r="C29" s="160">
        <v>78</v>
      </c>
      <c r="D29" s="160">
        <v>17</v>
      </c>
      <c r="E29" s="160">
        <v>29</v>
      </c>
      <c r="F29" s="160">
        <v>89</v>
      </c>
      <c r="G29" s="160">
        <v>59</v>
      </c>
      <c r="H29" s="160">
        <v>14</v>
      </c>
      <c r="I29" s="160">
        <v>33</v>
      </c>
      <c r="J29" s="160">
        <v>117</v>
      </c>
      <c r="K29" s="160">
        <v>26</v>
      </c>
    </row>
    <row r="30" spans="1:11" ht="15" x14ac:dyDescent="0.25">
      <c r="A30" s="159" t="s">
        <v>61</v>
      </c>
      <c r="B30" s="160">
        <v>29</v>
      </c>
      <c r="C30" s="160">
        <v>36</v>
      </c>
      <c r="D30" s="160">
        <v>121</v>
      </c>
      <c r="E30" s="160">
        <v>147</v>
      </c>
      <c r="F30" s="160">
        <v>6</v>
      </c>
      <c r="G30" s="160">
        <v>5</v>
      </c>
      <c r="H30" s="160">
        <v>82</v>
      </c>
      <c r="I30" s="160">
        <v>10</v>
      </c>
      <c r="J30" s="160">
        <v>96</v>
      </c>
      <c r="K30" s="160">
        <v>40</v>
      </c>
    </row>
    <row r="31" spans="1:11" ht="30" x14ac:dyDescent="0.25">
      <c r="A31" s="159" t="s">
        <v>46</v>
      </c>
      <c r="B31" s="160">
        <v>30</v>
      </c>
      <c r="C31" s="160">
        <v>71</v>
      </c>
      <c r="D31" s="160">
        <v>105</v>
      </c>
      <c r="E31" s="160">
        <v>46</v>
      </c>
      <c r="F31" s="160">
        <v>46</v>
      </c>
      <c r="G31" s="160">
        <v>109</v>
      </c>
      <c r="H31" s="160">
        <v>27</v>
      </c>
      <c r="I31" s="160">
        <v>13</v>
      </c>
      <c r="J31" s="160">
        <v>29</v>
      </c>
      <c r="K31" s="160">
        <v>11</v>
      </c>
    </row>
    <row r="32" spans="1:11" ht="15" x14ac:dyDescent="0.25">
      <c r="A32" s="159" t="s">
        <v>405</v>
      </c>
      <c r="B32" s="160">
        <v>31</v>
      </c>
      <c r="C32" s="160">
        <v>59</v>
      </c>
      <c r="D32" s="160">
        <v>111</v>
      </c>
      <c r="E32" s="160">
        <v>31</v>
      </c>
      <c r="F32" s="160">
        <v>89</v>
      </c>
      <c r="G32" s="160">
        <v>44</v>
      </c>
      <c r="H32" s="160">
        <v>73</v>
      </c>
      <c r="I32" s="160">
        <v>27</v>
      </c>
      <c r="J32" s="160">
        <v>24</v>
      </c>
      <c r="K32" s="160">
        <v>21</v>
      </c>
    </row>
    <row r="33" spans="1:11" ht="15" x14ac:dyDescent="0.25">
      <c r="A33" s="159" t="s">
        <v>352</v>
      </c>
      <c r="B33" s="160">
        <v>32</v>
      </c>
      <c r="C33" s="160">
        <v>125</v>
      </c>
      <c r="D33" s="160">
        <v>57</v>
      </c>
      <c r="E33" s="160">
        <v>33</v>
      </c>
      <c r="F33" s="160">
        <v>15</v>
      </c>
      <c r="G33" s="160">
        <v>132</v>
      </c>
      <c r="H33" s="160">
        <v>104</v>
      </c>
      <c r="I33" s="160">
        <v>25</v>
      </c>
      <c r="J33" s="160">
        <v>9</v>
      </c>
      <c r="K33" s="160">
        <v>20</v>
      </c>
    </row>
    <row r="34" spans="1:11" ht="30" x14ac:dyDescent="0.25">
      <c r="A34" s="159" t="s">
        <v>413</v>
      </c>
      <c r="B34" s="160">
        <v>33</v>
      </c>
      <c r="C34" s="160">
        <v>24</v>
      </c>
      <c r="D34" s="160">
        <v>95</v>
      </c>
      <c r="E34" s="160">
        <v>32</v>
      </c>
      <c r="F34" s="160">
        <v>72</v>
      </c>
      <c r="G34" s="160">
        <v>74</v>
      </c>
      <c r="H34" s="160">
        <v>87</v>
      </c>
      <c r="I34" s="160">
        <v>17</v>
      </c>
      <c r="J34" s="160">
        <v>90</v>
      </c>
      <c r="K34" s="160">
        <v>10</v>
      </c>
    </row>
    <row r="35" spans="1:11" ht="30" x14ac:dyDescent="0.25">
      <c r="A35" s="159" t="s">
        <v>23</v>
      </c>
      <c r="B35" s="160">
        <v>34</v>
      </c>
      <c r="C35" s="160">
        <v>75</v>
      </c>
      <c r="D35" s="160">
        <v>52</v>
      </c>
      <c r="E35" s="160">
        <v>91</v>
      </c>
      <c r="F35" s="160">
        <v>2</v>
      </c>
      <c r="G35" s="160">
        <v>10</v>
      </c>
      <c r="H35" s="160">
        <v>24</v>
      </c>
      <c r="I35" s="160">
        <v>149</v>
      </c>
      <c r="J35" s="160">
        <v>85</v>
      </c>
      <c r="K35" s="160">
        <v>74</v>
      </c>
    </row>
    <row r="36" spans="1:11" x14ac:dyDescent="0.2">
      <c r="A36" s="316" t="s">
        <v>11</v>
      </c>
      <c r="B36" s="315">
        <v>35</v>
      </c>
      <c r="C36" s="315">
        <v>67</v>
      </c>
      <c r="D36" s="315">
        <v>22</v>
      </c>
      <c r="E36" s="315">
        <v>105</v>
      </c>
      <c r="F36" s="315">
        <v>46</v>
      </c>
      <c r="G36" s="315">
        <v>44</v>
      </c>
      <c r="H36" s="315">
        <v>107</v>
      </c>
      <c r="I36" s="315">
        <v>58</v>
      </c>
      <c r="J36" s="315">
        <v>81</v>
      </c>
      <c r="K36" s="315">
        <v>23</v>
      </c>
    </row>
    <row r="37" spans="1:11" x14ac:dyDescent="0.2">
      <c r="A37" s="316"/>
      <c r="B37" s="315"/>
      <c r="C37" s="315"/>
      <c r="D37" s="315"/>
      <c r="E37" s="315"/>
      <c r="F37" s="315"/>
      <c r="G37" s="315"/>
      <c r="H37" s="315"/>
      <c r="I37" s="315"/>
      <c r="J37" s="315"/>
      <c r="K37" s="315"/>
    </row>
    <row r="38" spans="1:11" ht="15" x14ac:dyDescent="0.25">
      <c r="A38" s="159" t="s">
        <v>47</v>
      </c>
      <c r="B38" s="160">
        <v>36</v>
      </c>
      <c r="C38" s="160">
        <v>54</v>
      </c>
      <c r="D38" s="160">
        <v>97</v>
      </c>
      <c r="E38" s="160">
        <v>24</v>
      </c>
      <c r="F38" s="160">
        <v>15</v>
      </c>
      <c r="G38" s="160">
        <v>20</v>
      </c>
      <c r="H38" s="160">
        <v>86</v>
      </c>
      <c r="I38" s="160">
        <v>53</v>
      </c>
      <c r="J38" s="160">
        <v>110</v>
      </c>
      <c r="K38" s="160">
        <v>96</v>
      </c>
    </row>
    <row r="39" spans="1:11" ht="15" x14ac:dyDescent="0.25">
      <c r="A39" s="159" t="s">
        <v>369</v>
      </c>
      <c r="B39" s="160">
        <v>37</v>
      </c>
      <c r="C39" s="160">
        <v>26</v>
      </c>
      <c r="D39" s="160">
        <v>75</v>
      </c>
      <c r="E39" s="160">
        <v>66</v>
      </c>
      <c r="F39" s="160">
        <v>72</v>
      </c>
      <c r="G39" s="160">
        <v>93</v>
      </c>
      <c r="H39" s="160">
        <v>32</v>
      </c>
      <c r="I39" s="160">
        <v>19</v>
      </c>
      <c r="J39" s="160">
        <v>104</v>
      </c>
      <c r="K39" s="160">
        <v>22</v>
      </c>
    </row>
    <row r="40" spans="1:11" x14ac:dyDescent="0.2">
      <c r="A40" s="316" t="s">
        <v>389</v>
      </c>
      <c r="B40" s="315">
        <v>38</v>
      </c>
      <c r="C40" s="315">
        <v>5</v>
      </c>
      <c r="D40" s="315">
        <v>136</v>
      </c>
      <c r="E40" s="315">
        <v>69</v>
      </c>
      <c r="F40" s="315">
        <v>46</v>
      </c>
      <c r="G40" s="315">
        <v>20</v>
      </c>
      <c r="H40" s="315">
        <v>33</v>
      </c>
      <c r="I40" s="315">
        <v>66</v>
      </c>
      <c r="J40" s="315">
        <v>65</v>
      </c>
      <c r="K40" s="315">
        <v>116</v>
      </c>
    </row>
    <row r="41" spans="1:11" x14ac:dyDescent="0.2">
      <c r="A41" s="316"/>
      <c r="B41" s="315"/>
      <c r="C41" s="315"/>
      <c r="D41" s="315"/>
      <c r="E41" s="315"/>
      <c r="F41" s="315"/>
      <c r="G41" s="315"/>
      <c r="H41" s="315"/>
      <c r="I41" s="315"/>
      <c r="J41" s="315"/>
      <c r="K41" s="315"/>
    </row>
    <row r="42" spans="1:11" x14ac:dyDescent="0.2">
      <c r="A42" s="316" t="s">
        <v>37</v>
      </c>
      <c r="B42" s="315">
        <v>39</v>
      </c>
      <c r="C42" s="315">
        <v>73</v>
      </c>
      <c r="D42" s="315">
        <v>32</v>
      </c>
      <c r="E42" s="315">
        <v>55</v>
      </c>
      <c r="F42" s="315">
        <v>65</v>
      </c>
      <c r="G42" s="315">
        <v>5</v>
      </c>
      <c r="H42" s="315">
        <v>118</v>
      </c>
      <c r="I42" s="315">
        <v>99</v>
      </c>
      <c r="J42" s="315">
        <v>150</v>
      </c>
      <c r="K42" s="315">
        <v>29</v>
      </c>
    </row>
    <row r="43" spans="1:11" x14ac:dyDescent="0.2">
      <c r="A43" s="316"/>
      <c r="B43" s="315"/>
      <c r="C43" s="315"/>
      <c r="D43" s="315"/>
      <c r="E43" s="315"/>
      <c r="F43" s="315"/>
      <c r="G43" s="315"/>
      <c r="H43" s="315"/>
      <c r="I43" s="315"/>
      <c r="J43" s="315"/>
      <c r="K43" s="315"/>
    </row>
    <row r="44" spans="1:11" ht="45" x14ac:dyDescent="0.25">
      <c r="A44" s="159" t="s">
        <v>419</v>
      </c>
      <c r="B44" s="160">
        <v>40</v>
      </c>
      <c r="C44" s="160">
        <v>46</v>
      </c>
      <c r="D44" s="160">
        <v>26</v>
      </c>
      <c r="E44" s="160">
        <v>4</v>
      </c>
      <c r="F44" s="160">
        <v>72</v>
      </c>
      <c r="G44" s="160">
        <v>120</v>
      </c>
      <c r="H44" s="160">
        <v>5</v>
      </c>
      <c r="I44" s="160">
        <v>3</v>
      </c>
      <c r="J44" s="160">
        <v>134</v>
      </c>
      <c r="K44" s="160">
        <v>143</v>
      </c>
    </row>
    <row r="45" spans="1:11" ht="30" x14ac:dyDescent="0.25">
      <c r="A45" s="159" t="s">
        <v>408</v>
      </c>
      <c r="B45" s="160">
        <v>41</v>
      </c>
      <c r="C45" s="160">
        <v>68</v>
      </c>
      <c r="D45" s="160">
        <v>56</v>
      </c>
      <c r="E45" s="160">
        <v>9</v>
      </c>
      <c r="F45" s="160">
        <v>15</v>
      </c>
      <c r="G45" s="160">
        <v>109</v>
      </c>
      <c r="H45" s="160">
        <v>122</v>
      </c>
      <c r="I45" s="160">
        <v>102</v>
      </c>
      <c r="J45" s="160">
        <v>71</v>
      </c>
      <c r="K45" s="160">
        <v>33</v>
      </c>
    </row>
    <row r="46" spans="1:11" ht="15" x14ac:dyDescent="0.25">
      <c r="A46" s="159" t="s">
        <v>409</v>
      </c>
      <c r="B46" s="160">
        <v>42</v>
      </c>
      <c r="C46" s="160">
        <v>28</v>
      </c>
      <c r="D46" s="160">
        <v>63</v>
      </c>
      <c r="E46" s="160">
        <v>97</v>
      </c>
      <c r="F46" s="160">
        <v>116</v>
      </c>
      <c r="G46" s="160">
        <v>20</v>
      </c>
      <c r="H46" s="160">
        <v>80</v>
      </c>
      <c r="I46" s="160">
        <v>56</v>
      </c>
      <c r="J46" s="160">
        <v>60</v>
      </c>
      <c r="K46" s="160">
        <v>38</v>
      </c>
    </row>
    <row r="47" spans="1:11" ht="15" x14ac:dyDescent="0.25">
      <c r="A47" s="159" t="s">
        <v>36</v>
      </c>
      <c r="B47" s="160">
        <v>43</v>
      </c>
      <c r="C47" s="160">
        <v>62</v>
      </c>
      <c r="D47" s="160">
        <v>68</v>
      </c>
      <c r="E47" s="160">
        <v>45</v>
      </c>
      <c r="F47" s="160">
        <v>72</v>
      </c>
      <c r="G47" s="160">
        <v>28</v>
      </c>
      <c r="H47" s="160">
        <v>46</v>
      </c>
      <c r="I47" s="160">
        <v>68</v>
      </c>
      <c r="J47" s="160">
        <v>68</v>
      </c>
      <c r="K47" s="160">
        <v>91</v>
      </c>
    </row>
    <row r="48" spans="1:11" ht="30" x14ac:dyDescent="0.25">
      <c r="A48" s="159" t="s">
        <v>384</v>
      </c>
      <c r="B48" s="160">
        <v>44</v>
      </c>
      <c r="C48" s="160">
        <v>14</v>
      </c>
      <c r="D48" s="160">
        <v>43</v>
      </c>
      <c r="E48" s="160">
        <v>17</v>
      </c>
      <c r="F48" s="160">
        <v>15</v>
      </c>
      <c r="G48" s="160">
        <v>12</v>
      </c>
      <c r="H48" s="160">
        <v>150</v>
      </c>
      <c r="I48" s="160">
        <v>156</v>
      </c>
      <c r="J48" s="160">
        <v>54</v>
      </c>
      <c r="K48" s="160">
        <v>138</v>
      </c>
    </row>
    <row r="49" spans="1:11" ht="30" x14ac:dyDescent="0.25">
      <c r="A49" s="159" t="s">
        <v>388</v>
      </c>
      <c r="B49" s="160">
        <v>45</v>
      </c>
      <c r="C49" s="160">
        <v>77</v>
      </c>
      <c r="D49" s="160">
        <v>42</v>
      </c>
      <c r="E49" s="160">
        <v>129</v>
      </c>
      <c r="F49" s="160">
        <v>116</v>
      </c>
      <c r="G49" s="160">
        <v>120</v>
      </c>
      <c r="H49" s="160">
        <v>15</v>
      </c>
      <c r="I49" s="160">
        <v>32</v>
      </c>
      <c r="J49" s="160">
        <v>1</v>
      </c>
      <c r="K49" s="160">
        <v>45</v>
      </c>
    </row>
    <row r="50" spans="1:11" ht="15" x14ac:dyDescent="0.25">
      <c r="A50" s="159" t="s">
        <v>43</v>
      </c>
      <c r="B50" s="160">
        <v>46</v>
      </c>
      <c r="C50" s="160">
        <v>35</v>
      </c>
      <c r="D50" s="160">
        <v>86</v>
      </c>
      <c r="E50" s="160">
        <v>41</v>
      </c>
      <c r="F50" s="160">
        <v>32</v>
      </c>
      <c r="G50" s="160">
        <v>120</v>
      </c>
      <c r="H50" s="160">
        <v>109</v>
      </c>
      <c r="I50" s="160">
        <v>73</v>
      </c>
      <c r="J50" s="160">
        <v>22</v>
      </c>
      <c r="K50" s="160">
        <v>62</v>
      </c>
    </row>
    <row r="51" spans="1:11" ht="30" x14ac:dyDescent="0.25">
      <c r="A51" s="159" t="s">
        <v>406</v>
      </c>
      <c r="B51" s="160">
        <v>47</v>
      </c>
      <c r="C51" s="160">
        <v>16</v>
      </c>
      <c r="D51" s="160">
        <v>150</v>
      </c>
      <c r="E51" s="160">
        <v>127</v>
      </c>
      <c r="F51" s="160">
        <v>32</v>
      </c>
      <c r="G51" s="160">
        <v>16</v>
      </c>
      <c r="H51" s="160">
        <v>108</v>
      </c>
      <c r="I51" s="160">
        <v>107</v>
      </c>
      <c r="J51" s="160">
        <v>99</v>
      </c>
      <c r="K51" s="160">
        <v>25</v>
      </c>
    </row>
    <row r="52" spans="1:11" ht="15" x14ac:dyDescent="0.25">
      <c r="A52" s="159" t="s">
        <v>351</v>
      </c>
      <c r="B52" s="160">
        <v>48</v>
      </c>
      <c r="C52" s="160">
        <v>22</v>
      </c>
      <c r="D52" s="160">
        <v>78</v>
      </c>
      <c r="E52" s="160">
        <v>5</v>
      </c>
      <c r="F52" s="160">
        <v>46</v>
      </c>
      <c r="G52" s="160">
        <v>93</v>
      </c>
      <c r="H52" s="160">
        <v>159</v>
      </c>
      <c r="I52" s="160">
        <v>82</v>
      </c>
      <c r="J52" s="160">
        <v>63</v>
      </c>
      <c r="K52" s="160">
        <v>54</v>
      </c>
    </row>
    <row r="53" spans="1:11" ht="15" x14ac:dyDescent="0.25">
      <c r="A53" s="159" t="s">
        <v>49</v>
      </c>
      <c r="B53" s="160">
        <v>49</v>
      </c>
      <c r="C53" s="160">
        <v>147</v>
      </c>
      <c r="D53" s="160">
        <v>49</v>
      </c>
      <c r="E53" s="160">
        <v>54</v>
      </c>
      <c r="F53" s="160">
        <v>46</v>
      </c>
      <c r="G53" s="160">
        <v>93</v>
      </c>
      <c r="H53" s="160">
        <v>71</v>
      </c>
      <c r="I53" s="160">
        <v>54</v>
      </c>
      <c r="J53" s="160">
        <v>52</v>
      </c>
      <c r="K53" s="160">
        <v>19</v>
      </c>
    </row>
    <row r="54" spans="1:11" ht="15" x14ac:dyDescent="0.25">
      <c r="A54" s="159" t="s">
        <v>407</v>
      </c>
      <c r="B54" s="160">
        <v>50</v>
      </c>
      <c r="C54" s="160">
        <v>111</v>
      </c>
      <c r="D54" s="160">
        <v>30</v>
      </c>
      <c r="E54" s="160">
        <v>58</v>
      </c>
      <c r="F54" s="160">
        <v>138</v>
      </c>
      <c r="G54" s="160">
        <v>93</v>
      </c>
      <c r="H54" s="160">
        <v>2</v>
      </c>
      <c r="I54" s="160">
        <v>46</v>
      </c>
      <c r="J54" s="160">
        <v>95</v>
      </c>
      <c r="K54" s="160">
        <v>36</v>
      </c>
    </row>
    <row r="55" spans="1:11" ht="15" x14ac:dyDescent="0.25">
      <c r="A55" s="159" t="s">
        <v>246</v>
      </c>
      <c r="B55" s="160">
        <v>51</v>
      </c>
      <c r="C55" s="160">
        <v>43</v>
      </c>
      <c r="D55" s="160">
        <v>119</v>
      </c>
      <c r="E55" s="160">
        <v>62</v>
      </c>
      <c r="F55" s="160">
        <v>6</v>
      </c>
      <c r="G55" s="160">
        <v>44</v>
      </c>
      <c r="H55" s="160">
        <v>85</v>
      </c>
      <c r="I55" s="160">
        <v>108</v>
      </c>
      <c r="J55" s="160">
        <v>87</v>
      </c>
      <c r="K55" s="160">
        <v>83</v>
      </c>
    </row>
    <row r="56" spans="1:11" ht="30" x14ac:dyDescent="0.25">
      <c r="A56" s="159" t="s">
        <v>360</v>
      </c>
      <c r="B56" s="160">
        <v>52</v>
      </c>
      <c r="C56" s="160">
        <v>90</v>
      </c>
      <c r="D56" s="160">
        <v>127</v>
      </c>
      <c r="E56" s="160">
        <v>44</v>
      </c>
      <c r="F56" s="160">
        <v>46</v>
      </c>
      <c r="G56" s="160">
        <v>44</v>
      </c>
      <c r="H56" s="160">
        <v>21</v>
      </c>
      <c r="I56" s="160">
        <v>151</v>
      </c>
      <c r="J56" s="160">
        <v>70</v>
      </c>
      <c r="K56" s="160">
        <v>27</v>
      </c>
    </row>
    <row r="57" spans="1:11" ht="15" x14ac:dyDescent="0.25">
      <c r="A57" s="159" t="s">
        <v>469</v>
      </c>
      <c r="B57" s="160">
        <v>53</v>
      </c>
      <c r="C57" s="160">
        <v>41</v>
      </c>
      <c r="D57" s="160">
        <v>13</v>
      </c>
      <c r="E57" s="160">
        <v>77</v>
      </c>
      <c r="F57" s="160">
        <v>89</v>
      </c>
      <c r="G57" s="160">
        <v>28</v>
      </c>
      <c r="H57" s="160">
        <v>45</v>
      </c>
      <c r="I57" s="160">
        <v>105</v>
      </c>
      <c r="J57" s="160">
        <v>165</v>
      </c>
      <c r="K57" s="160">
        <v>52</v>
      </c>
    </row>
    <row r="58" spans="1:11" ht="30" x14ac:dyDescent="0.25">
      <c r="A58" s="159" t="s">
        <v>353</v>
      </c>
      <c r="B58" s="160">
        <v>54</v>
      </c>
      <c r="C58" s="160">
        <v>15</v>
      </c>
      <c r="D58" s="160">
        <v>160</v>
      </c>
      <c r="E58" s="160">
        <v>10</v>
      </c>
      <c r="F58" s="160">
        <v>46</v>
      </c>
      <c r="G58" s="160">
        <v>20</v>
      </c>
      <c r="H58" s="160">
        <v>103</v>
      </c>
      <c r="I58" s="160">
        <v>177</v>
      </c>
      <c r="J58" s="160">
        <v>27</v>
      </c>
      <c r="K58" s="160">
        <v>88</v>
      </c>
    </row>
    <row r="59" spans="1:11" ht="15" x14ac:dyDescent="0.25">
      <c r="A59" s="159" t="s">
        <v>346</v>
      </c>
      <c r="B59" s="160">
        <v>55</v>
      </c>
      <c r="C59" s="160">
        <v>48</v>
      </c>
      <c r="D59" s="160">
        <v>106</v>
      </c>
      <c r="E59" s="160">
        <v>64</v>
      </c>
      <c r="F59" s="160">
        <v>89</v>
      </c>
      <c r="G59" s="160">
        <v>74</v>
      </c>
      <c r="H59" s="160">
        <v>58</v>
      </c>
      <c r="I59" s="160">
        <v>30</v>
      </c>
      <c r="J59" s="160">
        <v>78</v>
      </c>
      <c r="K59" s="160">
        <v>37</v>
      </c>
    </row>
    <row r="60" spans="1:11" ht="15" x14ac:dyDescent="0.25">
      <c r="A60" s="159" t="s">
        <v>73</v>
      </c>
      <c r="B60" s="160">
        <v>56</v>
      </c>
      <c r="C60" s="160">
        <v>44</v>
      </c>
      <c r="D60" s="160">
        <v>84</v>
      </c>
      <c r="E60" s="160">
        <v>92</v>
      </c>
      <c r="F60" s="160">
        <v>15</v>
      </c>
      <c r="G60" s="160">
        <v>44</v>
      </c>
      <c r="H60" s="160">
        <v>151</v>
      </c>
      <c r="I60" s="160">
        <v>47</v>
      </c>
      <c r="J60" s="160">
        <v>54</v>
      </c>
      <c r="K60" s="160">
        <v>102</v>
      </c>
    </row>
    <row r="61" spans="1:11" ht="15" x14ac:dyDescent="0.25">
      <c r="A61" s="159" t="s">
        <v>403</v>
      </c>
      <c r="B61" s="160">
        <v>57</v>
      </c>
      <c r="C61" s="160">
        <v>76</v>
      </c>
      <c r="D61" s="160">
        <v>70</v>
      </c>
      <c r="E61" s="160">
        <v>21</v>
      </c>
      <c r="F61" s="160">
        <v>128</v>
      </c>
      <c r="G61" s="160">
        <v>93</v>
      </c>
      <c r="H61" s="160">
        <v>8</v>
      </c>
      <c r="I61" s="160">
        <v>88</v>
      </c>
      <c r="J61" s="160">
        <v>104</v>
      </c>
      <c r="K61" s="160">
        <v>72</v>
      </c>
    </row>
    <row r="62" spans="1:11" ht="15" x14ac:dyDescent="0.25">
      <c r="A62" s="159" t="s">
        <v>430</v>
      </c>
      <c r="B62" s="160">
        <v>58</v>
      </c>
      <c r="C62" s="160">
        <v>9</v>
      </c>
      <c r="D62" s="160">
        <v>82</v>
      </c>
      <c r="E62" s="160">
        <v>41</v>
      </c>
      <c r="F62" s="160">
        <v>32</v>
      </c>
      <c r="G62" s="160">
        <v>28</v>
      </c>
      <c r="H62" s="160">
        <v>43</v>
      </c>
      <c r="I62" s="160">
        <v>159</v>
      </c>
      <c r="J62" s="160">
        <v>39</v>
      </c>
      <c r="K62" s="160">
        <v>183</v>
      </c>
    </row>
    <row r="63" spans="1:11" ht="30" x14ac:dyDescent="0.25">
      <c r="A63" s="159" t="s">
        <v>45</v>
      </c>
      <c r="B63" s="160">
        <v>59</v>
      </c>
      <c r="C63" s="160">
        <v>47</v>
      </c>
      <c r="D63" s="160">
        <v>147</v>
      </c>
      <c r="E63" s="160">
        <v>28</v>
      </c>
      <c r="F63" s="160">
        <v>72</v>
      </c>
      <c r="G63" s="160">
        <v>44</v>
      </c>
      <c r="H63" s="160">
        <v>39</v>
      </c>
      <c r="I63" s="160">
        <v>181</v>
      </c>
      <c r="J63" s="160">
        <v>36</v>
      </c>
      <c r="K63" s="160">
        <v>48</v>
      </c>
    </row>
    <row r="64" spans="1:11" ht="15" x14ac:dyDescent="0.25">
      <c r="A64" s="159" t="s">
        <v>470</v>
      </c>
      <c r="B64" s="160">
        <v>60</v>
      </c>
      <c r="C64" s="160">
        <v>107</v>
      </c>
      <c r="D64" s="160">
        <v>21</v>
      </c>
      <c r="E64" s="160">
        <v>108</v>
      </c>
      <c r="F64" s="160">
        <v>72</v>
      </c>
      <c r="G64" s="160">
        <v>74</v>
      </c>
      <c r="H64" s="160">
        <v>19</v>
      </c>
      <c r="I64" s="160">
        <v>142</v>
      </c>
      <c r="J64" s="160">
        <v>76</v>
      </c>
      <c r="K64" s="160">
        <v>50</v>
      </c>
    </row>
    <row r="65" spans="1:11" ht="15" x14ac:dyDescent="0.25">
      <c r="A65" s="159" t="s">
        <v>471</v>
      </c>
      <c r="B65" s="160">
        <v>61</v>
      </c>
      <c r="C65" s="160">
        <v>20</v>
      </c>
      <c r="D65" s="160">
        <v>47</v>
      </c>
      <c r="E65" s="160">
        <v>34</v>
      </c>
      <c r="F65" s="160">
        <v>128</v>
      </c>
      <c r="G65" s="160">
        <v>28</v>
      </c>
      <c r="H65" s="160">
        <v>68</v>
      </c>
      <c r="I65" s="160">
        <v>94</v>
      </c>
      <c r="J65" s="160">
        <v>82</v>
      </c>
      <c r="K65" s="160">
        <v>140</v>
      </c>
    </row>
    <row r="66" spans="1:11" ht="15" x14ac:dyDescent="0.25">
      <c r="A66" s="159" t="s">
        <v>472</v>
      </c>
      <c r="B66" s="160">
        <v>62</v>
      </c>
      <c r="C66" s="160">
        <v>104</v>
      </c>
      <c r="D66" s="160">
        <v>58</v>
      </c>
      <c r="E66" s="160">
        <v>50</v>
      </c>
      <c r="F66" s="160">
        <v>46</v>
      </c>
      <c r="G66" s="160">
        <v>44</v>
      </c>
      <c r="H66" s="160">
        <v>77</v>
      </c>
      <c r="I66" s="160">
        <v>103</v>
      </c>
      <c r="J66" s="160">
        <v>63</v>
      </c>
      <c r="K66" s="160">
        <v>117</v>
      </c>
    </row>
    <row r="67" spans="1:11" ht="30" x14ac:dyDescent="0.25">
      <c r="A67" s="159" t="s">
        <v>66</v>
      </c>
      <c r="B67" s="160">
        <v>63</v>
      </c>
      <c r="C67" s="160">
        <v>130</v>
      </c>
      <c r="D67" s="160">
        <v>76</v>
      </c>
      <c r="E67" s="160">
        <v>47</v>
      </c>
      <c r="F67" s="160">
        <v>46</v>
      </c>
      <c r="G67" s="160">
        <v>93</v>
      </c>
      <c r="H67" s="160">
        <v>128</v>
      </c>
      <c r="I67" s="160">
        <v>62</v>
      </c>
      <c r="J67" s="160">
        <v>78</v>
      </c>
      <c r="K67" s="160">
        <v>32</v>
      </c>
    </row>
    <row r="68" spans="1:11" ht="45" x14ac:dyDescent="0.25">
      <c r="A68" s="159" t="s">
        <v>473</v>
      </c>
      <c r="B68" s="160">
        <v>64</v>
      </c>
      <c r="C68" s="160">
        <v>72</v>
      </c>
      <c r="D68" s="160">
        <v>25</v>
      </c>
      <c r="E68" s="160">
        <v>123</v>
      </c>
      <c r="F68" s="160">
        <v>116</v>
      </c>
      <c r="G68" s="160">
        <v>28</v>
      </c>
      <c r="H68" s="160">
        <v>132</v>
      </c>
      <c r="I68" s="160">
        <v>63</v>
      </c>
      <c r="J68" s="160">
        <v>73</v>
      </c>
      <c r="K68" s="160">
        <v>66</v>
      </c>
    </row>
    <row r="69" spans="1:11" ht="15" x14ac:dyDescent="0.25">
      <c r="A69" s="159" t="s">
        <v>14</v>
      </c>
      <c r="B69" s="160">
        <v>65</v>
      </c>
      <c r="C69" s="160">
        <v>63</v>
      </c>
      <c r="D69" s="160">
        <v>137</v>
      </c>
      <c r="E69" s="160">
        <v>38</v>
      </c>
      <c r="F69" s="160">
        <v>72</v>
      </c>
      <c r="G69" s="160">
        <v>59</v>
      </c>
      <c r="H69" s="160">
        <v>75</v>
      </c>
      <c r="I69" s="160">
        <v>76</v>
      </c>
      <c r="J69" s="160">
        <v>26</v>
      </c>
      <c r="K69" s="160">
        <v>115</v>
      </c>
    </row>
    <row r="70" spans="1:11" x14ac:dyDescent="0.2">
      <c r="A70" s="316" t="s">
        <v>397</v>
      </c>
      <c r="B70" s="315">
        <v>66</v>
      </c>
      <c r="C70" s="315">
        <v>51</v>
      </c>
      <c r="D70" s="315">
        <v>161</v>
      </c>
      <c r="E70" s="315">
        <v>116</v>
      </c>
      <c r="F70" s="315">
        <v>32</v>
      </c>
      <c r="G70" s="315">
        <v>28</v>
      </c>
      <c r="H70" s="315">
        <v>139</v>
      </c>
      <c r="I70" s="315">
        <v>34</v>
      </c>
      <c r="J70" s="315">
        <v>135</v>
      </c>
      <c r="K70" s="315">
        <v>47</v>
      </c>
    </row>
    <row r="71" spans="1:11" x14ac:dyDescent="0.2">
      <c r="A71" s="316"/>
      <c r="B71" s="315"/>
      <c r="C71" s="315"/>
      <c r="D71" s="315"/>
      <c r="E71" s="315"/>
      <c r="F71" s="315"/>
      <c r="G71" s="315"/>
      <c r="H71" s="315"/>
      <c r="I71" s="315"/>
      <c r="J71" s="315"/>
      <c r="K71" s="315"/>
    </row>
    <row r="72" spans="1:11" ht="15" x14ac:dyDescent="0.25">
      <c r="A72" s="159" t="s">
        <v>263</v>
      </c>
      <c r="B72" s="160">
        <v>67</v>
      </c>
      <c r="C72" s="160">
        <v>99</v>
      </c>
      <c r="D72" s="160">
        <v>151</v>
      </c>
      <c r="E72" s="160">
        <v>36</v>
      </c>
      <c r="F72" s="160">
        <v>46</v>
      </c>
      <c r="G72" s="160">
        <v>44</v>
      </c>
      <c r="H72" s="160">
        <v>78</v>
      </c>
      <c r="I72" s="160">
        <v>89</v>
      </c>
      <c r="J72" s="160">
        <v>45</v>
      </c>
      <c r="K72" s="160">
        <v>109</v>
      </c>
    </row>
    <row r="73" spans="1:11" ht="15" x14ac:dyDescent="0.25">
      <c r="A73" s="159" t="s">
        <v>300</v>
      </c>
      <c r="B73" s="160">
        <v>68</v>
      </c>
      <c r="C73" s="160">
        <v>7</v>
      </c>
      <c r="D73" s="160">
        <v>44</v>
      </c>
      <c r="E73" s="160">
        <v>6</v>
      </c>
      <c r="F73" s="160">
        <v>89</v>
      </c>
      <c r="G73" s="160">
        <v>109</v>
      </c>
      <c r="H73" s="160">
        <v>183</v>
      </c>
      <c r="I73" s="160">
        <v>128</v>
      </c>
      <c r="J73" s="160">
        <v>12</v>
      </c>
      <c r="K73" s="160">
        <v>93</v>
      </c>
    </row>
    <row r="74" spans="1:11" ht="15" x14ac:dyDescent="0.25">
      <c r="A74" s="159" t="s">
        <v>400</v>
      </c>
      <c r="B74" s="160">
        <v>69</v>
      </c>
      <c r="C74" s="160">
        <v>124</v>
      </c>
      <c r="D74" s="160">
        <v>36</v>
      </c>
      <c r="E74" s="160">
        <v>136</v>
      </c>
      <c r="F74" s="160">
        <v>15</v>
      </c>
      <c r="G74" s="160">
        <v>74</v>
      </c>
      <c r="H74" s="160">
        <v>99</v>
      </c>
      <c r="I74" s="160">
        <v>153</v>
      </c>
      <c r="J74" s="160">
        <v>41</v>
      </c>
      <c r="K74" s="160">
        <v>53</v>
      </c>
    </row>
    <row r="75" spans="1:11" ht="15" x14ac:dyDescent="0.25">
      <c r="A75" s="159" t="s">
        <v>48</v>
      </c>
      <c r="B75" s="160">
        <v>70</v>
      </c>
      <c r="C75" s="160">
        <v>113</v>
      </c>
      <c r="D75" s="160">
        <v>164</v>
      </c>
      <c r="E75" s="160">
        <v>86</v>
      </c>
      <c r="F75" s="160">
        <v>15</v>
      </c>
      <c r="G75" s="160">
        <v>44</v>
      </c>
      <c r="H75" s="160">
        <v>121</v>
      </c>
      <c r="I75" s="160">
        <v>49</v>
      </c>
      <c r="J75" s="160">
        <v>77</v>
      </c>
      <c r="K75" s="160">
        <v>81</v>
      </c>
    </row>
    <row r="76" spans="1:11" ht="15" x14ac:dyDescent="0.25">
      <c r="A76" s="159" t="s">
        <v>474</v>
      </c>
      <c r="B76" s="160">
        <v>71</v>
      </c>
      <c r="C76" s="160">
        <v>30</v>
      </c>
      <c r="D76" s="160">
        <v>34</v>
      </c>
      <c r="E76" s="160">
        <v>125</v>
      </c>
      <c r="F76" s="160">
        <v>116</v>
      </c>
      <c r="G76" s="160">
        <v>109</v>
      </c>
      <c r="H76" s="160">
        <v>31</v>
      </c>
      <c r="I76" s="160">
        <v>60</v>
      </c>
      <c r="J76" s="160">
        <v>56</v>
      </c>
      <c r="K76" s="160">
        <v>104</v>
      </c>
    </row>
    <row r="77" spans="1:11" ht="15" x14ac:dyDescent="0.25">
      <c r="A77" s="159" t="s">
        <v>71</v>
      </c>
      <c r="B77" s="160">
        <v>72</v>
      </c>
      <c r="C77" s="160">
        <v>23</v>
      </c>
      <c r="D77" s="160">
        <v>66</v>
      </c>
      <c r="E77" s="160">
        <v>113</v>
      </c>
      <c r="F77" s="160">
        <v>32</v>
      </c>
      <c r="G77" s="160">
        <v>109</v>
      </c>
      <c r="H77" s="160">
        <v>175</v>
      </c>
      <c r="I77" s="160">
        <v>11</v>
      </c>
      <c r="J77" s="160">
        <v>119</v>
      </c>
      <c r="K77" s="160">
        <v>78</v>
      </c>
    </row>
    <row r="78" spans="1:11" ht="30" x14ac:dyDescent="0.25">
      <c r="A78" s="159" t="s">
        <v>396</v>
      </c>
      <c r="B78" s="160">
        <v>73</v>
      </c>
      <c r="C78" s="160">
        <v>86</v>
      </c>
      <c r="D78" s="160">
        <v>104</v>
      </c>
      <c r="E78" s="160">
        <v>27</v>
      </c>
      <c r="F78" s="160">
        <v>72</v>
      </c>
      <c r="G78" s="160">
        <v>28</v>
      </c>
      <c r="H78" s="160">
        <v>66</v>
      </c>
      <c r="I78" s="160">
        <v>158</v>
      </c>
      <c r="J78" s="160">
        <v>35</v>
      </c>
      <c r="K78" s="160">
        <v>119</v>
      </c>
    </row>
    <row r="79" spans="1:11" ht="15" x14ac:dyDescent="0.25">
      <c r="A79" s="159" t="s">
        <v>383</v>
      </c>
      <c r="B79" s="160">
        <v>74</v>
      </c>
      <c r="C79" s="160">
        <v>141</v>
      </c>
      <c r="D79" s="160">
        <v>91</v>
      </c>
      <c r="E79" s="160">
        <v>90</v>
      </c>
      <c r="F79" s="160">
        <v>89</v>
      </c>
      <c r="G79" s="160">
        <v>28</v>
      </c>
      <c r="H79" s="160">
        <v>9</v>
      </c>
      <c r="I79" s="160">
        <v>113</v>
      </c>
      <c r="J79" s="160">
        <v>114</v>
      </c>
      <c r="K79" s="160">
        <v>61</v>
      </c>
    </row>
    <row r="80" spans="1:11" ht="75" x14ac:dyDescent="0.25">
      <c r="A80" s="159" t="s">
        <v>475</v>
      </c>
      <c r="B80" s="160">
        <v>75</v>
      </c>
      <c r="C80" s="160">
        <v>52</v>
      </c>
      <c r="D80" s="160">
        <v>3</v>
      </c>
      <c r="E80" s="160">
        <v>138</v>
      </c>
      <c r="F80" s="160">
        <v>116</v>
      </c>
      <c r="G80" s="160">
        <v>28</v>
      </c>
      <c r="H80" s="160">
        <v>55</v>
      </c>
      <c r="I80" s="160">
        <v>41</v>
      </c>
      <c r="J80" s="160">
        <v>103</v>
      </c>
      <c r="K80" s="160">
        <v>183</v>
      </c>
    </row>
    <row r="81" spans="1:11" ht="15" x14ac:dyDescent="0.25">
      <c r="A81" s="159" t="s">
        <v>420</v>
      </c>
      <c r="B81" s="160">
        <v>76</v>
      </c>
      <c r="C81" s="160">
        <v>57</v>
      </c>
      <c r="D81" s="160">
        <v>158</v>
      </c>
      <c r="E81" s="160">
        <v>83</v>
      </c>
      <c r="F81" s="160">
        <v>6</v>
      </c>
      <c r="G81" s="160">
        <v>74</v>
      </c>
      <c r="H81" s="160">
        <v>37</v>
      </c>
      <c r="I81" s="160">
        <v>150</v>
      </c>
      <c r="J81" s="160">
        <v>86</v>
      </c>
      <c r="K81" s="160">
        <v>97</v>
      </c>
    </row>
    <row r="82" spans="1:11" ht="30" x14ac:dyDescent="0.25">
      <c r="A82" s="159" t="s">
        <v>476</v>
      </c>
      <c r="B82" s="160">
        <v>77</v>
      </c>
      <c r="C82" s="160">
        <v>66</v>
      </c>
      <c r="D82" s="160">
        <v>107</v>
      </c>
      <c r="E82" s="160">
        <v>154</v>
      </c>
      <c r="F82" s="160">
        <v>72</v>
      </c>
      <c r="G82" s="160">
        <v>109</v>
      </c>
      <c r="H82" s="160">
        <v>50</v>
      </c>
      <c r="I82" s="160">
        <v>45</v>
      </c>
      <c r="J82" s="160">
        <v>120</v>
      </c>
      <c r="K82" s="160">
        <v>34</v>
      </c>
    </row>
    <row r="83" spans="1:11" ht="15" x14ac:dyDescent="0.25">
      <c r="A83" s="159" t="s">
        <v>64</v>
      </c>
      <c r="B83" s="160">
        <v>78</v>
      </c>
      <c r="C83" s="160">
        <v>100</v>
      </c>
      <c r="D83" s="160">
        <v>62</v>
      </c>
      <c r="E83" s="160">
        <v>43</v>
      </c>
      <c r="F83" s="160">
        <v>15</v>
      </c>
      <c r="G83" s="160">
        <v>173</v>
      </c>
      <c r="H83" s="160">
        <v>124</v>
      </c>
      <c r="I83" s="160">
        <v>63</v>
      </c>
      <c r="J83" s="160">
        <v>31</v>
      </c>
      <c r="K83" s="160">
        <v>124</v>
      </c>
    </row>
    <row r="84" spans="1:11" x14ac:dyDescent="0.2">
      <c r="A84" s="316" t="s">
        <v>0</v>
      </c>
      <c r="B84" s="315">
        <v>79</v>
      </c>
      <c r="C84" s="315">
        <v>151</v>
      </c>
      <c r="D84" s="315">
        <v>181</v>
      </c>
      <c r="E84" s="315">
        <v>38</v>
      </c>
      <c r="F84" s="315">
        <v>65</v>
      </c>
      <c r="G84" s="315">
        <v>93</v>
      </c>
      <c r="H84" s="315">
        <v>114</v>
      </c>
      <c r="I84" s="315">
        <v>50</v>
      </c>
      <c r="J84" s="315">
        <v>15</v>
      </c>
      <c r="K84" s="315">
        <v>68</v>
      </c>
    </row>
    <row r="85" spans="1:11" x14ac:dyDescent="0.2">
      <c r="A85" s="316"/>
      <c r="B85" s="315"/>
      <c r="C85" s="315"/>
      <c r="D85" s="315"/>
      <c r="E85" s="315"/>
      <c r="F85" s="315"/>
      <c r="G85" s="315"/>
      <c r="H85" s="315"/>
      <c r="I85" s="315"/>
      <c r="J85" s="315"/>
      <c r="K85" s="315"/>
    </row>
    <row r="86" spans="1:11" ht="15" x14ac:dyDescent="0.25">
      <c r="A86" s="159" t="s">
        <v>44</v>
      </c>
      <c r="B86" s="160">
        <v>80</v>
      </c>
      <c r="C86" s="160">
        <v>68</v>
      </c>
      <c r="D86" s="160">
        <v>92</v>
      </c>
      <c r="E86" s="160">
        <v>95</v>
      </c>
      <c r="F86" s="160">
        <v>89</v>
      </c>
      <c r="G86" s="160">
        <v>59</v>
      </c>
      <c r="H86" s="160">
        <v>128</v>
      </c>
      <c r="I86" s="160">
        <v>59</v>
      </c>
      <c r="J86" s="160">
        <v>157</v>
      </c>
      <c r="K86" s="160">
        <v>30</v>
      </c>
    </row>
    <row r="87" spans="1:11" ht="15" x14ac:dyDescent="0.25">
      <c r="A87" s="159" t="s">
        <v>269</v>
      </c>
      <c r="B87" s="160">
        <v>81</v>
      </c>
      <c r="C87" s="160">
        <v>18</v>
      </c>
      <c r="D87" s="160">
        <v>47</v>
      </c>
      <c r="E87" s="160">
        <v>106</v>
      </c>
      <c r="F87" s="160">
        <v>89</v>
      </c>
      <c r="G87" s="160">
        <v>74</v>
      </c>
      <c r="H87" s="160">
        <v>174</v>
      </c>
      <c r="I87" s="160">
        <v>104</v>
      </c>
      <c r="J87" s="160">
        <v>128</v>
      </c>
      <c r="K87" s="160">
        <v>24</v>
      </c>
    </row>
    <row r="88" spans="1:11" x14ac:dyDescent="0.2">
      <c r="A88" s="316" t="s">
        <v>349</v>
      </c>
      <c r="B88" s="315">
        <v>82</v>
      </c>
      <c r="C88" s="315">
        <v>45</v>
      </c>
      <c r="D88" s="315">
        <v>170</v>
      </c>
      <c r="E88" s="315">
        <v>72</v>
      </c>
      <c r="F88" s="315">
        <v>15</v>
      </c>
      <c r="G88" s="315">
        <v>15</v>
      </c>
      <c r="H88" s="315">
        <v>149</v>
      </c>
      <c r="I88" s="315">
        <v>75</v>
      </c>
      <c r="J88" s="315">
        <v>89</v>
      </c>
      <c r="K88" s="315">
        <v>183</v>
      </c>
    </row>
    <row r="89" spans="1:11" x14ac:dyDescent="0.2">
      <c r="A89" s="316"/>
      <c r="B89" s="315"/>
      <c r="C89" s="315"/>
      <c r="D89" s="315"/>
      <c r="E89" s="315"/>
      <c r="F89" s="315"/>
      <c r="G89" s="315"/>
      <c r="H89" s="315"/>
      <c r="I89" s="315"/>
      <c r="J89" s="315"/>
      <c r="K89" s="315"/>
    </row>
    <row r="90" spans="1:11" x14ac:dyDescent="0.2">
      <c r="A90" s="316" t="s">
        <v>70</v>
      </c>
      <c r="B90" s="315">
        <v>83</v>
      </c>
      <c r="C90" s="315">
        <v>85</v>
      </c>
      <c r="D90" s="315">
        <v>98</v>
      </c>
      <c r="E90" s="315">
        <v>126</v>
      </c>
      <c r="F90" s="315">
        <v>65</v>
      </c>
      <c r="G90" s="315">
        <v>28</v>
      </c>
      <c r="H90" s="315">
        <v>145</v>
      </c>
      <c r="I90" s="315">
        <v>81</v>
      </c>
      <c r="J90" s="315">
        <v>155</v>
      </c>
      <c r="K90" s="315">
        <v>67</v>
      </c>
    </row>
    <row r="91" spans="1:11" x14ac:dyDescent="0.2">
      <c r="A91" s="316"/>
      <c r="B91" s="315"/>
      <c r="C91" s="315"/>
      <c r="D91" s="315"/>
      <c r="E91" s="315"/>
      <c r="F91" s="315"/>
      <c r="G91" s="315"/>
      <c r="H91" s="315"/>
      <c r="I91" s="315"/>
      <c r="J91" s="315"/>
      <c r="K91" s="315"/>
    </row>
    <row r="92" spans="1:11" ht="15" x14ac:dyDescent="0.25">
      <c r="A92" s="159" t="s">
        <v>251</v>
      </c>
      <c r="B92" s="160">
        <v>84</v>
      </c>
      <c r="C92" s="160">
        <v>56</v>
      </c>
      <c r="D92" s="160">
        <v>132</v>
      </c>
      <c r="E92" s="160">
        <v>110</v>
      </c>
      <c r="F92" s="160">
        <v>65</v>
      </c>
      <c r="G92" s="160">
        <v>132</v>
      </c>
      <c r="H92" s="160">
        <v>42</v>
      </c>
      <c r="I92" s="160">
        <v>98</v>
      </c>
      <c r="J92" s="160">
        <v>47</v>
      </c>
      <c r="K92" s="160">
        <v>89</v>
      </c>
    </row>
    <row r="93" spans="1:11" ht="15" x14ac:dyDescent="0.25">
      <c r="A93" s="159" t="s">
        <v>477</v>
      </c>
      <c r="B93" s="160">
        <v>85</v>
      </c>
      <c r="C93" s="160">
        <v>50</v>
      </c>
      <c r="D93" s="160">
        <v>9</v>
      </c>
      <c r="E93" s="160">
        <v>147</v>
      </c>
      <c r="F93" s="160">
        <v>152</v>
      </c>
      <c r="G93" s="160">
        <v>74</v>
      </c>
      <c r="H93" s="160">
        <v>1</v>
      </c>
      <c r="I93" s="160">
        <v>138</v>
      </c>
      <c r="J93" s="160">
        <v>92</v>
      </c>
      <c r="K93" s="160">
        <v>125</v>
      </c>
    </row>
    <row r="94" spans="1:11" ht="30" x14ac:dyDescent="0.25">
      <c r="A94" s="159" t="s">
        <v>257</v>
      </c>
      <c r="B94" s="160">
        <v>86</v>
      </c>
      <c r="C94" s="160">
        <v>129</v>
      </c>
      <c r="D94" s="160">
        <v>124</v>
      </c>
      <c r="E94" s="160">
        <v>49</v>
      </c>
      <c r="F94" s="160">
        <v>46</v>
      </c>
      <c r="G94" s="160">
        <v>120</v>
      </c>
      <c r="H94" s="160">
        <v>137</v>
      </c>
      <c r="I94" s="160">
        <v>65</v>
      </c>
      <c r="J94" s="160">
        <v>51</v>
      </c>
      <c r="K94" s="160">
        <v>87</v>
      </c>
    </row>
    <row r="95" spans="1:11" ht="45" x14ac:dyDescent="0.25">
      <c r="A95" s="159" t="s">
        <v>478</v>
      </c>
      <c r="B95" s="160">
        <v>87</v>
      </c>
      <c r="C95" s="160">
        <v>55</v>
      </c>
      <c r="D95" s="160">
        <v>8</v>
      </c>
      <c r="E95" s="160">
        <v>160</v>
      </c>
      <c r="F95" s="160">
        <v>116</v>
      </c>
      <c r="G95" s="160">
        <v>28</v>
      </c>
      <c r="H95" s="160">
        <v>98</v>
      </c>
      <c r="I95" s="160">
        <v>39</v>
      </c>
      <c r="J95" s="160">
        <v>115</v>
      </c>
      <c r="K95" s="160">
        <v>183</v>
      </c>
    </row>
    <row r="96" spans="1:11" ht="30" x14ac:dyDescent="0.25">
      <c r="A96" s="159" t="s">
        <v>479</v>
      </c>
      <c r="B96" s="160">
        <v>88</v>
      </c>
      <c r="C96" s="160">
        <v>38</v>
      </c>
      <c r="D96" s="160">
        <v>28</v>
      </c>
      <c r="E96" s="160">
        <v>112</v>
      </c>
      <c r="F96" s="160">
        <v>72</v>
      </c>
      <c r="G96" s="160">
        <v>28</v>
      </c>
      <c r="H96" s="160">
        <v>67</v>
      </c>
      <c r="I96" s="160">
        <v>90</v>
      </c>
      <c r="J96" s="160">
        <v>167</v>
      </c>
      <c r="K96" s="160">
        <v>183</v>
      </c>
    </row>
    <row r="97" spans="1:11" x14ac:dyDescent="0.2">
      <c r="A97" s="316" t="s">
        <v>284</v>
      </c>
      <c r="B97" s="315">
        <v>89</v>
      </c>
      <c r="C97" s="315">
        <v>83</v>
      </c>
      <c r="D97" s="315">
        <v>176</v>
      </c>
      <c r="E97" s="315">
        <v>100</v>
      </c>
      <c r="F97" s="315">
        <v>15</v>
      </c>
      <c r="G97" s="315">
        <v>74</v>
      </c>
      <c r="H97" s="315">
        <v>138</v>
      </c>
      <c r="I97" s="315">
        <v>74</v>
      </c>
      <c r="J97" s="315">
        <v>94</v>
      </c>
      <c r="K97" s="315">
        <v>86</v>
      </c>
    </row>
    <row r="98" spans="1:11" x14ac:dyDescent="0.2">
      <c r="A98" s="316"/>
      <c r="B98" s="315"/>
      <c r="C98" s="315"/>
      <c r="D98" s="315"/>
      <c r="E98" s="315"/>
      <c r="F98" s="315"/>
      <c r="G98" s="315"/>
      <c r="H98" s="315"/>
      <c r="I98" s="315"/>
      <c r="J98" s="315"/>
      <c r="K98" s="315"/>
    </row>
    <row r="99" spans="1:11" x14ac:dyDescent="0.2">
      <c r="A99" s="316" t="s">
        <v>431</v>
      </c>
      <c r="B99" s="315">
        <v>90</v>
      </c>
      <c r="C99" s="315">
        <v>94</v>
      </c>
      <c r="D99" s="315">
        <v>159</v>
      </c>
      <c r="E99" s="315">
        <v>18</v>
      </c>
      <c r="F99" s="315">
        <v>89</v>
      </c>
      <c r="G99" s="315">
        <v>109</v>
      </c>
      <c r="H99" s="315">
        <v>106</v>
      </c>
      <c r="I99" s="315">
        <v>141</v>
      </c>
      <c r="J99" s="315">
        <v>20</v>
      </c>
      <c r="K99" s="315">
        <v>92</v>
      </c>
    </row>
    <row r="100" spans="1:11" x14ac:dyDescent="0.2">
      <c r="A100" s="316"/>
      <c r="B100" s="315"/>
      <c r="C100" s="315"/>
      <c r="D100" s="315"/>
      <c r="E100" s="315"/>
      <c r="F100" s="315"/>
      <c r="G100" s="315"/>
      <c r="H100" s="315"/>
      <c r="I100" s="315"/>
      <c r="J100" s="315"/>
      <c r="K100" s="315"/>
    </row>
    <row r="101" spans="1:11" ht="45" x14ac:dyDescent="0.25">
      <c r="A101" s="159" t="s">
        <v>253</v>
      </c>
      <c r="B101" s="160">
        <v>91</v>
      </c>
      <c r="C101" s="160">
        <v>137</v>
      </c>
      <c r="D101" s="160">
        <v>89</v>
      </c>
      <c r="E101" s="160">
        <v>114</v>
      </c>
      <c r="F101" s="160">
        <v>72</v>
      </c>
      <c r="G101" s="160">
        <v>59</v>
      </c>
      <c r="H101" s="160">
        <v>76</v>
      </c>
      <c r="I101" s="160">
        <v>40</v>
      </c>
      <c r="J101" s="160">
        <v>84</v>
      </c>
      <c r="K101" s="160">
        <v>145</v>
      </c>
    </row>
    <row r="102" spans="1:11" ht="15" x14ac:dyDescent="0.25">
      <c r="A102" s="159" t="s">
        <v>480</v>
      </c>
      <c r="B102" s="160">
        <v>92</v>
      </c>
      <c r="C102" s="160">
        <v>49</v>
      </c>
      <c r="D102" s="160">
        <v>15</v>
      </c>
      <c r="E102" s="160">
        <v>145</v>
      </c>
      <c r="F102" s="160">
        <v>89</v>
      </c>
      <c r="G102" s="160">
        <v>28</v>
      </c>
      <c r="H102" s="160">
        <v>79</v>
      </c>
      <c r="I102" s="160">
        <v>57</v>
      </c>
      <c r="J102" s="160">
        <v>161</v>
      </c>
      <c r="K102" s="160">
        <v>183</v>
      </c>
    </row>
    <row r="103" spans="1:11" ht="15" x14ac:dyDescent="0.25">
      <c r="A103" s="159" t="s">
        <v>481</v>
      </c>
      <c r="B103" s="160">
        <v>93</v>
      </c>
      <c r="C103" s="160">
        <v>123</v>
      </c>
      <c r="D103" s="160">
        <v>72</v>
      </c>
      <c r="E103" s="160">
        <v>68</v>
      </c>
      <c r="F103" s="160">
        <v>138</v>
      </c>
      <c r="G103" s="160">
        <v>44</v>
      </c>
      <c r="H103" s="160">
        <v>10</v>
      </c>
      <c r="I103" s="160">
        <v>83</v>
      </c>
      <c r="J103" s="160">
        <v>80</v>
      </c>
      <c r="K103" s="160">
        <v>183</v>
      </c>
    </row>
    <row r="104" spans="1:11" x14ac:dyDescent="0.2">
      <c r="A104" s="316" t="s">
        <v>458</v>
      </c>
      <c r="B104" s="315">
        <v>94</v>
      </c>
      <c r="C104" s="315">
        <v>18</v>
      </c>
      <c r="D104" s="315">
        <v>154</v>
      </c>
      <c r="E104" s="315">
        <v>93</v>
      </c>
      <c r="F104" s="315">
        <v>72</v>
      </c>
      <c r="G104" s="315">
        <v>74</v>
      </c>
      <c r="H104" s="315">
        <v>136</v>
      </c>
      <c r="I104" s="315">
        <v>21</v>
      </c>
      <c r="J104" s="315">
        <v>143</v>
      </c>
      <c r="K104" s="315">
        <v>131</v>
      </c>
    </row>
    <row r="105" spans="1:11" x14ac:dyDescent="0.2">
      <c r="A105" s="316"/>
      <c r="B105" s="315"/>
      <c r="C105" s="315"/>
      <c r="D105" s="315"/>
      <c r="E105" s="315"/>
      <c r="F105" s="315"/>
      <c r="G105" s="315"/>
      <c r="H105" s="315"/>
      <c r="I105" s="315"/>
      <c r="J105" s="315"/>
      <c r="K105" s="315"/>
    </row>
    <row r="106" spans="1:11" ht="30" x14ac:dyDescent="0.25">
      <c r="A106" s="159" t="s">
        <v>482</v>
      </c>
      <c r="B106" s="160">
        <v>95</v>
      </c>
      <c r="C106" s="160">
        <v>109</v>
      </c>
      <c r="D106" s="160">
        <v>61</v>
      </c>
      <c r="E106" s="160">
        <v>62</v>
      </c>
      <c r="F106" s="160">
        <v>152</v>
      </c>
      <c r="G106" s="160">
        <v>59</v>
      </c>
      <c r="H106" s="160">
        <v>38</v>
      </c>
      <c r="I106" s="160">
        <v>36</v>
      </c>
      <c r="J106" s="160">
        <v>69</v>
      </c>
      <c r="K106" s="160">
        <v>183</v>
      </c>
    </row>
    <row r="107" spans="1:11" ht="30" x14ac:dyDescent="0.25">
      <c r="A107" s="159" t="s">
        <v>483</v>
      </c>
      <c r="B107" s="160">
        <v>96</v>
      </c>
      <c r="C107" s="160">
        <v>112</v>
      </c>
      <c r="D107" s="160">
        <v>46</v>
      </c>
      <c r="E107" s="160">
        <v>173</v>
      </c>
      <c r="F107" s="160">
        <v>89</v>
      </c>
      <c r="G107" s="160">
        <v>59</v>
      </c>
      <c r="H107" s="160">
        <v>51</v>
      </c>
      <c r="I107" s="160">
        <v>86</v>
      </c>
      <c r="J107" s="160">
        <v>108</v>
      </c>
      <c r="K107" s="160">
        <v>110</v>
      </c>
    </row>
    <row r="108" spans="1:11" ht="45" x14ac:dyDescent="0.25">
      <c r="A108" s="159" t="s">
        <v>417</v>
      </c>
      <c r="B108" s="160">
        <v>97</v>
      </c>
      <c r="C108" s="160">
        <v>74</v>
      </c>
      <c r="D108" s="160">
        <v>85</v>
      </c>
      <c r="E108" s="160">
        <v>171</v>
      </c>
      <c r="F108" s="160">
        <v>32</v>
      </c>
      <c r="G108" s="160">
        <v>20</v>
      </c>
      <c r="H108" s="160">
        <v>91</v>
      </c>
      <c r="I108" s="160">
        <v>51</v>
      </c>
      <c r="J108" s="160">
        <v>169</v>
      </c>
      <c r="K108" s="160">
        <v>183</v>
      </c>
    </row>
    <row r="109" spans="1:11" x14ac:dyDescent="0.2">
      <c r="A109" s="316" t="s">
        <v>381</v>
      </c>
      <c r="B109" s="315">
        <v>98</v>
      </c>
      <c r="C109" s="315">
        <v>125</v>
      </c>
      <c r="D109" s="315">
        <v>35</v>
      </c>
      <c r="E109" s="315">
        <v>129</v>
      </c>
      <c r="F109" s="315">
        <v>6</v>
      </c>
      <c r="G109" s="315">
        <v>93</v>
      </c>
      <c r="H109" s="315">
        <v>162</v>
      </c>
      <c r="I109" s="315">
        <v>144</v>
      </c>
      <c r="J109" s="315">
        <v>125</v>
      </c>
      <c r="K109" s="315">
        <v>85</v>
      </c>
    </row>
    <row r="110" spans="1:11" x14ac:dyDescent="0.2">
      <c r="A110" s="316"/>
      <c r="B110" s="315"/>
      <c r="C110" s="315"/>
      <c r="D110" s="315"/>
      <c r="E110" s="315"/>
      <c r="F110" s="315"/>
      <c r="G110" s="315"/>
      <c r="H110" s="315"/>
      <c r="I110" s="315"/>
      <c r="J110" s="315"/>
      <c r="K110" s="315"/>
    </row>
    <row r="111" spans="1:11" ht="15" x14ac:dyDescent="0.25">
      <c r="A111" s="159" t="s">
        <v>243</v>
      </c>
      <c r="B111" s="160">
        <v>99</v>
      </c>
      <c r="C111" s="160">
        <v>148</v>
      </c>
      <c r="D111" s="160">
        <v>4</v>
      </c>
      <c r="E111" s="160">
        <v>134</v>
      </c>
      <c r="F111" s="160">
        <v>89</v>
      </c>
      <c r="G111" s="160">
        <v>120</v>
      </c>
      <c r="H111" s="160">
        <v>69</v>
      </c>
      <c r="I111" s="160">
        <v>119</v>
      </c>
      <c r="J111" s="160">
        <v>168</v>
      </c>
      <c r="K111" s="160">
        <v>28</v>
      </c>
    </row>
    <row r="112" spans="1:11" ht="30" x14ac:dyDescent="0.25">
      <c r="A112" s="159" t="s">
        <v>484</v>
      </c>
      <c r="B112" s="160">
        <v>100</v>
      </c>
      <c r="C112" s="160">
        <v>90</v>
      </c>
      <c r="D112" s="160">
        <v>33</v>
      </c>
      <c r="E112" s="160">
        <v>75</v>
      </c>
      <c r="F112" s="160">
        <v>152</v>
      </c>
      <c r="G112" s="160">
        <v>74</v>
      </c>
      <c r="H112" s="160">
        <v>119</v>
      </c>
      <c r="I112" s="160">
        <v>78</v>
      </c>
      <c r="J112" s="160">
        <v>74</v>
      </c>
      <c r="K112" s="160">
        <v>130</v>
      </c>
    </row>
    <row r="113" spans="1:11" ht="30" x14ac:dyDescent="0.25">
      <c r="A113" s="159" t="s">
        <v>375</v>
      </c>
      <c r="B113" s="160">
        <v>101</v>
      </c>
      <c r="C113" s="160">
        <v>162</v>
      </c>
      <c r="D113" s="160">
        <v>144</v>
      </c>
      <c r="E113" s="160">
        <v>23</v>
      </c>
      <c r="F113" s="160">
        <v>6</v>
      </c>
      <c r="G113" s="160">
        <v>132</v>
      </c>
      <c r="H113" s="160">
        <v>116</v>
      </c>
      <c r="I113" s="160">
        <v>122</v>
      </c>
      <c r="J113" s="160">
        <v>101</v>
      </c>
      <c r="K113" s="160">
        <v>94</v>
      </c>
    </row>
    <row r="114" spans="1:11" ht="15" x14ac:dyDescent="0.25">
      <c r="A114" s="159" t="s">
        <v>77</v>
      </c>
      <c r="B114" s="160">
        <v>102</v>
      </c>
      <c r="C114" s="160">
        <v>34</v>
      </c>
      <c r="D114" s="160">
        <v>169</v>
      </c>
      <c r="E114" s="160">
        <v>155</v>
      </c>
      <c r="F114" s="160">
        <v>72</v>
      </c>
      <c r="G114" s="160">
        <v>74</v>
      </c>
      <c r="H114" s="160">
        <v>166</v>
      </c>
      <c r="I114" s="160">
        <v>72</v>
      </c>
      <c r="J114" s="160">
        <v>137</v>
      </c>
      <c r="K114" s="160">
        <v>43</v>
      </c>
    </row>
    <row r="115" spans="1:11" ht="45" x14ac:dyDescent="0.25">
      <c r="A115" s="159" t="s">
        <v>485</v>
      </c>
      <c r="B115" s="160">
        <v>103</v>
      </c>
      <c r="C115" s="160">
        <v>81</v>
      </c>
      <c r="D115" s="160">
        <v>120</v>
      </c>
      <c r="E115" s="160">
        <v>85</v>
      </c>
      <c r="F115" s="160">
        <v>89</v>
      </c>
      <c r="G115" s="160">
        <v>44</v>
      </c>
      <c r="H115" s="160">
        <v>101</v>
      </c>
      <c r="I115" s="160">
        <v>96</v>
      </c>
      <c r="J115" s="160">
        <v>163</v>
      </c>
      <c r="K115" s="160">
        <v>108</v>
      </c>
    </row>
    <row r="116" spans="1:11" ht="15" x14ac:dyDescent="0.25">
      <c r="A116" s="159" t="s">
        <v>371</v>
      </c>
      <c r="B116" s="160">
        <v>104</v>
      </c>
      <c r="C116" s="160">
        <v>89</v>
      </c>
      <c r="D116" s="160">
        <v>53</v>
      </c>
      <c r="E116" s="160">
        <v>109</v>
      </c>
      <c r="F116" s="160">
        <v>128</v>
      </c>
      <c r="G116" s="160">
        <v>120</v>
      </c>
      <c r="H116" s="160">
        <v>47</v>
      </c>
      <c r="I116" s="160">
        <v>157</v>
      </c>
      <c r="J116" s="160">
        <v>57</v>
      </c>
      <c r="K116" s="160">
        <v>82</v>
      </c>
    </row>
    <row r="117" spans="1:11" ht="30" x14ac:dyDescent="0.25">
      <c r="A117" s="159" t="s">
        <v>486</v>
      </c>
      <c r="B117" s="160">
        <v>105</v>
      </c>
      <c r="C117" s="160">
        <v>57</v>
      </c>
      <c r="D117" s="160">
        <v>50</v>
      </c>
      <c r="E117" s="160">
        <v>53</v>
      </c>
      <c r="F117" s="160">
        <v>152</v>
      </c>
      <c r="G117" s="160">
        <v>132</v>
      </c>
      <c r="H117" s="160">
        <v>146</v>
      </c>
      <c r="I117" s="160">
        <v>123</v>
      </c>
      <c r="J117" s="160">
        <v>34</v>
      </c>
      <c r="K117" s="160">
        <v>90</v>
      </c>
    </row>
    <row r="118" spans="1:11" ht="15" x14ac:dyDescent="0.25">
      <c r="A118" s="159" t="s">
        <v>404</v>
      </c>
      <c r="B118" s="160">
        <v>106</v>
      </c>
      <c r="C118" s="160">
        <v>102</v>
      </c>
      <c r="D118" s="160">
        <v>71</v>
      </c>
      <c r="E118" s="160">
        <v>60</v>
      </c>
      <c r="F118" s="160">
        <v>72</v>
      </c>
      <c r="G118" s="160">
        <v>59</v>
      </c>
      <c r="H118" s="160">
        <v>110</v>
      </c>
      <c r="I118" s="160">
        <v>152</v>
      </c>
      <c r="J118" s="160">
        <v>107</v>
      </c>
      <c r="K118" s="160">
        <v>135</v>
      </c>
    </row>
    <row r="119" spans="1:11" ht="30" x14ac:dyDescent="0.25">
      <c r="A119" s="159" t="s">
        <v>69</v>
      </c>
      <c r="B119" s="160">
        <v>107</v>
      </c>
      <c r="C119" s="160">
        <v>79</v>
      </c>
      <c r="D119" s="160">
        <v>116</v>
      </c>
      <c r="E119" s="160">
        <v>172</v>
      </c>
      <c r="F119" s="160">
        <v>72</v>
      </c>
      <c r="G119" s="160">
        <v>20</v>
      </c>
      <c r="H119" s="160">
        <v>93</v>
      </c>
      <c r="I119" s="160">
        <v>112</v>
      </c>
      <c r="J119" s="160">
        <v>179</v>
      </c>
      <c r="K119" s="160">
        <v>101</v>
      </c>
    </row>
    <row r="120" spans="1:11" ht="30" x14ac:dyDescent="0.25">
      <c r="A120" s="159" t="s">
        <v>487</v>
      </c>
      <c r="B120" s="160">
        <v>108</v>
      </c>
      <c r="C120" s="160">
        <v>39</v>
      </c>
      <c r="D120" s="160">
        <v>6</v>
      </c>
      <c r="E120" s="160">
        <v>183</v>
      </c>
      <c r="F120" s="160">
        <v>89</v>
      </c>
      <c r="G120" s="160">
        <v>154</v>
      </c>
      <c r="H120" s="160">
        <v>90</v>
      </c>
      <c r="I120" s="160">
        <v>70</v>
      </c>
      <c r="J120" s="160">
        <v>62</v>
      </c>
      <c r="K120" s="160">
        <v>127</v>
      </c>
    </row>
    <row r="121" spans="1:11" ht="15" x14ac:dyDescent="0.25">
      <c r="A121" s="159" t="s">
        <v>374</v>
      </c>
      <c r="B121" s="160">
        <v>109</v>
      </c>
      <c r="C121" s="160">
        <v>149</v>
      </c>
      <c r="D121" s="160">
        <v>51</v>
      </c>
      <c r="E121" s="160">
        <v>153</v>
      </c>
      <c r="F121" s="160">
        <v>89</v>
      </c>
      <c r="G121" s="160">
        <v>154</v>
      </c>
      <c r="H121" s="160">
        <v>74</v>
      </c>
      <c r="I121" s="160">
        <v>84</v>
      </c>
      <c r="J121" s="160">
        <v>88</v>
      </c>
      <c r="K121" s="160">
        <v>49</v>
      </c>
    </row>
    <row r="122" spans="1:11" x14ac:dyDescent="0.2">
      <c r="A122" s="316" t="s">
        <v>359</v>
      </c>
      <c r="B122" s="315">
        <v>110</v>
      </c>
      <c r="C122" s="315">
        <v>160</v>
      </c>
      <c r="D122" s="315">
        <v>139</v>
      </c>
      <c r="E122" s="315">
        <v>103</v>
      </c>
      <c r="F122" s="315">
        <v>65</v>
      </c>
      <c r="G122" s="315">
        <v>93</v>
      </c>
      <c r="H122" s="315">
        <v>127</v>
      </c>
      <c r="I122" s="315">
        <v>71</v>
      </c>
      <c r="J122" s="315">
        <v>124</v>
      </c>
      <c r="K122" s="315">
        <v>73</v>
      </c>
    </row>
    <row r="123" spans="1:11" x14ac:dyDescent="0.2">
      <c r="A123" s="316"/>
      <c r="B123" s="315"/>
      <c r="C123" s="315"/>
      <c r="D123" s="315"/>
      <c r="E123" s="315"/>
      <c r="F123" s="315"/>
      <c r="G123" s="315"/>
      <c r="H123" s="315"/>
      <c r="I123" s="315"/>
      <c r="J123" s="315"/>
      <c r="K123" s="315"/>
    </row>
    <row r="124" spans="1:11" ht="15" x14ac:dyDescent="0.25">
      <c r="A124" s="159" t="s">
        <v>304</v>
      </c>
      <c r="B124" s="160">
        <v>111</v>
      </c>
      <c r="C124" s="160">
        <v>127</v>
      </c>
      <c r="D124" s="160">
        <v>92</v>
      </c>
      <c r="E124" s="160">
        <v>106</v>
      </c>
      <c r="F124" s="160">
        <v>128</v>
      </c>
      <c r="G124" s="160">
        <v>120</v>
      </c>
      <c r="H124" s="160">
        <v>29</v>
      </c>
      <c r="I124" s="160">
        <v>77</v>
      </c>
      <c r="J124" s="160">
        <v>129</v>
      </c>
      <c r="K124" s="160">
        <v>98</v>
      </c>
    </row>
    <row r="125" spans="1:11" ht="45" x14ac:dyDescent="0.25">
      <c r="A125" s="159" t="s">
        <v>361</v>
      </c>
      <c r="B125" s="160">
        <v>112</v>
      </c>
      <c r="C125" s="160">
        <v>133</v>
      </c>
      <c r="D125" s="160">
        <v>74</v>
      </c>
      <c r="E125" s="160">
        <v>183</v>
      </c>
      <c r="F125" s="160">
        <v>116</v>
      </c>
      <c r="G125" s="160">
        <v>120</v>
      </c>
      <c r="H125" s="160">
        <v>22</v>
      </c>
      <c r="I125" s="160">
        <v>52</v>
      </c>
      <c r="J125" s="160">
        <v>159</v>
      </c>
      <c r="K125" s="160">
        <v>42</v>
      </c>
    </row>
    <row r="126" spans="1:11" ht="15" x14ac:dyDescent="0.25">
      <c r="A126" s="159" t="s">
        <v>272</v>
      </c>
      <c r="B126" s="160">
        <v>113</v>
      </c>
      <c r="C126" s="160">
        <v>103</v>
      </c>
      <c r="D126" s="160">
        <v>142</v>
      </c>
      <c r="E126" s="160">
        <v>111</v>
      </c>
      <c r="F126" s="160">
        <v>89</v>
      </c>
      <c r="G126" s="160">
        <v>93</v>
      </c>
      <c r="H126" s="160">
        <v>36</v>
      </c>
      <c r="I126" s="160">
        <v>95</v>
      </c>
      <c r="J126" s="160">
        <v>122</v>
      </c>
      <c r="K126" s="160">
        <v>122</v>
      </c>
    </row>
    <row r="127" spans="1:11" x14ac:dyDescent="0.2">
      <c r="A127" s="316" t="s">
        <v>398</v>
      </c>
      <c r="B127" s="315">
        <v>114</v>
      </c>
      <c r="C127" s="315">
        <v>82</v>
      </c>
      <c r="D127" s="315">
        <v>98</v>
      </c>
      <c r="E127" s="315">
        <v>124</v>
      </c>
      <c r="F127" s="315">
        <v>89</v>
      </c>
      <c r="G127" s="315">
        <v>154</v>
      </c>
      <c r="H127" s="315">
        <v>124</v>
      </c>
      <c r="I127" s="315">
        <v>80</v>
      </c>
      <c r="J127" s="315">
        <v>106</v>
      </c>
      <c r="K127" s="315">
        <v>59</v>
      </c>
    </row>
    <row r="128" spans="1:11" x14ac:dyDescent="0.2">
      <c r="A128" s="316"/>
      <c r="B128" s="315"/>
      <c r="C128" s="315"/>
      <c r="D128" s="315"/>
      <c r="E128" s="315"/>
      <c r="F128" s="315"/>
      <c r="G128" s="315"/>
      <c r="H128" s="315"/>
      <c r="I128" s="315"/>
      <c r="J128" s="315"/>
      <c r="K128" s="315"/>
    </row>
    <row r="129" spans="1:11" ht="30" x14ac:dyDescent="0.25">
      <c r="A129" s="159" t="s">
        <v>10</v>
      </c>
      <c r="B129" s="160">
        <v>115</v>
      </c>
      <c r="C129" s="160">
        <v>142</v>
      </c>
      <c r="D129" s="160">
        <v>168</v>
      </c>
      <c r="E129" s="160">
        <v>118</v>
      </c>
      <c r="F129" s="160">
        <v>65</v>
      </c>
      <c r="G129" s="160">
        <v>109</v>
      </c>
      <c r="H129" s="160">
        <v>143</v>
      </c>
      <c r="I129" s="160">
        <v>115</v>
      </c>
      <c r="J129" s="160">
        <v>45</v>
      </c>
      <c r="K129" s="160">
        <v>77</v>
      </c>
    </row>
    <row r="130" spans="1:11" ht="15" x14ac:dyDescent="0.25">
      <c r="A130" s="159" t="s">
        <v>401</v>
      </c>
      <c r="B130" s="160">
        <v>116</v>
      </c>
      <c r="C130" s="160">
        <v>96</v>
      </c>
      <c r="D130" s="160">
        <v>130</v>
      </c>
      <c r="E130" s="160">
        <v>25</v>
      </c>
      <c r="F130" s="160">
        <v>89</v>
      </c>
      <c r="G130" s="160">
        <v>74</v>
      </c>
      <c r="H130" s="160">
        <v>123</v>
      </c>
      <c r="I130" s="160">
        <v>164</v>
      </c>
      <c r="J130" s="160">
        <v>123</v>
      </c>
      <c r="K130" s="160">
        <v>107</v>
      </c>
    </row>
    <row r="131" spans="1:11" ht="30" x14ac:dyDescent="0.25">
      <c r="A131" s="159" t="s">
        <v>402</v>
      </c>
      <c r="B131" s="160">
        <v>117</v>
      </c>
      <c r="C131" s="160">
        <v>97</v>
      </c>
      <c r="D131" s="160">
        <v>138</v>
      </c>
      <c r="E131" s="160">
        <v>142</v>
      </c>
      <c r="F131" s="160">
        <v>89</v>
      </c>
      <c r="G131" s="160">
        <v>93</v>
      </c>
      <c r="H131" s="160">
        <v>158</v>
      </c>
      <c r="I131" s="160">
        <v>85</v>
      </c>
      <c r="J131" s="160">
        <v>66</v>
      </c>
      <c r="K131" s="160">
        <v>75</v>
      </c>
    </row>
    <row r="132" spans="1:11" ht="30" x14ac:dyDescent="0.25">
      <c r="A132" s="159" t="s">
        <v>433</v>
      </c>
      <c r="B132" s="160">
        <v>118</v>
      </c>
      <c r="C132" s="160">
        <v>153</v>
      </c>
      <c r="D132" s="160">
        <v>40</v>
      </c>
      <c r="E132" s="160">
        <v>156</v>
      </c>
      <c r="F132" s="160">
        <v>46</v>
      </c>
      <c r="G132" s="160">
        <v>120</v>
      </c>
      <c r="H132" s="160">
        <v>52</v>
      </c>
      <c r="I132" s="160">
        <v>147</v>
      </c>
      <c r="J132" s="160">
        <v>170</v>
      </c>
      <c r="K132" s="160">
        <v>63</v>
      </c>
    </row>
    <row r="133" spans="1:11" x14ac:dyDescent="0.2">
      <c r="A133" s="316" t="s">
        <v>488</v>
      </c>
      <c r="B133" s="315">
        <v>119</v>
      </c>
      <c r="C133" s="315">
        <v>163</v>
      </c>
      <c r="D133" s="315">
        <v>173</v>
      </c>
      <c r="E133" s="315">
        <v>65</v>
      </c>
      <c r="F133" s="315">
        <v>32</v>
      </c>
      <c r="G133" s="315">
        <v>173</v>
      </c>
      <c r="H133" s="315">
        <v>41</v>
      </c>
      <c r="I133" s="315">
        <v>130</v>
      </c>
      <c r="J133" s="315">
        <v>155</v>
      </c>
      <c r="K133" s="315">
        <v>31</v>
      </c>
    </row>
    <row r="134" spans="1:11" x14ac:dyDescent="0.2">
      <c r="A134" s="316"/>
      <c r="B134" s="315"/>
      <c r="C134" s="315"/>
      <c r="D134" s="315"/>
      <c r="E134" s="315"/>
      <c r="F134" s="315"/>
      <c r="G134" s="315"/>
      <c r="H134" s="315"/>
      <c r="I134" s="315"/>
      <c r="J134" s="315"/>
      <c r="K134" s="315"/>
    </row>
    <row r="135" spans="1:11" ht="15" x14ac:dyDescent="0.25">
      <c r="A135" s="159" t="s">
        <v>489</v>
      </c>
      <c r="B135" s="160">
        <v>120</v>
      </c>
      <c r="C135" s="160">
        <v>105</v>
      </c>
      <c r="D135" s="160">
        <v>54</v>
      </c>
      <c r="E135" s="160">
        <v>20</v>
      </c>
      <c r="F135" s="160">
        <v>183</v>
      </c>
      <c r="G135" s="160">
        <v>173</v>
      </c>
      <c r="H135" s="160">
        <v>89</v>
      </c>
      <c r="I135" s="160">
        <v>121</v>
      </c>
      <c r="J135" s="160">
        <v>145</v>
      </c>
      <c r="K135" s="160">
        <v>60</v>
      </c>
    </row>
    <row r="136" spans="1:11" x14ac:dyDescent="0.2">
      <c r="A136" s="316" t="s">
        <v>2</v>
      </c>
      <c r="B136" s="315">
        <v>121</v>
      </c>
      <c r="C136" s="315">
        <v>155</v>
      </c>
      <c r="D136" s="315">
        <v>60</v>
      </c>
      <c r="E136" s="315">
        <v>98</v>
      </c>
      <c r="F136" s="315">
        <v>116</v>
      </c>
      <c r="G136" s="315">
        <v>44</v>
      </c>
      <c r="H136" s="315">
        <v>130</v>
      </c>
      <c r="I136" s="315">
        <v>47</v>
      </c>
      <c r="J136" s="315">
        <v>154</v>
      </c>
      <c r="K136" s="315">
        <v>142</v>
      </c>
    </row>
    <row r="137" spans="1:11" x14ac:dyDescent="0.2">
      <c r="A137" s="316"/>
      <c r="B137" s="315"/>
      <c r="C137" s="315"/>
      <c r="D137" s="315"/>
      <c r="E137" s="315"/>
      <c r="F137" s="315"/>
      <c r="G137" s="315"/>
      <c r="H137" s="315"/>
      <c r="I137" s="315"/>
      <c r="J137" s="315"/>
      <c r="K137" s="315"/>
    </row>
    <row r="138" spans="1:11" ht="15" x14ac:dyDescent="0.25">
      <c r="A138" s="159" t="s">
        <v>418</v>
      </c>
      <c r="B138" s="160">
        <v>122</v>
      </c>
      <c r="C138" s="160">
        <v>137</v>
      </c>
      <c r="D138" s="160">
        <v>133</v>
      </c>
      <c r="E138" s="160">
        <v>150</v>
      </c>
      <c r="F138" s="160">
        <v>46</v>
      </c>
      <c r="G138" s="160">
        <v>132</v>
      </c>
      <c r="H138" s="160">
        <v>62</v>
      </c>
      <c r="I138" s="160">
        <v>148</v>
      </c>
      <c r="J138" s="160">
        <v>113</v>
      </c>
      <c r="K138" s="160">
        <v>56</v>
      </c>
    </row>
    <row r="139" spans="1:11" ht="45" x14ac:dyDescent="0.25">
      <c r="A139" s="159" t="s">
        <v>345</v>
      </c>
      <c r="B139" s="160">
        <v>123</v>
      </c>
      <c r="C139" s="160">
        <v>108</v>
      </c>
      <c r="D139" s="160">
        <v>182</v>
      </c>
      <c r="E139" s="160">
        <v>51</v>
      </c>
      <c r="F139" s="160">
        <v>89</v>
      </c>
      <c r="G139" s="160">
        <v>93</v>
      </c>
      <c r="H139" s="160">
        <v>105</v>
      </c>
      <c r="I139" s="160">
        <v>162</v>
      </c>
      <c r="J139" s="160">
        <v>18</v>
      </c>
      <c r="K139" s="160">
        <v>103</v>
      </c>
    </row>
    <row r="140" spans="1:11" ht="15" x14ac:dyDescent="0.25">
      <c r="A140" s="159" t="s">
        <v>72</v>
      </c>
      <c r="B140" s="160">
        <v>124</v>
      </c>
      <c r="C140" s="160">
        <v>139</v>
      </c>
      <c r="D140" s="160">
        <v>141</v>
      </c>
      <c r="E140" s="160">
        <v>159</v>
      </c>
      <c r="F140" s="160">
        <v>46</v>
      </c>
      <c r="G140" s="160">
        <v>93</v>
      </c>
      <c r="H140" s="160">
        <v>155</v>
      </c>
      <c r="I140" s="160">
        <v>132</v>
      </c>
      <c r="J140" s="160">
        <v>102</v>
      </c>
      <c r="K140" s="160">
        <v>57</v>
      </c>
    </row>
    <row r="141" spans="1:11" ht="30" x14ac:dyDescent="0.25">
      <c r="A141" s="159" t="s">
        <v>367</v>
      </c>
      <c r="B141" s="160">
        <v>125</v>
      </c>
      <c r="C141" s="160">
        <v>116</v>
      </c>
      <c r="D141" s="160">
        <v>131</v>
      </c>
      <c r="E141" s="160">
        <v>52</v>
      </c>
      <c r="F141" s="160">
        <v>65</v>
      </c>
      <c r="G141" s="160">
        <v>167</v>
      </c>
      <c r="H141" s="160">
        <v>155</v>
      </c>
      <c r="I141" s="160">
        <v>69</v>
      </c>
      <c r="J141" s="160">
        <v>130</v>
      </c>
      <c r="K141" s="160">
        <v>114</v>
      </c>
    </row>
    <row r="142" spans="1:11" ht="30" x14ac:dyDescent="0.25">
      <c r="A142" s="159" t="s">
        <v>399</v>
      </c>
      <c r="B142" s="160">
        <v>126</v>
      </c>
      <c r="C142" s="160">
        <v>65</v>
      </c>
      <c r="D142" s="160">
        <v>155</v>
      </c>
      <c r="E142" s="160">
        <v>144</v>
      </c>
      <c r="F142" s="160">
        <v>128</v>
      </c>
      <c r="G142" s="160">
        <v>44</v>
      </c>
      <c r="H142" s="160">
        <v>101</v>
      </c>
      <c r="I142" s="160">
        <v>133</v>
      </c>
      <c r="J142" s="160">
        <v>132</v>
      </c>
      <c r="K142" s="160">
        <v>129</v>
      </c>
    </row>
    <row r="143" spans="1:11" ht="15" x14ac:dyDescent="0.25">
      <c r="A143" s="159" t="s">
        <v>9</v>
      </c>
      <c r="B143" s="160">
        <v>127</v>
      </c>
      <c r="C143" s="160">
        <v>128</v>
      </c>
      <c r="D143" s="160">
        <v>112</v>
      </c>
      <c r="E143" s="160">
        <v>122</v>
      </c>
      <c r="F143" s="160">
        <v>89</v>
      </c>
      <c r="G143" s="160">
        <v>74</v>
      </c>
      <c r="H143" s="160">
        <v>152</v>
      </c>
      <c r="I143" s="160">
        <v>114</v>
      </c>
      <c r="J143" s="160">
        <v>98</v>
      </c>
      <c r="K143" s="160">
        <v>132</v>
      </c>
    </row>
    <row r="144" spans="1:11" ht="15" x14ac:dyDescent="0.25">
      <c r="A144" s="159" t="s">
        <v>415</v>
      </c>
      <c r="B144" s="160">
        <v>128</v>
      </c>
      <c r="C144" s="160">
        <v>122</v>
      </c>
      <c r="D144" s="160">
        <v>179</v>
      </c>
      <c r="E144" s="160">
        <v>151</v>
      </c>
      <c r="F144" s="160">
        <v>89</v>
      </c>
      <c r="G144" s="160">
        <v>93</v>
      </c>
      <c r="H144" s="160">
        <v>120</v>
      </c>
      <c r="I144" s="160">
        <v>109</v>
      </c>
      <c r="J144" s="160">
        <v>32</v>
      </c>
      <c r="K144" s="160">
        <v>113</v>
      </c>
    </row>
    <row r="145" spans="1:11" ht="45" x14ac:dyDescent="0.25">
      <c r="A145" s="159" t="s">
        <v>429</v>
      </c>
      <c r="B145" s="160">
        <v>129</v>
      </c>
      <c r="C145" s="160">
        <v>42</v>
      </c>
      <c r="D145" s="160">
        <v>143</v>
      </c>
      <c r="E145" s="160">
        <v>156</v>
      </c>
      <c r="F145" s="160">
        <v>89</v>
      </c>
      <c r="G145" s="160">
        <v>167</v>
      </c>
      <c r="H145" s="160">
        <v>115</v>
      </c>
      <c r="I145" s="160">
        <v>131</v>
      </c>
      <c r="J145" s="160">
        <v>49</v>
      </c>
      <c r="K145" s="160">
        <v>111</v>
      </c>
    </row>
    <row r="146" spans="1:11" ht="15" x14ac:dyDescent="0.25">
      <c r="A146" s="159" t="s">
        <v>39</v>
      </c>
      <c r="B146" s="160">
        <v>130</v>
      </c>
      <c r="C146" s="160">
        <v>158</v>
      </c>
      <c r="D146" s="160">
        <v>88</v>
      </c>
      <c r="E146" s="160">
        <v>69</v>
      </c>
      <c r="F146" s="160">
        <v>89</v>
      </c>
      <c r="G146" s="160">
        <v>132</v>
      </c>
      <c r="H146" s="160">
        <v>81</v>
      </c>
      <c r="I146" s="160">
        <v>126</v>
      </c>
      <c r="J146" s="160">
        <v>100</v>
      </c>
      <c r="K146" s="160">
        <v>133</v>
      </c>
    </row>
    <row r="147" spans="1:11" ht="30" x14ac:dyDescent="0.25">
      <c r="A147" s="159" t="s">
        <v>377</v>
      </c>
      <c r="B147" s="160">
        <v>131</v>
      </c>
      <c r="C147" s="160">
        <v>145</v>
      </c>
      <c r="D147" s="160">
        <v>73</v>
      </c>
      <c r="E147" s="160">
        <v>89</v>
      </c>
      <c r="F147" s="160">
        <v>32</v>
      </c>
      <c r="G147" s="160">
        <v>167</v>
      </c>
      <c r="H147" s="160">
        <v>147</v>
      </c>
      <c r="I147" s="160">
        <v>110</v>
      </c>
      <c r="J147" s="160">
        <v>175</v>
      </c>
      <c r="K147" s="160">
        <v>120</v>
      </c>
    </row>
    <row r="148" spans="1:11" ht="30" x14ac:dyDescent="0.25">
      <c r="A148" s="159" t="s">
        <v>432</v>
      </c>
      <c r="B148" s="160">
        <v>132</v>
      </c>
      <c r="C148" s="160">
        <v>120</v>
      </c>
      <c r="D148" s="160">
        <v>89</v>
      </c>
      <c r="E148" s="160">
        <v>104</v>
      </c>
      <c r="F148" s="160">
        <v>152</v>
      </c>
      <c r="G148" s="160">
        <v>132</v>
      </c>
      <c r="H148" s="160">
        <v>100</v>
      </c>
      <c r="I148" s="160">
        <v>55</v>
      </c>
      <c r="J148" s="160">
        <v>38</v>
      </c>
      <c r="K148" s="160">
        <v>183</v>
      </c>
    </row>
    <row r="149" spans="1:11" ht="15" x14ac:dyDescent="0.25">
      <c r="A149" s="159" t="s">
        <v>391</v>
      </c>
      <c r="B149" s="160">
        <v>133</v>
      </c>
      <c r="C149" s="160">
        <v>132</v>
      </c>
      <c r="D149" s="160">
        <v>174</v>
      </c>
      <c r="E149" s="160">
        <v>81</v>
      </c>
      <c r="F149" s="160">
        <v>116</v>
      </c>
      <c r="G149" s="160">
        <v>74</v>
      </c>
      <c r="H149" s="160">
        <v>25</v>
      </c>
      <c r="I149" s="160">
        <v>173</v>
      </c>
      <c r="J149" s="160">
        <v>121</v>
      </c>
      <c r="K149" s="160">
        <v>126</v>
      </c>
    </row>
    <row r="150" spans="1:11" x14ac:dyDescent="0.2">
      <c r="A150" s="316" t="s">
        <v>1</v>
      </c>
      <c r="B150" s="315">
        <v>134</v>
      </c>
      <c r="C150" s="315">
        <v>165</v>
      </c>
      <c r="D150" s="315">
        <v>177</v>
      </c>
      <c r="E150" s="315">
        <v>94</v>
      </c>
      <c r="F150" s="315">
        <v>32</v>
      </c>
      <c r="G150" s="315">
        <v>44</v>
      </c>
      <c r="H150" s="315">
        <v>164</v>
      </c>
      <c r="I150" s="315">
        <v>100</v>
      </c>
      <c r="J150" s="315">
        <v>182</v>
      </c>
      <c r="K150" s="315">
        <v>134</v>
      </c>
    </row>
    <row r="151" spans="1:11" x14ac:dyDescent="0.2">
      <c r="A151" s="316"/>
      <c r="B151" s="315"/>
      <c r="C151" s="315"/>
      <c r="D151" s="315"/>
      <c r="E151" s="315"/>
      <c r="F151" s="315"/>
      <c r="G151" s="315"/>
      <c r="H151" s="315"/>
      <c r="I151" s="315"/>
      <c r="J151" s="315"/>
      <c r="K151" s="315"/>
    </row>
    <row r="152" spans="1:11" ht="45" x14ac:dyDescent="0.25">
      <c r="A152" s="159" t="s">
        <v>490</v>
      </c>
      <c r="B152" s="160">
        <v>135</v>
      </c>
      <c r="C152" s="160">
        <v>173</v>
      </c>
      <c r="D152" s="160">
        <v>157</v>
      </c>
      <c r="E152" s="160">
        <v>76</v>
      </c>
      <c r="F152" s="160">
        <v>168</v>
      </c>
      <c r="G152" s="160">
        <v>44</v>
      </c>
      <c r="H152" s="160">
        <v>28</v>
      </c>
      <c r="I152" s="160">
        <v>111</v>
      </c>
      <c r="J152" s="160">
        <v>93</v>
      </c>
      <c r="K152" s="160">
        <v>183</v>
      </c>
    </row>
    <row r="153" spans="1:11" ht="15" x14ac:dyDescent="0.25">
      <c r="A153" s="159" t="s">
        <v>350</v>
      </c>
      <c r="B153" s="160">
        <v>136</v>
      </c>
      <c r="C153" s="160">
        <v>150</v>
      </c>
      <c r="D153" s="160">
        <v>113</v>
      </c>
      <c r="E153" s="160">
        <v>165</v>
      </c>
      <c r="F153" s="160">
        <v>138</v>
      </c>
      <c r="G153" s="160">
        <v>74</v>
      </c>
      <c r="H153" s="160">
        <v>168</v>
      </c>
      <c r="I153" s="160">
        <v>124</v>
      </c>
      <c r="J153" s="160">
        <v>127</v>
      </c>
      <c r="K153" s="160">
        <v>51</v>
      </c>
    </row>
    <row r="154" spans="1:11" x14ac:dyDescent="0.2">
      <c r="A154" s="316" t="s">
        <v>62</v>
      </c>
      <c r="B154" s="315">
        <v>137</v>
      </c>
      <c r="C154" s="315">
        <v>110</v>
      </c>
      <c r="D154" s="315">
        <v>167</v>
      </c>
      <c r="E154" s="315">
        <v>179</v>
      </c>
      <c r="F154" s="315">
        <v>89</v>
      </c>
      <c r="G154" s="315">
        <v>59</v>
      </c>
      <c r="H154" s="315">
        <v>134</v>
      </c>
      <c r="I154" s="315">
        <v>146</v>
      </c>
      <c r="J154" s="315">
        <v>97</v>
      </c>
      <c r="K154" s="315">
        <v>99</v>
      </c>
    </row>
    <row r="155" spans="1:11" x14ac:dyDescent="0.2">
      <c r="A155" s="316"/>
      <c r="B155" s="315"/>
      <c r="C155" s="315"/>
      <c r="D155" s="315"/>
      <c r="E155" s="315"/>
      <c r="F155" s="315"/>
      <c r="G155" s="315"/>
      <c r="H155" s="315"/>
      <c r="I155" s="315"/>
      <c r="J155" s="315"/>
      <c r="K155" s="315"/>
    </row>
    <row r="156" spans="1:11" ht="15" x14ac:dyDescent="0.25">
      <c r="A156" s="159" t="s">
        <v>386</v>
      </c>
      <c r="B156" s="160">
        <v>138</v>
      </c>
      <c r="C156" s="160">
        <v>140</v>
      </c>
      <c r="D156" s="160">
        <v>163</v>
      </c>
      <c r="E156" s="160">
        <v>146</v>
      </c>
      <c r="F156" s="160">
        <v>128</v>
      </c>
      <c r="G156" s="160">
        <v>147</v>
      </c>
      <c r="H156" s="160">
        <v>64</v>
      </c>
      <c r="I156" s="160">
        <v>140</v>
      </c>
      <c r="J156" s="160">
        <v>116</v>
      </c>
      <c r="K156" s="160">
        <v>69</v>
      </c>
    </row>
    <row r="157" spans="1:11" ht="30" x14ac:dyDescent="0.25">
      <c r="A157" s="159" t="s">
        <v>414</v>
      </c>
      <c r="B157" s="160">
        <v>139</v>
      </c>
      <c r="C157" s="160">
        <v>136</v>
      </c>
      <c r="D157" s="160">
        <v>178</v>
      </c>
      <c r="E157" s="160">
        <v>87</v>
      </c>
      <c r="F157" s="160">
        <v>168</v>
      </c>
      <c r="G157" s="160">
        <v>59</v>
      </c>
      <c r="H157" s="160">
        <v>165</v>
      </c>
      <c r="I157" s="160">
        <v>178</v>
      </c>
      <c r="J157" s="160">
        <v>40</v>
      </c>
      <c r="K157" s="160">
        <v>64</v>
      </c>
    </row>
    <row r="158" spans="1:11" ht="30" x14ac:dyDescent="0.25">
      <c r="A158" s="159" t="s">
        <v>390</v>
      </c>
      <c r="B158" s="160">
        <v>140</v>
      </c>
      <c r="C158" s="160">
        <v>70</v>
      </c>
      <c r="D158" s="160">
        <v>110</v>
      </c>
      <c r="E158" s="160">
        <v>162</v>
      </c>
      <c r="F158" s="160">
        <v>176</v>
      </c>
      <c r="G158" s="160">
        <v>59</v>
      </c>
      <c r="H158" s="160">
        <v>72</v>
      </c>
      <c r="I158" s="160">
        <v>106</v>
      </c>
      <c r="J158" s="160">
        <v>153</v>
      </c>
      <c r="K158" s="160">
        <v>183</v>
      </c>
    </row>
    <row r="159" spans="1:11" ht="45" x14ac:dyDescent="0.25">
      <c r="A159" s="159" t="s">
        <v>491</v>
      </c>
      <c r="B159" s="160">
        <v>141</v>
      </c>
      <c r="C159" s="160">
        <v>92</v>
      </c>
      <c r="D159" s="160">
        <v>11</v>
      </c>
      <c r="E159" s="160">
        <v>183</v>
      </c>
      <c r="F159" s="160">
        <v>116</v>
      </c>
      <c r="G159" s="160">
        <v>173</v>
      </c>
      <c r="H159" s="160">
        <v>83</v>
      </c>
      <c r="I159" s="160">
        <v>97</v>
      </c>
      <c r="J159" s="160">
        <v>147</v>
      </c>
      <c r="K159" s="160">
        <v>154</v>
      </c>
    </row>
    <row r="160" spans="1:11" ht="15" x14ac:dyDescent="0.25">
      <c r="A160" s="159" t="s">
        <v>492</v>
      </c>
      <c r="B160" s="160">
        <v>142</v>
      </c>
      <c r="C160" s="160">
        <v>84</v>
      </c>
      <c r="D160" s="160">
        <v>123</v>
      </c>
      <c r="E160" s="160">
        <v>48</v>
      </c>
      <c r="F160" s="160">
        <v>176</v>
      </c>
      <c r="G160" s="160">
        <v>132</v>
      </c>
      <c r="H160" s="160">
        <v>94</v>
      </c>
      <c r="I160" s="160">
        <v>161</v>
      </c>
      <c r="J160" s="160">
        <v>33</v>
      </c>
      <c r="K160" s="160">
        <v>183</v>
      </c>
    </row>
    <row r="161" spans="1:11" ht="30" x14ac:dyDescent="0.25">
      <c r="A161" s="159" t="s">
        <v>493</v>
      </c>
      <c r="B161" s="160">
        <v>143</v>
      </c>
      <c r="C161" s="160">
        <v>61</v>
      </c>
      <c r="D161" s="160">
        <v>166</v>
      </c>
      <c r="E161" s="160">
        <v>169</v>
      </c>
      <c r="F161" s="160">
        <v>128</v>
      </c>
      <c r="G161" s="160">
        <v>28</v>
      </c>
      <c r="H161" s="160">
        <v>159</v>
      </c>
      <c r="I161" s="160">
        <v>136</v>
      </c>
      <c r="J161" s="160">
        <v>144</v>
      </c>
      <c r="K161" s="160">
        <v>149</v>
      </c>
    </row>
    <row r="162" spans="1:11" ht="45" x14ac:dyDescent="0.25">
      <c r="A162" s="159" t="s">
        <v>494</v>
      </c>
      <c r="B162" s="160">
        <v>144</v>
      </c>
      <c r="C162" s="160">
        <v>134</v>
      </c>
      <c r="D162" s="160">
        <v>134</v>
      </c>
      <c r="E162" s="160">
        <v>80</v>
      </c>
      <c r="F162" s="160">
        <v>168</v>
      </c>
      <c r="G162" s="160">
        <v>109</v>
      </c>
      <c r="H162" s="160">
        <v>110</v>
      </c>
      <c r="I162" s="160">
        <v>120</v>
      </c>
      <c r="J162" s="160">
        <v>176</v>
      </c>
      <c r="K162" s="160">
        <v>95</v>
      </c>
    </row>
    <row r="163" spans="1:11" ht="15" x14ac:dyDescent="0.25">
      <c r="A163" s="159" t="s">
        <v>58</v>
      </c>
      <c r="B163" s="160">
        <v>145</v>
      </c>
      <c r="C163" s="160">
        <v>118</v>
      </c>
      <c r="D163" s="160">
        <v>179</v>
      </c>
      <c r="E163" s="160">
        <v>164</v>
      </c>
      <c r="F163" s="160">
        <v>32</v>
      </c>
      <c r="G163" s="160">
        <v>109</v>
      </c>
      <c r="H163" s="160">
        <v>181</v>
      </c>
      <c r="I163" s="160">
        <v>139</v>
      </c>
      <c r="J163" s="160">
        <v>43</v>
      </c>
      <c r="K163" s="160">
        <v>150</v>
      </c>
    </row>
    <row r="164" spans="1:11" ht="30" x14ac:dyDescent="0.25">
      <c r="A164" s="159" t="s">
        <v>495</v>
      </c>
      <c r="B164" s="160">
        <v>146</v>
      </c>
      <c r="C164" s="160">
        <v>115</v>
      </c>
      <c r="D164" s="160">
        <v>80</v>
      </c>
      <c r="E164" s="160">
        <v>121</v>
      </c>
      <c r="F164" s="160">
        <v>138</v>
      </c>
      <c r="G164" s="160">
        <v>173</v>
      </c>
      <c r="H164" s="160">
        <v>176</v>
      </c>
      <c r="I164" s="160">
        <v>87</v>
      </c>
      <c r="J164" s="160">
        <v>67</v>
      </c>
      <c r="K164" s="160">
        <v>121</v>
      </c>
    </row>
    <row r="165" spans="1:11" ht="30" x14ac:dyDescent="0.25">
      <c r="A165" s="159" t="s">
        <v>364</v>
      </c>
      <c r="B165" s="160">
        <v>147</v>
      </c>
      <c r="C165" s="160">
        <v>170</v>
      </c>
      <c r="D165" s="160">
        <v>146</v>
      </c>
      <c r="E165" s="160">
        <v>117</v>
      </c>
      <c r="F165" s="160">
        <v>89</v>
      </c>
      <c r="G165" s="160">
        <v>74</v>
      </c>
      <c r="H165" s="160">
        <v>57</v>
      </c>
      <c r="I165" s="160">
        <v>118</v>
      </c>
      <c r="J165" s="160">
        <v>142</v>
      </c>
      <c r="K165" s="160">
        <v>183</v>
      </c>
    </row>
    <row r="166" spans="1:11" x14ac:dyDescent="0.2">
      <c r="A166" s="316" t="s">
        <v>4</v>
      </c>
      <c r="B166" s="315">
        <v>148</v>
      </c>
      <c r="C166" s="315">
        <v>156</v>
      </c>
      <c r="D166" s="315">
        <v>156</v>
      </c>
      <c r="E166" s="315">
        <v>102</v>
      </c>
      <c r="F166" s="315">
        <v>128</v>
      </c>
      <c r="G166" s="315">
        <v>132</v>
      </c>
      <c r="H166" s="315">
        <v>124</v>
      </c>
      <c r="I166" s="315">
        <v>61</v>
      </c>
      <c r="J166" s="315">
        <v>118</v>
      </c>
      <c r="K166" s="315">
        <v>153</v>
      </c>
    </row>
    <row r="167" spans="1:11" x14ac:dyDescent="0.2">
      <c r="A167" s="316"/>
      <c r="B167" s="315"/>
      <c r="C167" s="315"/>
      <c r="D167" s="315"/>
      <c r="E167" s="315"/>
      <c r="F167" s="315"/>
      <c r="G167" s="315"/>
      <c r="H167" s="315"/>
      <c r="I167" s="315"/>
      <c r="J167" s="315"/>
      <c r="K167" s="315"/>
    </row>
    <row r="168" spans="1:11" ht="15" x14ac:dyDescent="0.25">
      <c r="A168" s="159" t="s">
        <v>358</v>
      </c>
      <c r="B168" s="160">
        <v>149</v>
      </c>
      <c r="C168" s="160">
        <v>166</v>
      </c>
      <c r="D168" s="160">
        <v>98</v>
      </c>
      <c r="E168" s="160">
        <v>139</v>
      </c>
      <c r="F168" s="160">
        <v>116</v>
      </c>
      <c r="G168" s="160">
        <v>132</v>
      </c>
      <c r="H168" s="160">
        <v>177</v>
      </c>
      <c r="I168" s="160">
        <v>125</v>
      </c>
      <c r="J168" s="160">
        <v>136</v>
      </c>
      <c r="K168" s="160">
        <v>58</v>
      </c>
    </row>
    <row r="169" spans="1:11" ht="30" x14ac:dyDescent="0.25">
      <c r="A169" s="159" t="s">
        <v>496</v>
      </c>
      <c r="B169" s="160">
        <v>150</v>
      </c>
      <c r="C169" s="160">
        <v>106</v>
      </c>
      <c r="D169" s="160">
        <v>145</v>
      </c>
      <c r="E169" s="160">
        <v>135</v>
      </c>
      <c r="F169" s="160">
        <v>138</v>
      </c>
      <c r="G169" s="160">
        <v>132</v>
      </c>
      <c r="H169" s="160">
        <v>154</v>
      </c>
      <c r="I169" s="160">
        <v>169</v>
      </c>
      <c r="J169" s="160">
        <v>44</v>
      </c>
      <c r="K169" s="160">
        <v>112</v>
      </c>
    </row>
    <row r="170" spans="1:11" ht="30" x14ac:dyDescent="0.25">
      <c r="A170" s="159" t="s">
        <v>362</v>
      </c>
      <c r="B170" s="160">
        <v>151</v>
      </c>
      <c r="C170" s="160">
        <v>119</v>
      </c>
      <c r="D170" s="160">
        <v>77</v>
      </c>
      <c r="E170" s="160">
        <v>118</v>
      </c>
      <c r="F170" s="160">
        <v>152</v>
      </c>
      <c r="G170" s="160">
        <v>147</v>
      </c>
      <c r="H170" s="160">
        <v>148</v>
      </c>
      <c r="I170" s="160">
        <v>175</v>
      </c>
      <c r="J170" s="160">
        <v>108</v>
      </c>
      <c r="K170" s="160">
        <v>100</v>
      </c>
    </row>
    <row r="171" spans="1:11" ht="15" x14ac:dyDescent="0.25">
      <c r="A171" s="159" t="s">
        <v>307</v>
      </c>
      <c r="B171" s="160">
        <v>152</v>
      </c>
      <c r="C171" s="160">
        <v>101</v>
      </c>
      <c r="D171" s="160">
        <v>117</v>
      </c>
      <c r="E171" s="160">
        <v>167</v>
      </c>
      <c r="F171" s="160">
        <v>152</v>
      </c>
      <c r="G171" s="160">
        <v>167</v>
      </c>
      <c r="H171" s="160">
        <v>170</v>
      </c>
      <c r="I171" s="160">
        <v>67</v>
      </c>
      <c r="J171" s="160">
        <v>148</v>
      </c>
      <c r="K171" s="160">
        <v>79</v>
      </c>
    </row>
    <row r="172" spans="1:11" ht="15" x14ac:dyDescent="0.25">
      <c r="A172" s="159" t="s">
        <v>392</v>
      </c>
      <c r="B172" s="160">
        <v>153</v>
      </c>
      <c r="C172" s="160">
        <v>117</v>
      </c>
      <c r="D172" s="160">
        <v>87</v>
      </c>
      <c r="E172" s="160">
        <v>88</v>
      </c>
      <c r="F172" s="160">
        <v>152</v>
      </c>
      <c r="G172" s="160">
        <v>147</v>
      </c>
      <c r="H172" s="160">
        <v>159</v>
      </c>
      <c r="I172" s="160">
        <v>154</v>
      </c>
      <c r="J172" s="160">
        <v>133</v>
      </c>
      <c r="K172" s="160">
        <v>106</v>
      </c>
    </row>
    <row r="173" spans="1:11" ht="15" x14ac:dyDescent="0.25">
      <c r="A173" s="159" t="s">
        <v>497</v>
      </c>
      <c r="B173" s="160">
        <v>154</v>
      </c>
      <c r="C173" s="160">
        <v>121</v>
      </c>
      <c r="D173" s="160">
        <v>139</v>
      </c>
      <c r="E173" s="160">
        <v>40</v>
      </c>
      <c r="F173" s="160">
        <v>138</v>
      </c>
      <c r="G173" s="160">
        <v>154</v>
      </c>
      <c r="H173" s="160">
        <v>94</v>
      </c>
      <c r="I173" s="160">
        <v>143</v>
      </c>
      <c r="J173" s="160">
        <v>146</v>
      </c>
      <c r="K173" s="160">
        <v>183</v>
      </c>
    </row>
    <row r="174" spans="1:11" ht="15" x14ac:dyDescent="0.25">
      <c r="A174" s="159" t="s">
        <v>498</v>
      </c>
      <c r="B174" s="160">
        <v>155</v>
      </c>
      <c r="C174" s="160">
        <v>64</v>
      </c>
      <c r="D174" s="160">
        <v>135</v>
      </c>
      <c r="E174" s="160">
        <v>176</v>
      </c>
      <c r="F174" s="160">
        <v>138</v>
      </c>
      <c r="G174" s="160">
        <v>147</v>
      </c>
      <c r="H174" s="160">
        <v>84</v>
      </c>
      <c r="I174" s="160">
        <v>116</v>
      </c>
      <c r="J174" s="160">
        <v>166</v>
      </c>
      <c r="K174" s="160">
        <v>148</v>
      </c>
    </row>
    <row r="175" spans="1:11" ht="15" x14ac:dyDescent="0.25">
      <c r="A175" s="159" t="s">
        <v>259</v>
      </c>
      <c r="B175" s="160">
        <v>156</v>
      </c>
      <c r="C175" s="160">
        <v>153</v>
      </c>
      <c r="D175" s="160">
        <v>67</v>
      </c>
      <c r="E175" s="160">
        <v>132</v>
      </c>
      <c r="F175" s="160">
        <v>138</v>
      </c>
      <c r="G175" s="160">
        <v>154</v>
      </c>
      <c r="H175" s="160">
        <v>140</v>
      </c>
      <c r="I175" s="160">
        <v>134</v>
      </c>
      <c r="J175" s="160">
        <v>148</v>
      </c>
      <c r="K175" s="160">
        <v>139</v>
      </c>
    </row>
    <row r="176" spans="1:11" ht="30" x14ac:dyDescent="0.25">
      <c r="A176" s="159" t="s">
        <v>421</v>
      </c>
      <c r="B176" s="160">
        <v>157</v>
      </c>
      <c r="C176" s="160">
        <v>143</v>
      </c>
      <c r="D176" s="160">
        <v>172</v>
      </c>
      <c r="E176" s="160">
        <v>82</v>
      </c>
      <c r="F176" s="160">
        <v>128</v>
      </c>
      <c r="G176" s="160">
        <v>120</v>
      </c>
      <c r="H176" s="160">
        <v>131</v>
      </c>
      <c r="I176" s="160">
        <v>168</v>
      </c>
      <c r="J176" s="160">
        <v>110</v>
      </c>
      <c r="K176" s="160">
        <v>156</v>
      </c>
    </row>
    <row r="177" spans="1:11" ht="15" x14ac:dyDescent="0.25">
      <c r="A177" s="159" t="s">
        <v>499</v>
      </c>
      <c r="B177" s="160">
        <v>158</v>
      </c>
      <c r="C177" s="160">
        <v>175</v>
      </c>
      <c r="D177" s="160">
        <v>125</v>
      </c>
      <c r="E177" s="160">
        <v>140</v>
      </c>
      <c r="F177" s="160">
        <v>176</v>
      </c>
      <c r="G177" s="160">
        <v>179</v>
      </c>
      <c r="H177" s="160">
        <v>60</v>
      </c>
      <c r="I177" s="160">
        <v>38</v>
      </c>
      <c r="J177" s="160">
        <v>160</v>
      </c>
      <c r="K177" s="160">
        <v>137</v>
      </c>
    </row>
    <row r="178" spans="1:11" ht="15" x14ac:dyDescent="0.25">
      <c r="A178" s="159" t="s">
        <v>500</v>
      </c>
      <c r="B178" s="160">
        <v>159</v>
      </c>
      <c r="C178" s="160">
        <v>168</v>
      </c>
      <c r="D178" s="160">
        <v>68</v>
      </c>
      <c r="E178" s="160">
        <v>99</v>
      </c>
      <c r="F178" s="160">
        <v>168</v>
      </c>
      <c r="G178" s="160">
        <v>132</v>
      </c>
      <c r="H178" s="160">
        <v>96</v>
      </c>
      <c r="I178" s="160">
        <v>135</v>
      </c>
      <c r="J178" s="160">
        <v>152</v>
      </c>
      <c r="K178" s="160">
        <v>183</v>
      </c>
    </row>
    <row r="179" spans="1:11" ht="15" x14ac:dyDescent="0.25">
      <c r="A179" s="159" t="s">
        <v>501</v>
      </c>
      <c r="B179" s="160">
        <v>160</v>
      </c>
      <c r="C179" s="160">
        <v>169</v>
      </c>
      <c r="D179" s="160">
        <v>152</v>
      </c>
      <c r="E179" s="160">
        <v>158</v>
      </c>
      <c r="F179" s="160">
        <v>152</v>
      </c>
      <c r="G179" s="160">
        <v>147</v>
      </c>
      <c r="H179" s="160">
        <v>157</v>
      </c>
      <c r="I179" s="160">
        <v>93</v>
      </c>
      <c r="J179" s="160">
        <v>151</v>
      </c>
      <c r="K179" s="160">
        <v>84</v>
      </c>
    </row>
    <row r="180" spans="1:11" ht="30" x14ac:dyDescent="0.25">
      <c r="A180" s="159" t="s">
        <v>410</v>
      </c>
      <c r="B180" s="160">
        <v>161</v>
      </c>
      <c r="C180" s="160">
        <v>171</v>
      </c>
      <c r="D180" s="160">
        <v>94</v>
      </c>
      <c r="E180" s="160">
        <v>168</v>
      </c>
      <c r="F180" s="160">
        <v>138</v>
      </c>
      <c r="G180" s="160">
        <v>181</v>
      </c>
      <c r="H180" s="160">
        <v>34</v>
      </c>
      <c r="I180" s="160">
        <v>101</v>
      </c>
      <c r="J180" s="160">
        <v>178</v>
      </c>
      <c r="K180" s="160">
        <v>146</v>
      </c>
    </row>
    <row r="181" spans="1:11" ht="15" x14ac:dyDescent="0.25">
      <c r="A181" s="159" t="s">
        <v>436</v>
      </c>
      <c r="B181" s="160">
        <v>162</v>
      </c>
      <c r="C181" s="160">
        <v>178</v>
      </c>
      <c r="D181" s="160">
        <v>122</v>
      </c>
      <c r="E181" s="160">
        <v>128</v>
      </c>
      <c r="F181" s="160">
        <v>138</v>
      </c>
      <c r="G181" s="160">
        <v>167</v>
      </c>
      <c r="H181" s="160">
        <v>97</v>
      </c>
      <c r="I181" s="160">
        <v>145</v>
      </c>
      <c r="J181" s="160">
        <v>91</v>
      </c>
      <c r="K181" s="160">
        <v>151</v>
      </c>
    </row>
    <row r="182" spans="1:11" ht="15" x14ac:dyDescent="0.25">
      <c r="A182" s="159" t="s">
        <v>435</v>
      </c>
      <c r="B182" s="160">
        <v>163</v>
      </c>
      <c r="C182" s="160">
        <v>164</v>
      </c>
      <c r="D182" s="160">
        <v>128</v>
      </c>
      <c r="E182" s="160">
        <v>174</v>
      </c>
      <c r="F182" s="160">
        <v>116</v>
      </c>
      <c r="G182" s="160">
        <v>59</v>
      </c>
      <c r="H182" s="160">
        <v>142</v>
      </c>
      <c r="I182" s="160">
        <v>166</v>
      </c>
      <c r="J182" s="160">
        <v>181</v>
      </c>
      <c r="K182" s="160">
        <v>147</v>
      </c>
    </row>
    <row r="183" spans="1:11" ht="45" x14ac:dyDescent="0.25">
      <c r="A183" s="159" t="s">
        <v>502</v>
      </c>
      <c r="B183" s="160">
        <v>164</v>
      </c>
      <c r="C183" s="160">
        <v>179</v>
      </c>
      <c r="D183" s="160">
        <v>109</v>
      </c>
      <c r="E183" s="160">
        <v>79</v>
      </c>
      <c r="F183" s="160">
        <v>138</v>
      </c>
      <c r="G183" s="160">
        <v>147</v>
      </c>
      <c r="H183" s="160">
        <v>170</v>
      </c>
      <c r="I183" s="160">
        <v>137</v>
      </c>
      <c r="J183" s="160">
        <v>72</v>
      </c>
      <c r="K183" s="160">
        <v>183</v>
      </c>
    </row>
    <row r="184" spans="1:11" ht="30" x14ac:dyDescent="0.25">
      <c r="A184" s="159" t="s">
        <v>394</v>
      </c>
      <c r="B184" s="160">
        <v>165</v>
      </c>
      <c r="C184" s="160">
        <v>152</v>
      </c>
      <c r="D184" s="160">
        <v>153</v>
      </c>
      <c r="E184" s="160">
        <v>73</v>
      </c>
      <c r="F184" s="160">
        <v>152</v>
      </c>
      <c r="G184" s="160">
        <v>147</v>
      </c>
      <c r="H184" s="160">
        <v>172</v>
      </c>
      <c r="I184" s="160">
        <v>163</v>
      </c>
      <c r="J184" s="160">
        <v>83</v>
      </c>
      <c r="K184" s="160">
        <v>144</v>
      </c>
    </row>
    <row r="185" spans="1:11" ht="15" x14ac:dyDescent="0.25">
      <c r="A185" s="159" t="s">
        <v>267</v>
      </c>
      <c r="B185" s="160">
        <v>166</v>
      </c>
      <c r="C185" s="160">
        <v>174</v>
      </c>
      <c r="D185" s="160">
        <v>102</v>
      </c>
      <c r="E185" s="160">
        <v>96</v>
      </c>
      <c r="F185" s="160">
        <v>168</v>
      </c>
      <c r="G185" s="160">
        <v>120</v>
      </c>
      <c r="H185" s="160">
        <v>54</v>
      </c>
      <c r="I185" s="160">
        <v>179</v>
      </c>
      <c r="J185" s="160">
        <v>141</v>
      </c>
      <c r="K185" s="160">
        <v>183</v>
      </c>
    </row>
    <row r="186" spans="1:11" ht="30" x14ac:dyDescent="0.25">
      <c r="A186" s="159" t="s">
        <v>503</v>
      </c>
      <c r="B186" s="160">
        <v>167</v>
      </c>
      <c r="C186" s="160">
        <v>25</v>
      </c>
      <c r="D186" s="160">
        <v>149</v>
      </c>
      <c r="E186" s="160">
        <v>170</v>
      </c>
      <c r="F186" s="160">
        <v>128</v>
      </c>
      <c r="G186" s="160">
        <v>183</v>
      </c>
      <c r="H186" s="160">
        <v>53</v>
      </c>
      <c r="I186" s="160">
        <v>183</v>
      </c>
      <c r="J186" s="160">
        <v>162</v>
      </c>
      <c r="K186" s="160">
        <v>183</v>
      </c>
    </row>
    <row r="187" spans="1:11" ht="30" x14ac:dyDescent="0.25">
      <c r="A187" s="159" t="s">
        <v>365</v>
      </c>
      <c r="B187" s="160">
        <v>168</v>
      </c>
      <c r="C187" s="160">
        <v>131</v>
      </c>
      <c r="D187" s="160">
        <v>118</v>
      </c>
      <c r="E187" s="160">
        <v>149</v>
      </c>
      <c r="F187" s="160">
        <v>138</v>
      </c>
      <c r="G187" s="160">
        <v>120</v>
      </c>
      <c r="H187" s="160">
        <v>169</v>
      </c>
      <c r="I187" s="160">
        <v>155</v>
      </c>
      <c r="J187" s="160">
        <v>173</v>
      </c>
      <c r="K187" s="160">
        <v>141</v>
      </c>
    </row>
    <row r="188" spans="1:11" ht="30" x14ac:dyDescent="0.25">
      <c r="A188" s="159" t="s">
        <v>368</v>
      </c>
      <c r="B188" s="160">
        <v>169</v>
      </c>
      <c r="C188" s="160">
        <v>172</v>
      </c>
      <c r="D188" s="160">
        <v>165</v>
      </c>
      <c r="E188" s="160">
        <v>151</v>
      </c>
      <c r="F188" s="160">
        <v>152</v>
      </c>
      <c r="G188" s="160">
        <v>154</v>
      </c>
      <c r="H188" s="160">
        <v>153</v>
      </c>
      <c r="I188" s="160">
        <v>160</v>
      </c>
      <c r="J188" s="160">
        <v>126</v>
      </c>
      <c r="K188" s="160">
        <v>76</v>
      </c>
    </row>
    <row r="189" spans="1:11" ht="15" x14ac:dyDescent="0.25">
      <c r="A189" s="159" t="s">
        <v>357</v>
      </c>
      <c r="B189" s="160">
        <v>170</v>
      </c>
      <c r="C189" s="160">
        <v>157</v>
      </c>
      <c r="D189" s="160">
        <v>125</v>
      </c>
      <c r="E189" s="160">
        <v>129</v>
      </c>
      <c r="F189" s="160">
        <v>152</v>
      </c>
      <c r="G189" s="160">
        <v>154</v>
      </c>
      <c r="H189" s="160">
        <v>167</v>
      </c>
      <c r="I189" s="160">
        <v>127</v>
      </c>
      <c r="J189" s="160">
        <v>177</v>
      </c>
      <c r="K189" s="160">
        <v>118</v>
      </c>
    </row>
    <row r="190" spans="1:11" ht="15" x14ac:dyDescent="0.25">
      <c r="A190" s="159" t="s">
        <v>504</v>
      </c>
      <c r="B190" s="160">
        <v>171</v>
      </c>
      <c r="C190" s="160">
        <v>93</v>
      </c>
      <c r="D190" s="160">
        <v>115</v>
      </c>
      <c r="E190" s="160">
        <v>163</v>
      </c>
      <c r="F190" s="160">
        <v>152</v>
      </c>
      <c r="G190" s="160">
        <v>182</v>
      </c>
      <c r="H190" s="160">
        <v>116</v>
      </c>
      <c r="I190" s="160">
        <v>170</v>
      </c>
      <c r="J190" s="160">
        <v>110</v>
      </c>
      <c r="K190" s="160">
        <v>183</v>
      </c>
    </row>
    <row r="191" spans="1:11" ht="30" x14ac:dyDescent="0.25">
      <c r="A191" s="159" t="s">
        <v>461</v>
      </c>
      <c r="B191" s="160">
        <v>172</v>
      </c>
      <c r="C191" s="160">
        <v>144</v>
      </c>
      <c r="D191" s="160">
        <v>96</v>
      </c>
      <c r="E191" s="160">
        <v>101</v>
      </c>
      <c r="F191" s="160">
        <v>176</v>
      </c>
      <c r="G191" s="160">
        <v>179</v>
      </c>
      <c r="H191" s="160">
        <v>178</v>
      </c>
      <c r="I191" s="160">
        <v>167</v>
      </c>
      <c r="J191" s="160">
        <v>74</v>
      </c>
      <c r="K191" s="160">
        <v>152</v>
      </c>
    </row>
    <row r="192" spans="1:11" ht="15" x14ac:dyDescent="0.25">
      <c r="A192" s="159" t="s">
        <v>505</v>
      </c>
      <c r="B192" s="160">
        <v>173</v>
      </c>
      <c r="C192" s="160">
        <v>159</v>
      </c>
      <c r="D192" s="160">
        <v>162</v>
      </c>
      <c r="E192" s="160">
        <v>84</v>
      </c>
      <c r="F192" s="160">
        <v>152</v>
      </c>
      <c r="G192" s="160">
        <v>154</v>
      </c>
      <c r="H192" s="160">
        <v>144</v>
      </c>
      <c r="I192" s="160">
        <v>174</v>
      </c>
      <c r="J192" s="160">
        <v>138</v>
      </c>
      <c r="K192" s="160">
        <v>136</v>
      </c>
    </row>
    <row r="193" spans="1:11" ht="30" x14ac:dyDescent="0.25">
      <c r="A193" s="159" t="s">
        <v>416</v>
      </c>
      <c r="B193" s="160">
        <v>174</v>
      </c>
      <c r="C193" s="160">
        <v>167</v>
      </c>
      <c r="D193" s="160">
        <v>128</v>
      </c>
      <c r="E193" s="160">
        <v>183</v>
      </c>
      <c r="F193" s="160">
        <v>182</v>
      </c>
      <c r="G193" s="160">
        <v>132</v>
      </c>
      <c r="H193" s="160">
        <v>20</v>
      </c>
      <c r="I193" s="160">
        <v>91</v>
      </c>
      <c r="J193" s="160">
        <v>183</v>
      </c>
      <c r="K193" s="160">
        <v>183</v>
      </c>
    </row>
    <row r="194" spans="1:11" ht="45" x14ac:dyDescent="0.25">
      <c r="A194" s="159" t="s">
        <v>506</v>
      </c>
      <c r="B194" s="160">
        <v>175</v>
      </c>
      <c r="C194" s="160">
        <v>146</v>
      </c>
      <c r="D194" s="160">
        <v>81</v>
      </c>
      <c r="E194" s="160">
        <v>118</v>
      </c>
      <c r="F194" s="160">
        <v>168</v>
      </c>
      <c r="G194" s="160">
        <v>154</v>
      </c>
      <c r="H194" s="160">
        <v>163</v>
      </c>
      <c r="I194" s="160">
        <v>172</v>
      </c>
      <c r="J194" s="160">
        <v>172</v>
      </c>
      <c r="K194" s="160">
        <v>155</v>
      </c>
    </row>
    <row r="195" spans="1:11" ht="30" x14ac:dyDescent="0.25">
      <c r="A195" s="159" t="s">
        <v>507</v>
      </c>
      <c r="B195" s="160">
        <v>176</v>
      </c>
      <c r="C195" s="160">
        <v>183</v>
      </c>
      <c r="D195" s="160">
        <v>103</v>
      </c>
      <c r="E195" s="160">
        <v>175</v>
      </c>
      <c r="F195" s="160">
        <v>152</v>
      </c>
      <c r="G195" s="160">
        <v>132</v>
      </c>
      <c r="H195" s="160">
        <v>133</v>
      </c>
      <c r="I195" s="160">
        <v>117</v>
      </c>
      <c r="J195" s="160">
        <v>139</v>
      </c>
      <c r="K195" s="160">
        <v>183</v>
      </c>
    </row>
    <row r="196" spans="1:11" ht="30" x14ac:dyDescent="0.25">
      <c r="A196" s="159" t="s">
        <v>508</v>
      </c>
      <c r="B196" s="160">
        <v>177</v>
      </c>
      <c r="C196" s="160">
        <v>176</v>
      </c>
      <c r="D196" s="160">
        <v>83</v>
      </c>
      <c r="E196" s="160">
        <v>133</v>
      </c>
      <c r="F196" s="160">
        <v>138</v>
      </c>
      <c r="G196" s="160">
        <v>154</v>
      </c>
      <c r="H196" s="160">
        <v>180</v>
      </c>
      <c r="I196" s="160">
        <v>180</v>
      </c>
      <c r="J196" s="160">
        <v>158</v>
      </c>
      <c r="K196" s="160">
        <v>128</v>
      </c>
    </row>
    <row r="197" spans="1:11" ht="60" x14ac:dyDescent="0.25">
      <c r="A197" s="159" t="s">
        <v>509</v>
      </c>
      <c r="B197" s="160">
        <v>178</v>
      </c>
      <c r="C197" s="160">
        <v>177</v>
      </c>
      <c r="D197" s="160">
        <v>113</v>
      </c>
      <c r="E197" s="160">
        <v>161</v>
      </c>
      <c r="F197" s="160">
        <v>176</v>
      </c>
      <c r="G197" s="160">
        <v>154</v>
      </c>
      <c r="H197" s="160">
        <v>135</v>
      </c>
      <c r="I197" s="160">
        <v>92</v>
      </c>
      <c r="J197" s="160">
        <v>179</v>
      </c>
      <c r="K197" s="160">
        <v>183</v>
      </c>
    </row>
    <row r="198" spans="1:11" ht="15" x14ac:dyDescent="0.25">
      <c r="A198" s="159" t="s">
        <v>510</v>
      </c>
      <c r="B198" s="160">
        <v>179</v>
      </c>
      <c r="C198" s="160">
        <v>181</v>
      </c>
      <c r="D198" s="160">
        <v>171</v>
      </c>
      <c r="E198" s="160">
        <v>166</v>
      </c>
      <c r="F198" s="160">
        <v>168</v>
      </c>
      <c r="G198" s="160">
        <v>173</v>
      </c>
      <c r="H198" s="160">
        <v>173</v>
      </c>
      <c r="I198" s="160">
        <v>129</v>
      </c>
      <c r="J198" s="160">
        <v>130</v>
      </c>
      <c r="K198" s="160">
        <v>123</v>
      </c>
    </row>
    <row r="199" spans="1:11" ht="15" x14ac:dyDescent="0.25">
      <c r="A199" s="159" t="s">
        <v>511</v>
      </c>
      <c r="B199" s="160">
        <v>180</v>
      </c>
      <c r="C199" s="160">
        <v>180</v>
      </c>
      <c r="D199" s="160">
        <v>183</v>
      </c>
      <c r="E199" s="160">
        <v>178</v>
      </c>
      <c r="F199" s="160">
        <v>176</v>
      </c>
      <c r="G199" s="160">
        <v>109</v>
      </c>
      <c r="H199" s="160">
        <v>113</v>
      </c>
      <c r="I199" s="160">
        <v>165</v>
      </c>
      <c r="J199" s="160">
        <v>48</v>
      </c>
      <c r="K199" s="160">
        <v>183</v>
      </c>
    </row>
    <row r="200" spans="1:11" ht="15" x14ac:dyDescent="0.25">
      <c r="A200" s="159" t="s">
        <v>363</v>
      </c>
      <c r="B200" s="160">
        <v>181</v>
      </c>
      <c r="C200" s="160">
        <v>135</v>
      </c>
      <c r="D200" s="160">
        <v>175</v>
      </c>
      <c r="E200" s="160">
        <v>115</v>
      </c>
      <c r="F200" s="160">
        <v>168</v>
      </c>
      <c r="G200" s="160">
        <v>154</v>
      </c>
      <c r="H200" s="160">
        <v>141</v>
      </c>
      <c r="I200" s="160">
        <v>176</v>
      </c>
      <c r="J200" s="160">
        <v>171</v>
      </c>
      <c r="K200" s="160">
        <v>183</v>
      </c>
    </row>
    <row r="201" spans="1:11" ht="45" x14ac:dyDescent="0.25">
      <c r="A201" s="159" t="s">
        <v>512</v>
      </c>
      <c r="B201" s="160">
        <v>182</v>
      </c>
      <c r="C201" s="160">
        <v>161</v>
      </c>
      <c r="D201" s="160">
        <v>148</v>
      </c>
      <c r="E201" s="160">
        <v>141</v>
      </c>
      <c r="F201" s="160">
        <v>138</v>
      </c>
      <c r="G201" s="160">
        <v>132</v>
      </c>
      <c r="H201" s="160">
        <v>182</v>
      </c>
      <c r="I201" s="160">
        <v>182</v>
      </c>
      <c r="J201" s="160">
        <v>173</v>
      </c>
      <c r="K201" s="160">
        <v>183</v>
      </c>
    </row>
    <row r="202" spans="1:11" ht="15" x14ac:dyDescent="0.25">
      <c r="A202" s="159" t="s">
        <v>366</v>
      </c>
      <c r="B202" s="160">
        <v>183</v>
      </c>
      <c r="C202" s="160">
        <v>182</v>
      </c>
      <c r="D202" s="160">
        <v>101</v>
      </c>
      <c r="E202" s="160">
        <v>137</v>
      </c>
      <c r="F202" s="160">
        <v>152</v>
      </c>
      <c r="G202" s="160">
        <v>154</v>
      </c>
      <c r="H202" s="160">
        <v>179</v>
      </c>
      <c r="I202" s="160">
        <v>171</v>
      </c>
      <c r="J202" s="160">
        <v>164</v>
      </c>
      <c r="K202" s="160">
        <v>183</v>
      </c>
    </row>
  </sheetData>
  <mergeCells count="198">
    <mergeCell ref="A166:A167"/>
    <mergeCell ref="A150:A151"/>
    <mergeCell ref="A133:A134"/>
    <mergeCell ref="A122:A123"/>
    <mergeCell ref="A104:A105"/>
    <mergeCell ref="A97:A98"/>
    <mergeCell ref="A154:A155"/>
    <mergeCell ref="G166:G167"/>
    <mergeCell ref="A136:A137"/>
    <mergeCell ref="F133:F134"/>
    <mergeCell ref="G133:G134"/>
    <mergeCell ref="B133:B134"/>
    <mergeCell ref="C133:C134"/>
    <mergeCell ref="D133:D134"/>
    <mergeCell ref="E133:E134"/>
    <mergeCell ref="A127:A128"/>
    <mergeCell ref="B127:B128"/>
    <mergeCell ref="C127:C128"/>
    <mergeCell ref="D127:D128"/>
    <mergeCell ref="E127:E128"/>
    <mergeCell ref="F127:F128"/>
    <mergeCell ref="F122:F123"/>
    <mergeCell ref="G122:G123"/>
    <mergeCell ref="B122:B123"/>
    <mergeCell ref="H166:H167"/>
    <mergeCell ref="I166:I167"/>
    <mergeCell ref="J166:J167"/>
    <mergeCell ref="K166:K167"/>
    <mergeCell ref="A88:A89"/>
    <mergeCell ref="H154:H155"/>
    <mergeCell ref="I154:I155"/>
    <mergeCell ref="J154:J155"/>
    <mergeCell ref="K154:K155"/>
    <mergeCell ref="B166:B167"/>
    <mergeCell ref="C166:C167"/>
    <mergeCell ref="D166:D167"/>
    <mergeCell ref="E166:E167"/>
    <mergeCell ref="B154:B155"/>
    <mergeCell ref="F166:F167"/>
    <mergeCell ref="C154:C155"/>
    <mergeCell ref="D154:D155"/>
    <mergeCell ref="E154:E155"/>
    <mergeCell ref="F154:F155"/>
    <mergeCell ref="F150:F151"/>
    <mergeCell ref="G150:G151"/>
    <mergeCell ref="G154:G155"/>
    <mergeCell ref="H150:H151"/>
    <mergeCell ref="I150:I151"/>
    <mergeCell ref="J150:J151"/>
    <mergeCell ref="K150:K151"/>
    <mergeCell ref="G136:G137"/>
    <mergeCell ref="H136:H137"/>
    <mergeCell ref="I136:I137"/>
    <mergeCell ref="J136:J137"/>
    <mergeCell ref="K136:K137"/>
    <mergeCell ref="B150:B151"/>
    <mergeCell ref="C150:C151"/>
    <mergeCell ref="D150:D151"/>
    <mergeCell ref="E150:E151"/>
    <mergeCell ref="B136:B137"/>
    <mergeCell ref="C136:C137"/>
    <mergeCell ref="D136:D137"/>
    <mergeCell ref="E136:E137"/>
    <mergeCell ref="F136:F137"/>
    <mergeCell ref="H133:H134"/>
    <mergeCell ref="I133:I134"/>
    <mergeCell ref="J133:J134"/>
    <mergeCell ref="K133:K134"/>
    <mergeCell ref="G127:G128"/>
    <mergeCell ref="H127:H128"/>
    <mergeCell ref="I127:I128"/>
    <mergeCell ref="J127:J128"/>
    <mergeCell ref="K127:K128"/>
    <mergeCell ref="H122:H123"/>
    <mergeCell ref="I122:I123"/>
    <mergeCell ref="J122:J123"/>
    <mergeCell ref="K122:K123"/>
    <mergeCell ref="G109:G110"/>
    <mergeCell ref="H109:H110"/>
    <mergeCell ref="I109:I110"/>
    <mergeCell ref="J109:J110"/>
    <mergeCell ref="K109:K110"/>
    <mergeCell ref="C122:C123"/>
    <mergeCell ref="D122:D123"/>
    <mergeCell ref="E122:E123"/>
    <mergeCell ref="A109:A110"/>
    <mergeCell ref="B109:B110"/>
    <mergeCell ref="C109:C110"/>
    <mergeCell ref="D109:D110"/>
    <mergeCell ref="E109:E110"/>
    <mergeCell ref="F109:F110"/>
    <mergeCell ref="F104:F105"/>
    <mergeCell ref="G104:G105"/>
    <mergeCell ref="H104:H105"/>
    <mergeCell ref="I104:I105"/>
    <mergeCell ref="J104:J105"/>
    <mergeCell ref="K104:K105"/>
    <mergeCell ref="G99:G100"/>
    <mergeCell ref="H99:H100"/>
    <mergeCell ref="I99:I100"/>
    <mergeCell ref="J99:J100"/>
    <mergeCell ref="K99:K100"/>
    <mergeCell ref="F99:F100"/>
    <mergeCell ref="B104:B105"/>
    <mergeCell ref="C104:C105"/>
    <mergeCell ref="D104:D105"/>
    <mergeCell ref="E104:E105"/>
    <mergeCell ref="A99:A100"/>
    <mergeCell ref="B99:B100"/>
    <mergeCell ref="C99:C100"/>
    <mergeCell ref="D99:D100"/>
    <mergeCell ref="E99:E100"/>
    <mergeCell ref="F97:F98"/>
    <mergeCell ref="G97:G98"/>
    <mergeCell ref="H97:H98"/>
    <mergeCell ref="I97:I98"/>
    <mergeCell ref="J97:J98"/>
    <mergeCell ref="K97:K98"/>
    <mergeCell ref="G90:G91"/>
    <mergeCell ref="H90:H91"/>
    <mergeCell ref="I90:I91"/>
    <mergeCell ref="J90:J91"/>
    <mergeCell ref="K90:K91"/>
    <mergeCell ref="F90:F91"/>
    <mergeCell ref="B97:B98"/>
    <mergeCell ref="C97:C98"/>
    <mergeCell ref="D97:D98"/>
    <mergeCell ref="E97:E98"/>
    <mergeCell ref="A90:A91"/>
    <mergeCell ref="B90:B91"/>
    <mergeCell ref="C90:C91"/>
    <mergeCell ref="D90:D91"/>
    <mergeCell ref="E90:E91"/>
    <mergeCell ref="F88:F89"/>
    <mergeCell ref="G88:G89"/>
    <mergeCell ref="H88:H89"/>
    <mergeCell ref="I88:I89"/>
    <mergeCell ref="J88:J89"/>
    <mergeCell ref="K88:K89"/>
    <mergeCell ref="G84:G85"/>
    <mergeCell ref="H84:H85"/>
    <mergeCell ref="I84:I85"/>
    <mergeCell ref="J84:J85"/>
    <mergeCell ref="K84:K85"/>
    <mergeCell ref="F84:F85"/>
    <mergeCell ref="B88:B89"/>
    <mergeCell ref="C88:C89"/>
    <mergeCell ref="D88:D89"/>
    <mergeCell ref="E88:E89"/>
    <mergeCell ref="A84:A85"/>
    <mergeCell ref="B84:B85"/>
    <mergeCell ref="C84:C85"/>
    <mergeCell ref="D84:D85"/>
    <mergeCell ref="E84:E85"/>
    <mergeCell ref="F70:F71"/>
    <mergeCell ref="G70:G71"/>
    <mergeCell ref="H70:H71"/>
    <mergeCell ref="I70:I71"/>
    <mergeCell ref="J70:J71"/>
    <mergeCell ref="K70:K71"/>
    <mergeCell ref="G42:G43"/>
    <mergeCell ref="H42:H43"/>
    <mergeCell ref="I42:I43"/>
    <mergeCell ref="J42:J43"/>
    <mergeCell ref="K42:K43"/>
    <mergeCell ref="F42:F43"/>
    <mergeCell ref="B70:B71"/>
    <mergeCell ref="C70:C71"/>
    <mergeCell ref="D70:D71"/>
    <mergeCell ref="E70:E71"/>
    <mergeCell ref="A42:A43"/>
    <mergeCell ref="B42:B43"/>
    <mergeCell ref="C42:C43"/>
    <mergeCell ref="D42:D43"/>
    <mergeCell ref="E42:E43"/>
    <mergeCell ref="A70:A71"/>
    <mergeCell ref="F40:F41"/>
    <mergeCell ref="G40:G41"/>
    <mergeCell ref="H40:H41"/>
    <mergeCell ref="I40:I41"/>
    <mergeCell ref="J40:J41"/>
    <mergeCell ref="K40:K41"/>
    <mergeCell ref="G36:G37"/>
    <mergeCell ref="H36:H37"/>
    <mergeCell ref="I36:I37"/>
    <mergeCell ref="J36:J37"/>
    <mergeCell ref="K36:K37"/>
    <mergeCell ref="F36:F37"/>
    <mergeCell ref="B40:B41"/>
    <mergeCell ref="C40:C41"/>
    <mergeCell ref="D40:D41"/>
    <mergeCell ref="E40:E41"/>
    <mergeCell ref="A36:A37"/>
    <mergeCell ref="B36:B37"/>
    <mergeCell ref="C36:C37"/>
    <mergeCell ref="D36:D37"/>
    <mergeCell ref="E36:E37"/>
    <mergeCell ref="A40:A41"/>
  </mergeCells>
  <hyperlinks>
    <hyperlink ref="A202" r:id="rId1" display="../../../../../../../../data/exploreeconomies/chad/"/>
    <hyperlink ref="A201" r:id="rId2" display="../../../../../../../../data/exploreeconomies/central-african-republic/"/>
    <hyperlink ref="A200" r:id="rId3" display="../../../../../../../../data/exploreeconomies/burundi/"/>
    <hyperlink ref="A199" r:id="rId4" display="../../../../../../../../data/exploreeconomies/eritrea/"/>
    <hyperlink ref="A198" r:id="rId5" display="../../../../../../../../data/exploreeconomies/guinea/"/>
    <hyperlink ref="A197" r:id="rId6" display="../../../../../../../../data/exploreeconomies/são-tomé-and-principe/"/>
    <hyperlink ref="A196" r:id="rId7" display="../../../../../../../../data/exploreeconomies/congo,-rep~/"/>
    <hyperlink ref="A195" r:id="rId8" display="../../../../../../../../data/exploreeconomies/guinea_bissau/"/>
    <hyperlink ref="A194" r:id="rId9" display="../../../../../../../../data/exploreeconomies/congo,-dem~-rep~/"/>
    <hyperlink ref="A193" r:id="rId10" display="../../../../../../../../data/exploreeconomies/timor_leste/"/>
    <hyperlink ref="A192" r:id="rId11" display="../../../../../../../../data/exploreeconomies/niger/"/>
    <hyperlink ref="A191" r:id="rId12" display="../../../../../../../../data/exploreeconomies/venezuela/"/>
    <hyperlink ref="A190" r:id="rId13" display="../../../../../../../../data/exploreeconomies/lao-pdr/"/>
    <hyperlink ref="A189" r:id="rId14" display="../../../../../../../../data/exploreeconomies/benin/"/>
    <hyperlink ref="A188" r:id="rId15" display="../../../../../../../../data/exploreeconomies/côte-d'ivoire/"/>
    <hyperlink ref="A187" r:id="rId16" display="../../../../../../../../data/exploreeconomies/cameroon/"/>
    <hyperlink ref="A186" r:id="rId17" display="../../../../../../../../data/exploreeconomies/afghanistan/"/>
    <hyperlink ref="A185" r:id="rId18" display="../../../../../../../../data/exploreeconomies/iraq/"/>
    <hyperlink ref="A184" r:id="rId19" display="../../../../../../../../data/exploreeconomies/mauritania/"/>
    <hyperlink ref="A183" r:id="rId20" display="../../../../../../../../data/exploreeconomies/equatorial-guinea/"/>
    <hyperlink ref="A182" r:id="rId21" display="../../../../../../../../data/exploreeconomies/angola/"/>
    <hyperlink ref="A181" r:id="rId22" display="../../../../../../../../data/exploreeconomies/haiti/"/>
    <hyperlink ref="A180" r:id="rId23" display="../../../../../../../../data/exploreeconomies/suriname/"/>
    <hyperlink ref="A179" r:id="rId24" display="../../../../../../../../data/exploreeconomies/togo/"/>
    <hyperlink ref="A178" r:id="rId25" display="../../../../../../../../data/exploreeconomies/comoros/"/>
    <hyperlink ref="A177" r:id="rId26" display="../../../../../../../../data/exploreeconomies/djibouti/"/>
    <hyperlink ref="A176" r:id="rId27" display="../../../../../../../../data/exploreeconomies/zimbabwe/"/>
    <hyperlink ref="A175" r:id="rId28" display="../../../../../../../../data/exploreeconomies/gabon/"/>
    <hyperlink ref="A174" r:id="rId29" display="../../../../../../../../data/exploreeconomies/liberia/"/>
    <hyperlink ref="A173" r:id="rId30" display="../../../../../../../../data/exploreeconomies/sudan/"/>
    <hyperlink ref="A172" r:id="rId31" display="../../../../../../../../data/exploreeconomies/mali/"/>
    <hyperlink ref="A171" r:id="rId32" display="../../../../../../../../data/exploreeconomies/senegal/"/>
    <hyperlink ref="A170" r:id="rId33" display="../../../../../../../../data/exploreeconomies/burkina-faso/"/>
    <hyperlink ref="A169" r:id="rId34" display="../../../../../../../../data/exploreeconomies/uzbekistan/"/>
    <hyperlink ref="A168" r:id="rId35" display="../../../../../../../../data/exploreeconomies/bolivia/"/>
    <hyperlink ref="A166" r:id="rId36" display="../../../../../../../../data/exploreeconomies/philippines/"/>
    <hyperlink ref="A165" r:id="rId37" display="../../../../../../../../data/exploreeconomies/cambodia/"/>
    <hyperlink ref="A164" r:id="rId38" display="../../../../../../../../data/exploreeconomies/gambia/"/>
    <hyperlink ref="A163" r:id="rId39" display="../../../../../../../../data/exploreeconomies/ukraine/"/>
    <hyperlink ref="A162" r:id="rId40" display="../../../../../../../../data/exploreeconomies/syria/"/>
    <hyperlink ref="A161" r:id="rId41" display="../../../../../../../../data/exploreeconomies/sierra-leone/"/>
    <hyperlink ref="A160" r:id="rId42" display="../../../../../../../../data/exploreeconomies/bhutan/"/>
    <hyperlink ref="A159" r:id="rId43" display="../../../../../../../../data/exploreeconomies/micronesia/"/>
    <hyperlink ref="A158" r:id="rId44" display="../../../../../../../../data/exploreeconomies/madagascar/"/>
    <hyperlink ref="A157" r:id="rId45" display="../../../../../../../../data/exploreeconomies/tajikistan/"/>
    <hyperlink ref="A156" r:id="rId46" display="../../../../../../../../data/exploreeconomies/lesotho/"/>
    <hyperlink ref="A154" r:id="rId47" display="../../../../../../../../data/exploreeconomies/nigeria/"/>
    <hyperlink ref="A153" r:id="rId48" display="../../../../../../../../data/exploreeconomies/algeria/"/>
    <hyperlink ref="A152" r:id="rId49" display="../../../../../../../../data/exploreeconomies/west-bank-and-gaza/"/>
    <hyperlink ref="A150" r:id="rId50" display="../../../../../../../../data/exploreeconomies/india/"/>
    <hyperlink ref="A149" r:id="rId51" display="../../../../../../../../data/exploreeconomies/malawi/"/>
    <hyperlink ref="A148" r:id="rId52" display="../../../../../../../../data/exploreeconomies/cape-verde/"/>
    <hyperlink ref="A147" r:id="rId53" display="../../../../../../../../data/exploreeconomies/honduras/"/>
    <hyperlink ref="A146" r:id="rId54" display="../../../../../../../../data/exploreeconomies/ecuador/"/>
    <hyperlink ref="A145" r:id="rId55" display="../../../../../../../../data/exploreeconomies/iran/"/>
    <hyperlink ref="A144" r:id="rId56" display="../../../../../../../../data/exploreeconomies/tanzania/"/>
    <hyperlink ref="A143" r:id="rId57" display="../../../../../../../../data/exploreeconomies/brazil/"/>
    <hyperlink ref="A142" r:id="rId58" display="../../../../../../../../data/exploreeconomies/mozambique/"/>
    <hyperlink ref="A141" r:id="rId59" display="../../../../../../../../data/exploreeconomies/costa-rica/"/>
    <hyperlink ref="A140" r:id="rId60" display="../../../../../../../../data/exploreeconomies/uruguay/"/>
    <hyperlink ref="A139" r:id="rId61" display="../../../../../../../../data/exploreeconomies/russia/"/>
    <hyperlink ref="A138" r:id="rId62" display="../../../../../../../../data/exploreeconomies/uganda/"/>
    <hyperlink ref="A136" r:id="rId63" display="../../../../../../../../data/exploreeconomies/indonesia/"/>
    <hyperlink ref="A135" r:id="rId64" display="../../../../../../../../data/exploreeconomies/palau/"/>
    <hyperlink ref="A133" r:id="rId65" display="../../../../../../../../data/exploreeconomies/kosovo/"/>
    <hyperlink ref="A132" r:id="rId66" display="../../../../../../../../data/exploreeconomies/swaziland/"/>
    <hyperlink ref="A131" r:id="rId67" display="../../../../../../../../data/exploreeconomies/nicaragua/"/>
    <hyperlink ref="A130" r:id="rId68" display="../../../../../../../../data/exploreeconomies/nepal/"/>
    <hyperlink ref="A129" r:id="rId69" display="../../../../../../../../data/exploreeconomies/argentina/"/>
    <hyperlink ref="A127" r:id="rId70" display="../../../../../../../../data/exploreeconomies/morocco/"/>
    <hyperlink ref="A126" r:id="rId71" display="../../../../../../../../data/exploreeconomies/lebanon/"/>
    <hyperlink ref="A125" r:id="rId72" display="../../../../../../../../data/exploreeconomies/brunei/"/>
    <hyperlink ref="A124" r:id="rId73" display="../../../../../../../../data/exploreeconomies/jordan/"/>
    <hyperlink ref="A122" r:id="rId74" display="../../../../../../../../data/exploreeconomies/bosnia-and-herzegovina/"/>
    <hyperlink ref="A121" r:id="rId75" display="../../../../../../../../data/exploreeconomies/greece/"/>
    <hyperlink ref="A120" r:id="rId76" display="../../../../../../../../data/exploreeconomies/marshall-islands/"/>
    <hyperlink ref="A119" r:id="rId77" display="../../../../../../../../data/exploreeconomies/bangladesh/"/>
    <hyperlink ref="A118" r:id="rId78" display="../../../../../../../../data/exploreeconomies/paraguay/"/>
    <hyperlink ref="A117" r:id="rId79" display="../../../../../../../../data/exploreeconomies/yemen/"/>
    <hyperlink ref="A116" r:id="rId80" display="../../../../../../../../data/exploreeconomies/ethiopia/"/>
    <hyperlink ref="A115" r:id="rId81" display="../../../../../../../../data/exploreeconomies/papua-new-guinea/"/>
    <hyperlink ref="A114" r:id="rId82" display="../../../../../../../../data/exploreeconomies/sri-lanka/"/>
    <hyperlink ref="A113" r:id="rId83" display="../../../../../../../../data/exploreeconomies/guatemala/"/>
    <hyperlink ref="A112" r:id="rId84" display="../../../../../../../../data/exploreeconomies/guyana/"/>
    <hyperlink ref="A111" r:id="rId85" display="../../../../../../../../data/exploreeconomies/belize/"/>
    <hyperlink ref="A109" r:id="rId86" display="../../../../../../../../data/exploreeconomies/kenya/"/>
    <hyperlink ref="A108" r:id="rId87" display="../../../../../../../../data/exploreeconomies/trinidad-and-tobago/"/>
    <hyperlink ref="A107" r:id="rId88" display="../../../../../../../../data/exploreeconomies/solomon-islands/"/>
    <hyperlink ref="A106" r:id="rId89" display="../../../../../../../../data/exploreeconomies/seychelles/"/>
    <hyperlink ref="A104" r:id="rId90" display="../../../../../../../../data/exploreeconomies/egypt/"/>
    <hyperlink ref="A103" r:id="rId91" display="../../../../../../../../data/exploreeconomies/kiribati/"/>
    <hyperlink ref="A102" r:id="rId92" display="../../../../../../../../data/exploreeconomies/grenada/"/>
    <hyperlink ref="A101" r:id="rId93" display="../../../../../../../../data/exploreeconomies/dominican-republic/"/>
    <hyperlink ref="A99" r:id="rId94" display="../../../../../../../../data/exploreeconomies/moldova/"/>
    <hyperlink ref="A97" r:id="rId95" display="../../../../../../../../data/exploreeconomies/serbia/"/>
    <hyperlink ref="A96" r:id="rId96" display="../../../../../../../../data/exploreeconomies/dominica/"/>
    <hyperlink ref="A95" r:id="rId97" display="../../../../../../../../data/exploreeconomies/st~-kitts-and-nevis/"/>
    <hyperlink ref="A94" r:id="rId98" display="../../../../../../../../data/exploreeconomies/el-salvador/"/>
    <hyperlink ref="A93" r:id="rId99" display="../../../../../../../../data/exploreeconomies/maldives/"/>
    <hyperlink ref="A92" r:id="rId100" display="../../../../../../../../data/exploreeconomies/croatia/"/>
    <hyperlink ref="A90" r:id="rId101" display="../../../../../../../../data/exploreeconomies/pakistan/"/>
    <hyperlink ref="A88" r:id="rId102" display="../../../../../../../../data/exploreeconomies/albania/"/>
    <hyperlink ref="A87" r:id="rId103" display="../../../../../../../../data/exploreeconomies/jamaica/"/>
    <hyperlink ref="A86" r:id="rId104" display="../../../../../../../../data/exploreeconomies/italy/"/>
    <hyperlink ref="A84" r:id="rId105" display="../../../../../../../../data/exploreeconomies/china/"/>
    <hyperlink ref="A83" r:id="rId106" display="../../../../../../../../data/exploreeconomies/vietnam/"/>
    <hyperlink ref="A82" r:id="rId107" display="../../../../../../../../data/exploreeconomies/bahamas/"/>
    <hyperlink ref="A81" r:id="rId108" display="../../../../../../../../data/exploreeconomies/zambia/"/>
    <hyperlink ref="A80" r:id="rId109" display="../../../../../../../../data/exploreeconomies/st~-vincent-and-the-grenadines/"/>
    <hyperlink ref="A79" r:id="rId110" display="../../../../../../../../data/exploreeconomies/kuwait/"/>
    <hyperlink ref="A78" r:id="rId111" display="../../../../../../../../data/exploreeconomies/mongolia/"/>
    <hyperlink ref="A77" r:id="rId112" display="../../../../../../../../data/exploreeconomies/panama/"/>
    <hyperlink ref="A76" r:id="rId113" display="../../../../../../../../data/exploreeconomies/tonga/"/>
    <hyperlink ref="A75" r:id="rId114" display="../../../../../../../../data/exploreeconomies/poland/"/>
    <hyperlink ref="A74" r:id="rId115" display="../../../../../../../../data/exploreeconomies/namibia/"/>
    <hyperlink ref="A73" r:id="rId116" display="../../../../../../../../data/exploreeconomies/belarus/"/>
    <hyperlink ref="A72" r:id="rId117" display="../../../../../../../../data/exploreeconomies/ghana/"/>
    <hyperlink ref="A70" r:id="rId118" display="../../../../../../../../data/exploreeconomies/montenegro/"/>
    <hyperlink ref="A69" r:id="rId119" display="../../../../../../../../data/exploreeconomies/turkey/"/>
    <hyperlink ref="A68" r:id="rId120" display="../../../../../../../../data/exploreeconomies/antigua-and-barbuda/"/>
    <hyperlink ref="A67" r:id="rId121" display="../../../../../../../../data/exploreeconomies/czech-republic/"/>
    <hyperlink ref="A66" r:id="rId122" display="../../../../../../../../data/exploreeconomies/fiji/"/>
    <hyperlink ref="A65" r:id="rId123" display="../../../../../../../../data/exploreeconomies/samoa/"/>
    <hyperlink ref="A64" r:id="rId124" display="../../../../../../../../data/exploreeconomies/vanuatu/"/>
    <hyperlink ref="A63" r:id="rId125" display="../../../../../../../../data/exploreeconomies/kazakhstan/"/>
    <hyperlink ref="A62" r:id="rId126" display="../../../../../../../../data/exploreeconomies/rwanda/"/>
    <hyperlink ref="A61" r:id="rId127" display="../../../../../../../../data/exploreeconomies/oman/"/>
    <hyperlink ref="A60" r:id="rId128" display="../../../../../../../../data/exploreeconomies/romania/"/>
    <hyperlink ref="A59" r:id="rId129" display="../../../../../../../../data/exploreeconomies/tunisia/"/>
    <hyperlink ref="A58" r:id="rId130" display="../../../../../../../../data/exploreeconomies/azerbaijan/"/>
    <hyperlink ref="A57" r:id="rId131" display="../../../../../../../../data/exploreeconomies/st~-lucia/"/>
    <hyperlink ref="A56" r:id="rId132" display="../../../../../../../../data/exploreeconomies/botswana/"/>
    <hyperlink ref="A55" r:id="rId133" display="../../../../../../../../data/exploreeconomies/bulgaria/"/>
    <hyperlink ref="A54" r:id="rId134" display="../../../../../../../../data/exploreeconomies/qatar/"/>
    <hyperlink ref="A53" r:id="rId135" display="../../../../../../../../data/exploreeconomies/spain/"/>
    <hyperlink ref="A52" r:id="rId136" display="../../../../../../../../data/exploreeconomies/armenia/"/>
    <hyperlink ref="A51" r:id="rId137" display="../../../../../../../../data/exploreeconomies/puerto-rico/"/>
    <hyperlink ref="A50" r:id="rId138" display="../../../../../../../../data/exploreeconomies/hungary/"/>
    <hyperlink ref="A49" r:id="rId139" display="../../../../../../../../data/exploreeconomies/luxembourg/"/>
    <hyperlink ref="A48" r:id="rId140" display="../../../../../../../../data/exploreeconomies/kyrgyz-republic/"/>
    <hyperlink ref="A47" r:id="rId141" display="../../../../../../../../data/exploreeconomies/chile/"/>
    <hyperlink ref="A46" r:id="rId142" display="../../../../../../../../data/exploreeconomies/slovenia/"/>
    <hyperlink ref="A45" r:id="rId143" display="../../../../../../../../data/exploreeconomies/slovakia/"/>
    <hyperlink ref="A44" r:id="rId144" display="../../../../../../../../data/exploreeconomies/united-arab-emirates/"/>
    <hyperlink ref="A42" r:id="rId145" display="../../../../../../../../data/exploreeconomies/colombia/"/>
    <hyperlink ref="A40" r:id="rId146" display="../../../../../../../../data/exploreeconomies/macedonia,-fyr/"/>
    <hyperlink ref="A39" r:id="rId147" display="../../../../../../../../data/exploreeconomies/cyprus/"/>
    <hyperlink ref="A38" r:id="rId148" display="../../../../../../../../data/exploreeconomies/peru/"/>
    <hyperlink ref="A36" r:id="rId149" display="../../../../../../../../data/exploreeconomies/mexico/"/>
    <hyperlink ref="A35" r:id="rId150" display="../../../../../../../../data/exploreeconomies/south-africa/"/>
    <hyperlink ref="A34" r:id="rId151" display="../../../../../../../../data/exploreeconomies/taiwan,-china/"/>
    <hyperlink ref="A33" r:id="rId152" display="../../../../../../../../data/exploreeconomies/austria/"/>
    <hyperlink ref="A32" r:id="rId153" display="../../../../../../../../data/exploreeconomies/portugal/"/>
    <hyperlink ref="A31" r:id="rId154" display="../../../../../../../../data/exploreeconomies/netherlands/"/>
    <hyperlink ref="A30" r:id="rId155" display="../../../../../../../../data/exploreeconomies/israel/"/>
    <hyperlink ref="A29" r:id="rId156" display="../../../../../../../../data/exploreeconomies/bahrain/"/>
    <hyperlink ref="A28" r:id="rId157" display="../../../../../../../../data/exploreeconomies/switzerland/"/>
    <hyperlink ref="A27" r:id="rId158" display="../../../../../../../../data/exploreeconomies/france/"/>
    <hyperlink ref="A26" r:id="rId159" display="../../../../../../../../data/exploreeconomies/belgium/"/>
    <hyperlink ref="A25" r:id="rId160" display="../../../../../../../../data/exploreeconomies/latvia/"/>
    <hyperlink ref="A24" r:id="rId161" display="../../../../../../../../data/exploreeconomies/lithuania/"/>
    <hyperlink ref="A23" r:id="rId162" display="../../../../../../../../data/exploreeconomies/germany/"/>
    <hyperlink ref="A22" r:id="rId163" display="../../../../../../../../data/exploreeconomies/malaysia/"/>
    <hyperlink ref="A21" r:id="rId164" display="../../../../../../../../data/exploreeconomies/mauritius/"/>
    <hyperlink ref="A20" r:id="rId165" display="../../../../../../../../data/exploreeconomies/thailand/"/>
    <hyperlink ref="A19" r:id="rId166" display="../../../../../../../../data/exploreeconomies/japan/"/>
    <hyperlink ref="A18" r:id="rId167" display="../../../../../../../../data/exploreeconomies/estonia/"/>
    <hyperlink ref="A17" r:id="rId168" display="../../../../../../../../data/exploreeconomies/korea/"/>
    <hyperlink ref="A16" r:id="rId169" display="../../../../../../../../data/exploreeconomies/iceland/"/>
    <hyperlink ref="A15" r:id="rId170" display="../../../../../../../../data/exploreeconomies/sweden/"/>
    <hyperlink ref="A14" r:id="rId171" display="../../../../../../../../data/exploreeconomies/finland/"/>
    <hyperlink ref="A13" r:id="rId172" display="../../../../../../../../data/exploreeconomies/georgia/"/>
    <hyperlink ref="A12" r:id="rId173" display="../../../../../../../../data/exploreeconomies/saudi-arabia/"/>
    <hyperlink ref="A11" r:id="rId174" display="../../../../../../../../data/exploreeconomies/australia/"/>
    <hyperlink ref="A10" r:id="rId175" display="../../../../../../../../data/exploreeconomies/ireland/"/>
    <hyperlink ref="A9" r:id="rId176" display="../../../../../../../../data/exploreeconomies/norway/"/>
    <hyperlink ref="A8" r:id="rId177" display="../../../../../../../../data/exploreeconomies/canada/"/>
    <hyperlink ref="A7" r:id="rId178" display="../../../../../../../../data/exploreeconomies/denmark/"/>
    <hyperlink ref="A6" r:id="rId179" display="../../../../../../../../data/exploreeconomies/united-states/"/>
    <hyperlink ref="A5" r:id="rId180" display="../../../../../../../../data/exploreeconomies/united-kingdom/"/>
    <hyperlink ref="A4" r:id="rId181" display="../../../../../../../../data/exploreeconomies/new-zealand/"/>
    <hyperlink ref="A3" r:id="rId182" display="../../../../../../../../data/exploreeconomies/hong-kong,-china/"/>
    <hyperlink ref="A1" r:id="rId183" display="../../../../../../../../Rankings%3fsortcolumn=1&amp;sortorder=asc&amp;regionID=0&amp;incomeID=0&amp;tercile=&amp;ajax=1"/>
    <hyperlink ref="K1" r:id="rId184" display="../../../../../../../../Rankings%3fsortcolumn=16&amp;sortorder=asc&amp;regionID=0&amp;incomeID=0&amp;tercile=&amp;ajax=1"/>
    <hyperlink ref="J1" r:id="rId185" display="../../../../../../../../Rankings%3fsortcolumn=15&amp;sortorder=asc&amp;regionID=0&amp;incomeID=0&amp;tercile=&amp;ajax=1"/>
    <hyperlink ref="I1" r:id="rId186" display="../../../../../../../../Rankings%3fsortcolumn=14&amp;sortorder=asc&amp;regionID=0&amp;incomeID=0&amp;tercile=&amp;ajax=1"/>
    <hyperlink ref="H1" r:id="rId187" display="../../../../../../../../Rankings%3fsortcolumn=13&amp;sortorder=asc&amp;regionID=0&amp;incomeID=0&amp;tercile=&amp;ajax=1"/>
    <hyperlink ref="G1" r:id="rId188" display="../../../../../../../../Rankings%3fsortcolumn=12&amp;sortorder=asc&amp;regionID=0&amp;incomeID=0&amp;tercile=&amp;ajax=1"/>
    <hyperlink ref="F1" r:id="rId189" display="../../../../../../../../Rankings%3fsortcolumn=11&amp;sortorder=asc&amp;regionID=0&amp;incomeID=0&amp;tercile=&amp;ajax=1"/>
    <hyperlink ref="E1" r:id="rId190" display="../../../../../../../../Rankings%3fsortcolumn=10&amp;sortorder=asc&amp;regionID=0&amp;incomeID=0&amp;tercile=&amp;ajax=1"/>
    <hyperlink ref="D1" r:id="rId191" display="../../../../../../../../Rankings%3fsortcolumn=9&amp;sortorder=asc&amp;regionID=0&amp;incomeID=0&amp;tercile=&amp;ajax=1"/>
    <hyperlink ref="C1" r:id="rId192" display="../../../../../../../../Rankings%3fsortcolumn=8&amp;sortorder=asc&amp;regionID=0&amp;incomeID=0&amp;tercile=&amp;ajax=1"/>
    <hyperlink ref="B1" r:id="rId193" display="../../../../../../../../Rankings%3fsortcolumn=2&amp;sortorder=desc&amp;regionID=0&amp;incomeID=0&amp;tercile=&amp;ajax=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246"/>
  <sheetViews>
    <sheetView workbookViewId="0">
      <pane ySplit="4" topLeftCell="A5" activePane="bottomLeft" state="frozen"/>
      <selection pane="bottomLeft" activeCell="G5" sqref="G5"/>
    </sheetView>
  </sheetViews>
  <sheetFormatPr defaultRowHeight="12.75" x14ac:dyDescent="0.2"/>
  <cols>
    <col min="1" max="1" width="36.140625" bestFit="1" customWidth="1"/>
    <col min="2" max="2" width="22.42578125" bestFit="1" customWidth="1"/>
    <col min="3" max="3" width="19" bestFit="1" customWidth="1"/>
    <col min="4" max="4" width="11.7109375" bestFit="1" customWidth="1"/>
    <col min="5" max="5" width="11.5703125" bestFit="1" customWidth="1"/>
    <col min="6" max="6" width="20.28515625" bestFit="1" customWidth="1"/>
    <col min="7" max="7" width="18" bestFit="1" customWidth="1"/>
    <col min="8" max="8" width="8.28515625" bestFit="1" customWidth="1"/>
  </cols>
  <sheetData>
    <row r="1" spans="1:8" ht="15" x14ac:dyDescent="0.25">
      <c r="A1" s="145"/>
      <c r="B1" s="145" t="s">
        <v>513</v>
      </c>
      <c r="C1" s="145"/>
      <c r="D1" s="145"/>
      <c r="E1" s="145"/>
      <c r="F1" s="145" t="s">
        <v>514</v>
      </c>
      <c r="G1" s="145"/>
      <c r="H1" s="145"/>
    </row>
    <row r="2" spans="1:8" ht="15" x14ac:dyDescent="0.25">
      <c r="A2" s="145" t="s">
        <v>515</v>
      </c>
      <c r="B2" s="145" t="s">
        <v>516</v>
      </c>
      <c r="C2" s="145" t="s">
        <v>516</v>
      </c>
      <c r="D2" s="145" t="s">
        <v>516</v>
      </c>
      <c r="E2" s="145" t="s">
        <v>517</v>
      </c>
      <c r="F2" s="145" t="s">
        <v>518</v>
      </c>
      <c r="G2" s="145" t="s">
        <v>519</v>
      </c>
      <c r="H2" s="145" t="s">
        <v>520</v>
      </c>
    </row>
    <row r="3" spans="1:8" ht="15" x14ac:dyDescent="0.25">
      <c r="A3" s="145"/>
      <c r="B3" s="145" t="s">
        <v>521</v>
      </c>
      <c r="C3" s="145" t="s">
        <v>522</v>
      </c>
      <c r="D3" s="145" t="s">
        <v>523</v>
      </c>
      <c r="E3" s="145" t="s">
        <v>524</v>
      </c>
      <c r="F3" s="145" t="s">
        <v>524</v>
      </c>
      <c r="G3" s="145" t="s">
        <v>525</v>
      </c>
      <c r="H3" s="145" t="s">
        <v>524</v>
      </c>
    </row>
    <row r="4" spans="1:8" ht="15" x14ac:dyDescent="0.25">
      <c r="A4" s="145"/>
      <c r="B4" s="145"/>
      <c r="C4" s="145"/>
      <c r="D4" s="145" t="s">
        <v>526</v>
      </c>
      <c r="E4" s="145"/>
      <c r="F4" s="145"/>
      <c r="G4" s="145" t="s">
        <v>527</v>
      </c>
      <c r="H4" s="145"/>
    </row>
    <row r="5" spans="1:8" ht="15" x14ac:dyDescent="0.25">
      <c r="A5" s="145" t="s">
        <v>503</v>
      </c>
      <c r="B5" s="144">
        <v>7</v>
      </c>
      <c r="C5" s="144">
        <v>7</v>
      </c>
      <c r="D5" s="144">
        <v>7</v>
      </c>
      <c r="E5" s="144" t="s">
        <v>459</v>
      </c>
      <c r="F5" s="144">
        <v>7</v>
      </c>
      <c r="G5" s="144">
        <v>7</v>
      </c>
      <c r="H5" s="144">
        <v>7</v>
      </c>
    </row>
    <row r="6" spans="1:8" ht="15" x14ac:dyDescent="0.25">
      <c r="A6" s="145" t="s">
        <v>349</v>
      </c>
      <c r="B6" s="144">
        <v>4</v>
      </c>
      <c r="C6" s="144">
        <v>6</v>
      </c>
      <c r="D6" s="144">
        <v>4</v>
      </c>
      <c r="E6" s="144" t="s">
        <v>459</v>
      </c>
      <c r="F6" s="144">
        <v>3</v>
      </c>
      <c r="G6" s="144">
        <v>2</v>
      </c>
      <c r="H6" s="144">
        <v>5</v>
      </c>
    </row>
    <row r="7" spans="1:8" ht="15" x14ac:dyDescent="0.25">
      <c r="A7" s="145" t="s">
        <v>350</v>
      </c>
      <c r="B7" s="144">
        <v>4</v>
      </c>
      <c r="C7" s="144">
        <v>3</v>
      </c>
      <c r="D7" s="144">
        <v>4</v>
      </c>
      <c r="E7" s="144" t="s">
        <v>459</v>
      </c>
      <c r="F7" s="144">
        <v>3</v>
      </c>
      <c r="G7" s="144">
        <v>5</v>
      </c>
      <c r="H7" s="144">
        <v>2</v>
      </c>
    </row>
    <row r="8" spans="1:8" ht="15" x14ac:dyDescent="0.25">
      <c r="A8" s="145" t="s">
        <v>528</v>
      </c>
      <c r="B8" s="144">
        <v>1</v>
      </c>
      <c r="C8" s="144">
        <v>1</v>
      </c>
      <c r="D8" s="144">
        <v>1</v>
      </c>
      <c r="E8" s="144" t="s">
        <v>207</v>
      </c>
      <c r="F8" s="144">
        <v>1</v>
      </c>
      <c r="G8" s="144" t="s">
        <v>120</v>
      </c>
      <c r="H8" s="144">
        <v>1</v>
      </c>
    </row>
    <row r="9" spans="1:8" ht="15" x14ac:dyDescent="0.25">
      <c r="A9" s="145" t="s">
        <v>435</v>
      </c>
      <c r="B9" s="144">
        <v>3</v>
      </c>
      <c r="C9" s="144">
        <v>6</v>
      </c>
      <c r="D9" s="144">
        <v>4</v>
      </c>
      <c r="E9" s="144" t="s">
        <v>459</v>
      </c>
      <c r="F9" s="144">
        <v>4</v>
      </c>
      <c r="G9" s="144">
        <v>4</v>
      </c>
      <c r="H9" s="144">
        <v>6</v>
      </c>
    </row>
    <row r="10" spans="1:8" ht="15" x14ac:dyDescent="0.25">
      <c r="A10" s="145" t="s">
        <v>529</v>
      </c>
      <c r="B10" s="144">
        <v>5</v>
      </c>
      <c r="C10" s="144">
        <v>6</v>
      </c>
      <c r="D10" s="144">
        <v>5</v>
      </c>
      <c r="E10" s="144" t="s">
        <v>459</v>
      </c>
      <c r="F10" s="144">
        <v>1</v>
      </c>
      <c r="G10" s="144" t="s">
        <v>120</v>
      </c>
      <c r="H10" s="144">
        <v>6</v>
      </c>
    </row>
    <row r="11" spans="1:8" ht="15" x14ac:dyDescent="0.25">
      <c r="A11" s="145" t="s">
        <v>473</v>
      </c>
      <c r="B11" s="144">
        <v>5</v>
      </c>
      <c r="C11" s="144">
        <v>6</v>
      </c>
      <c r="D11" s="144">
        <v>5</v>
      </c>
      <c r="E11" s="144" t="s">
        <v>207</v>
      </c>
      <c r="F11" s="144">
        <v>1</v>
      </c>
      <c r="G11" s="144" t="s">
        <v>120</v>
      </c>
      <c r="H11" s="144">
        <v>6</v>
      </c>
    </row>
    <row r="12" spans="1:8" ht="15" x14ac:dyDescent="0.25">
      <c r="A12" s="145" t="s">
        <v>10</v>
      </c>
      <c r="B12" s="144">
        <v>4</v>
      </c>
      <c r="C12" s="144">
        <v>7</v>
      </c>
      <c r="D12" s="144">
        <v>5</v>
      </c>
      <c r="E12" s="144" t="s">
        <v>459</v>
      </c>
      <c r="F12" s="144">
        <v>3</v>
      </c>
      <c r="G12" s="144">
        <v>5</v>
      </c>
      <c r="H12" s="144">
        <v>6</v>
      </c>
    </row>
    <row r="13" spans="1:8" ht="15" x14ac:dyDescent="0.25">
      <c r="A13" s="145" t="s">
        <v>351</v>
      </c>
      <c r="B13" s="144">
        <v>5</v>
      </c>
      <c r="C13" s="144">
        <v>6</v>
      </c>
      <c r="D13" s="144">
        <v>5</v>
      </c>
      <c r="E13" s="144" t="s">
        <v>459</v>
      </c>
      <c r="F13" s="144">
        <v>5</v>
      </c>
      <c r="G13" s="144">
        <v>4</v>
      </c>
      <c r="H13" s="144">
        <v>5</v>
      </c>
    </row>
    <row r="14" spans="1:8" ht="15" x14ac:dyDescent="0.25">
      <c r="A14" s="145" t="s">
        <v>530</v>
      </c>
      <c r="B14" s="144">
        <v>1</v>
      </c>
      <c r="C14" s="144">
        <v>3</v>
      </c>
      <c r="D14" s="144">
        <v>2</v>
      </c>
      <c r="E14" s="144" t="s">
        <v>207</v>
      </c>
      <c r="F14" s="144">
        <v>1</v>
      </c>
      <c r="G14" s="144" t="s">
        <v>120</v>
      </c>
      <c r="H14" s="144">
        <v>3</v>
      </c>
    </row>
    <row r="15" spans="1:8" ht="15" x14ac:dyDescent="0.25">
      <c r="A15" s="145" t="s">
        <v>34</v>
      </c>
      <c r="B15" s="144">
        <v>1</v>
      </c>
      <c r="C15" s="144">
        <v>1</v>
      </c>
      <c r="D15" s="144">
        <v>1</v>
      </c>
      <c r="E15" s="144" t="s">
        <v>207</v>
      </c>
      <c r="F15" s="144">
        <v>1</v>
      </c>
      <c r="G15" s="144">
        <v>1</v>
      </c>
      <c r="H15" s="144">
        <v>1</v>
      </c>
    </row>
    <row r="16" spans="1:8" ht="15" x14ac:dyDescent="0.25">
      <c r="A16" s="145" t="s">
        <v>352</v>
      </c>
      <c r="B16" s="144">
        <v>1</v>
      </c>
      <c r="C16" s="144">
        <v>1</v>
      </c>
      <c r="D16" s="144">
        <v>1</v>
      </c>
      <c r="E16" s="144" t="s">
        <v>204</v>
      </c>
      <c r="F16" s="144">
        <v>1</v>
      </c>
      <c r="G16" s="144">
        <v>1</v>
      </c>
      <c r="H16" s="144">
        <v>1</v>
      </c>
    </row>
    <row r="17" spans="1:8" ht="15" x14ac:dyDescent="0.25">
      <c r="A17" s="145" t="s">
        <v>353</v>
      </c>
      <c r="B17" s="144">
        <v>3</v>
      </c>
      <c r="C17" s="144">
        <v>5</v>
      </c>
      <c r="D17" s="144">
        <v>4</v>
      </c>
      <c r="E17" s="144" t="s">
        <v>459</v>
      </c>
      <c r="F17" s="144">
        <v>4</v>
      </c>
      <c r="G17" s="144">
        <v>3</v>
      </c>
      <c r="H17" s="144">
        <v>5</v>
      </c>
    </row>
    <row r="18" spans="1:8" ht="15" x14ac:dyDescent="0.25">
      <c r="A18" s="145" t="s">
        <v>531</v>
      </c>
      <c r="B18" s="144">
        <v>1</v>
      </c>
      <c r="C18" s="144">
        <v>1</v>
      </c>
      <c r="D18" s="144">
        <v>1</v>
      </c>
      <c r="E18" s="144" t="s">
        <v>207</v>
      </c>
      <c r="F18" s="144" t="s">
        <v>120</v>
      </c>
      <c r="G18" s="144" t="s">
        <v>120</v>
      </c>
      <c r="H18" s="144">
        <v>1</v>
      </c>
    </row>
    <row r="19" spans="1:8" ht="15" x14ac:dyDescent="0.25">
      <c r="A19" s="145" t="s">
        <v>532</v>
      </c>
      <c r="B19" s="144">
        <v>2</v>
      </c>
      <c r="C19" s="144">
        <v>3</v>
      </c>
      <c r="D19" s="144">
        <v>2</v>
      </c>
      <c r="E19" s="144" t="s">
        <v>207</v>
      </c>
      <c r="F19" s="144">
        <v>1</v>
      </c>
      <c r="G19" s="144">
        <v>1</v>
      </c>
      <c r="H19" s="144">
        <v>3</v>
      </c>
    </row>
    <row r="20" spans="1:8" ht="15" x14ac:dyDescent="0.25">
      <c r="A20" s="145" t="s">
        <v>354</v>
      </c>
      <c r="B20" s="144">
        <v>3</v>
      </c>
      <c r="C20" s="144">
        <v>4</v>
      </c>
      <c r="D20" s="144">
        <v>3</v>
      </c>
      <c r="E20" s="144" t="s">
        <v>459</v>
      </c>
      <c r="F20" s="144">
        <v>3</v>
      </c>
      <c r="G20" s="144">
        <v>2</v>
      </c>
      <c r="H20" s="144">
        <v>3</v>
      </c>
    </row>
    <row r="21" spans="1:8" ht="15" x14ac:dyDescent="0.25">
      <c r="A21" s="145" t="s">
        <v>69</v>
      </c>
      <c r="B21" s="144">
        <v>2</v>
      </c>
      <c r="C21" s="144">
        <v>6</v>
      </c>
      <c r="D21" s="144">
        <v>3</v>
      </c>
      <c r="E21" s="144" t="s">
        <v>459</v>
      </c>
      <c r="F21" s="144">
        <v>4</v>
      </c>
      <c r="G21" s="144">
        <v>5</v>
      </c>
      <c r="H21" s="144">
        <v>4</v>
      </c>
    </row>
    <row r="22" spans="1:8" ht="15" x14ac:dyDescent="0.25">
      <c r="A22" s="145" t="s">
        <v>355</v>
      </c>
      <c r="B22" s="144">
        <v>2</v>
      </c>
      <c r="C22" s="144">
        <v>4</v>
      </c>
      <c r="D22" s="144">
        <v>3</v>
      </c>
      <c r="E22" s="144" t="s">
        <v>207</v>
      </c>
      <c r="F22" s="144">
        <v>1</v>
      </c>
      <c r="G22" s="144" t="s">
        <v>120</v>
      </c>
      <c r="H22" s="144">
        <v>4</v>
      </c>
    </row>
    <row r="23" spans="1:8" ht="15" x14ac:dyDescent="0.25">
      <c r="A23" s="145" t="s">
        <v>300</v>
      </c>
      <c r="B23" s="144">
        <v>7</v>
      </c>
      <c r="C23" s="144">
        <v>7</v>
      </c>
      <c r="D23" s="144">
        <v>7</v>
      </c>
      <c r="E23" s="144" t="s">
        <v>459</v>
      </c>
      <c r="F23" s="144">
        <v>5</v>
      </c>
      <c r="G23" s="144">
        <v>6</v>
      </c>
      <c r="H23" s="144">
        <v>7</v>
      </c>
    </row>
    <row r="24" spans="1:8" ht="15" x14ac:dyDescent="0.25">
      <c r="A24" s="145" t="s">
        <v>356</v>
      </c>
      <c r="B24" s="144">
        <v>1</v>
      </c>
      <c r="C24" s="144">
        <v>1</v>
      </c>
      <c r="D24" s="144">
        <v>1</v>
      </c>
      <c r="E24" s="144" t="s">
        <v>207</v>
      </c>
      <c r="F24" s="144">
        <v>1</v>
      </c>
      <c r="G24" s="144">
        <v>1</v>
      </c>
      <c r="H24" s="144">
        <v>1</v>
      </c>
    </row>
    <row r="25" spans="1:8" ht="15" x14ac:dyDescent="0.25">
      <c r="A25" s="145" t="s">
        <v>243</v>
      </c>
      <c r="B25" s="144">
        <v>3</v>
      </c>
      <c r="C25" s="144">
        <v>6</v>
      </c>
      <c r="D25" s="144">
        <v>4</v>
      </c>
      <c r="E25" s="144" t="s">
        <v>207</v>
      </c>
      <c r="F25" s="144">
        <v>1</v>
      </c>
      <c r="G25" s="144">
        <v>5</v>
      </c>
      <c r="H25" s="144">
        <v>6</v>
      </c>
    </row>
    <row r="26" spans="1:8" ht="15" x14ac:dyDescent="0.25">
      <c r="A26" s="145" t="s">
        <v>357</v>
      </c>
      <c r="B26" s="144">
        <v>3</v>
      </c>
      <c r="C26" s="144">
        <v>6</v>
      </c>
      <c r="D26" s="144">
        <v>4</v>
      </c>
      <c r="E26" s="144" t="s">
        <v>459</v>
      </c>
      <c r="F26" s="144">
        <v>3</v>
      </c>
      <c r="G26" s="144">
        <v>4</v>
      </c>
      <c r="H26" s="144">
        <v>6</v>
      </c>
    </row>
    <row r="27" spans="1:8" ht="15" x14ac:dyDescent="0.25">
      <c r="A27" s="145" t="s">
        <v>533</v>
      </c>
      <c r="B27" s="144">
        <v>2</v>
      </c>
      <c r="C27" s="144">
        <v>3</v>
      </c>
      <c r="D27" s="144">
        <v>2</v>
      </c>
      <c r="E27" s="144" t="s">
        <v>207</v>
      </c>
      <c r="F27" s="144">
        <v>1</v>
      </c>
      <c r="G27" s="144" t="s">
        <v>120</v>
      </c>
      <c r="H27" s="144">
        <v>3</v>
      </c>
    </row>
    <row r="28" spans="1:8" ht="15" x14ac:dyDescent="0.25">
      <c r="A28" s="145" t="s">
        <v>492</v>
      </c>
      <c r="B28" s="144">
        <v>3</v>
      </c>
      <c r="C28" s="144">
        <v>6</v>
      </c>
      <c r="D28" s="144">
        <v>4</v>
      </c>
      <c r="E28" s="144" t="s">
        <v>207</v>
      </c>
      <c r="F28" s="144">
        <v>2</v>
      </c>
      <c r="G28" s="144" t="s">
        <v>120</v>
      </c>
      <c r="H28" s="144">
        <v>6</v>
      </c>
    </row>
    <row r="29" spans="1:8" ht="15" x14ac:dyDescent="0.25">
      <c r="A29" s="145" t="s">
        <v>534</v>
      </c>
      <c r="B29" s="144">
        <v>2</v>
      </c>
      <c r="C29" s="144">
        <v>2</v>
      </c>
      <c r="D29" s="144">
        <v>2</v>
      </c>
      <c r="E29" s="144" t="s">
        <v>207</v>
      </c>
      <c r="F29" s="144" t="s">
        <v>120</v>
      </c>
      <c r="G29" s="144" t="s">
        <v>120</v>
      </c>
      <c r="H29" s="144">
        <v>2</v>
      </c>
    </row>
    <row r="30" spans="1:8" ht="15" x14ac:dyDescent="0.25">
      <c r="A30" s="145" t="s">
        <v>358</v>
      </c>
      <c r="B30" s="144">
        <v>2</v>
      </c>
      <c r="C30" s="144">
        <v>6</v>
      </c>
      <c r="D30" s="144">
        <v>4</v>
      </c>
      <c r="E30" s="144" t="s">
        <v>459</v>
      </c>
      <c r="F30" s="144">
        <v>4</v>
      </c>
      <c r="G30" s="144">
        <v>7</v>
      </c>
      <c r="H30" s="144">
        <v>6</v>
      </c>
    </row>
    <row r="31" spans="1:8" ht="15" x14ac:dyDescent="0.25">
      <c r="A31" s="145" t="s">
        <v>359</v>
      </c>
      <c r="B31" s="144">
        <v>4</v>
      </c>
      <c r="C31" s="144">
        <v>7</v>
      </c>
      <c r="D31" s="144">
        <v>5</v>
      </c>
      <c r="E31" s="144" t="s">
        <v>459</v>
      </c>
      <c r="F31" s="144">
        <v>5</v>
      </c>
      <c r="G31" s="144">
        <v>4</v>
      </c>
      <c r="H31" s="144">
        <v>6</v>
      </c>
    </row>
    <row r="32" spans="1:8" ht="15" x14ac:dyDescent="0.25">
      <c r="A32" s="145" t="s">
        <v>360</v>
      </c>
      <c r="B32" s="144">
        <v>2</v>
      </c>
      <c r="C32" s="144">
        <v>3</v>
      </c>
      <c r="D32" s="144">
        <v>2</v>
      </c>
      <c r="E32" s="144" t="s">
        <v>207</v>
      </c>
      <c r="F32" s="144">
        <v>1</v>
      </c>
      <c r="G32" s="144">
        <v>2</v>
      </c>
      <c r="H32" s="144">
        <v>3</v>
      </c>
    </row>
    <row r="33" spans="1:8" ht="15" x14ac:dyDescent="0.25">
      <c r="A33" s="145" t="s">
        <v>9</v>
      </c>
      <c r="B33" s="144">
        <v>2</v>
      </c>
      <c r="C33" s="144">
        <v>3</v>
      </c>
      <c r="D33" s="144">
        <v>2</v>
      </c>
      <c r="E33" s="144" t="s">
        <v>459</v>
      </c>
      <c r="F33" s="144">
        <v>2</v>
      </c>
      <c r="G33" s="144">
        <v>2</v>
      </c>
      <c r="H33" s="144">
        <v>3</v>
      </c>
    </row>
    <row r="34" spans="1:8" ht="15" x14ac:dyDescent="0.25">
      <c r="A34" s="145" t="s">
        <v>535</v>
      </c>
      <c r="B34" s="144">
        <v>1</v>
      </c>
      <c r="C34" s="144">
        <v>2</v>
      </c>
      <c r="D34" s="144">
        <v>1</v>
      </c>
      <c r="E34" s="144" t="s">
        <v>204</v>
      </c>
      <c r="F34" s="144">
        <v>1</v>
      </c>
      <c r="G34" s="144">
        <v>1</v>
      </c>
      <c r="H34" s="144">
        <v>2</v>
      </c>
    </row>
    <row r="35" spans="1:8" ht="15" x14ac:dyDescent="0.25">
      <c r="A35" s="145" t="s">
        <v>246</v>
      </c>
      <c r="B35" s="144">
        <v>1</v>
      </c>
      <c r="C35" s="144">
        <v>4</v>
      </c>
      <c r="D35" s="144">
        <v>2</v>
      </c>
      <c r="E35" s="144" t="s">
        <v>459</v>
      </c>
      <c r="F35" s="144">
        <v>1</v>
      </c>
      <c r="G35" s="144">
        <v>1</v>
      </c>
      <c r="H35" s="144">
        <v>3</v>
      </c>
    </row>
    <row r="36" spans="1:8" ht="15" x14ac:dyDescent="0.25">
      <c r="A36" s="145" t="s">
        <v>362</v>
      </c>
      <c r="B36" s="144">
        <v>4</v>
      </c>
      <c r="C36" s="144">
        <v>7</v>
      </c>
      <c r="D36" s="144">
        <v>5</v>
      </c>
      <c r="E36" s="144" t="s">
        <v>459</v>
      </c>
      <c r="F36" s="144">
        <v>5</v>
      </c>
      <c r="G36" s="144">
        <v>4</v>
      </c>
      <c r="H36" s="144">
        <v>6</v>
      </c>
    </row>
    <row r="37" spans="1:8" ht="15" x14ac:dyDescent="0.25">
      <c r="A37" s="145" t="s">
        <v>363</v>
      </c>
      <c r="B37" s="144">
        <v>6</v>
      </c>
      <c r="C37" s="144">
        <v>7</v>
      </c>
      <c r="D37" s="144">
        <v>6</v>
      </c>
      <c r="E37" s="144" t="s">
        <v>459</v>
      </c>
      <c r="F37" s="144">
        <v>6</v>
      </c>
      <c r="G37" s="144">
        <v>5</v>
      </c>
      <c r="H37" s="144">
        <v>7</v>
      </c>
    </row>
    <row r="38" spans="1:8" ht="15" x14ac:dyDescent="0.25">
      <c r="A38" s="145" t="s">
        <v>364</v>
      </c>
      <c r="B38" s="144">
        <v>6</v>
      </c>
      <c r="C38" s="144">
        <v>6</v>
      </c>
      <c r="D38" s="144">
        <v>6</v>
      </c>
      <c r="E38" s="144" t="s">
        <v>459</v>
      </c>
      <c r="F38" s="144">
        <v>2</v>
      </c>
      <c r="G38" s="144">
        <v>3</v>
      </c>
      <c r="H38" s="144">
        <v>6</v>
      </c>
    </row>
    <row r="39" spans="1:8" ht="15" x14ac:dyDescent="0.25">
      <c r="A39" s="145" t="s">
        <v>365</v>
      </c>
      <c r="B39" s="144">
        <v>3</v>
      </c>
      <c r="C39" s="144">
        <v>6</v>
      </c>
      <c r="D39" s="144">
        <v>4</v>
      </c>
      <c r="E39" s="144" t="s">
        <v>459</v>
      </c>
      <c r="F39" s="144">
        <v>4</v>
      </c>
      <c r="G39" s="144">
        <v>4</v>
      </c>
      <c r="H39" s="144">
        <v>5</v>
      </c>
    </row>
    <row r="40" spans="1:8" ht="15" x14ac:dyDescent="0.25">
      <c r="A40" s="145" t="s">
        <v>35</v>
      </c>
      <c r="B40" s="144">
        <v>1</v>
      </c>
      <c r="C40" s="144">
        <v>1</v>
      </c>
      <c r="D40" s="144">
        <v>1</v>
      </c>
      <c r="E40" s="144" t="s">
        <v>207</v>
      </c>
      <c r="F40" s="144">
        <v>1</v>
      </c>
      <c r="G40" s="144">
        <v>1</v>
      </c>
      <c r="H40" s="144">
        <v>1</v>
      </c>
    </row>
    <row r="41" spans="1:8" ht="15" x14ac:dyDescent="0.25">
      <c r="A41" s="145" t="s">
        <v>536</v>
      </c>
      <c r="B41" s="144">
        <v>1</v>
      </c>
      <c r="C41" s="144">
        <v>1</v>
      </c>
      <c r="D41" s="144">
        <v>1</v>
      </c>
      <c r="E41" s="144" t="s">
        <v>207</v>
      </c>
      <c r="F41" s="144" t="s">
        <v>120</v>
      </c>
      <c r="G41" s="144" t="s">
        <v>120</v>
      </c>
      <c r="H41" s="144">
        <v>1</v>
      </c>
    </row>
    <row r="42" spans="1:8" ht="15" x14ac:dyDescent="0.25">
      <c r="A42" s="145" t="s">
        <v>432</v>
      </c>
      <c r="B42" s="144">
        <v>4</v>
      </c>
      <c r="C42" s="144">
        <v>6</v>
      </c>
      <c r="D42" s="144">
        <v>4</v>
      </c>
      <c r="E42" s="144" t="s">
        <v>207</v>
      </c>
      <c r="F42" s="144">
        <v>2</v>
      </c>
      <c r="G42" s="144" t="s">
        <v>120</v>
      </c>
      <c r="H42" s="144">
        <v>5</v>
      </c>
    </row>
    <row r="43" spans="1:8" ht="15" x14ac:dyDescent="0.25">
      <c r="A43" s="145" t="s">
        <v>537</v>
      </c>
      <c r="B43" s="144">
        <v>2</v>
      </c>
      <c r="C43" s="144">
        <v>3</v>
      </c>
      <c r="D43" s="144">
        <v>2</v>
      </c>
      <c r="E43" s="144" t="s">
        <v>207</v>
      </c>
      <c r="F43" s="144">
        <v>1</v>
      </c>
      <c r="G43" s="144" t="s">
        <v>120</v>
      </c>
      <c r="H43" s="144">
        <v>3</v>
      </c>
    </row>
    <row r="44" spans="1:8" ht="15" x14ac:dyDescent="0.25">
      <c r="A44" s="145" t="s">
        <v>512</v>
      </c>
      <c r="B44" s="144">
        <v>4</v>
      </c>
      <c r="C44" s="144">
        <v>7</v>
      </c>
      <c r="D44" s="144">
        <v>5</v>
      </c>
      <c r="E44" s="144" t="s">
        <v>459</v>
      </c>
      <c r="F44" s="144">
        <v>5</v>
      </c>
      <c r="G44" s="144">
        <v>5</v>
      </c>
      <c r="H44" s="144">
        <v>7</v>
      </c>
    </row>
    <row r="45" spans="1:8" ht="15" x14ac:dyDescent="0.25">
      <c r="A45" s="145" t="s">
        <v>538</v>
      </c>
      <c r="B45" s="144">
        <v>1</v>
      </c>
      <c r="C45" s="144">
        <v>3</v>
      </c>
      <c r="D45" s="144">
        <v>2</v>
      </c>
      <c r="E45" s="144" t="s">
        <v>207</v>
      </c>
      <c r="F45" s="144" t="s">
        <v>120</v>
      </c>
      <c r="G45" s="144" t="s">
        <v>120</v>
      </c>
      <c r="H45" s="144">
        <v>3</v>
      </c>
    </row>
    <row r="46" spans="1:8" ht="15" x14ac:dyDescent="0.25">
      <c r="A46" s="145" t="s">
        <v>366</v>
      </c>
      <c r="B46" s="144">
        <v>4</v>
      </c>
      <c r="C46" s="144">
        <v>7</v>
      </c>
      <c r="D46" s="144">
        <v>5</v>
      </c>
      <c r="E46" s="144" t="s">
        <v>459</v>
      </c>
      <c r="F46" s="144">
        <v>6</v>
      </c>
      <c r="G46" s="144">
        <v>5</v>
      </c>
      <c r="H46" s="144">
        <v>6</v>
      </c>
    </row>
    <row r="47" spans="1:8" ht="15" x14ac:dyDescent="0.25">
      <c r="A47" s="145" t="s">
        <v>539</v>
      </c>
      <c r="B47" s="144">
        <v>1</v>
      </c>
      <c r="C47" s="144">
        <v>1</v>
      </c>
      <c r="D47" s="144">
        <v>1</v>
      </c>
      <c r="E47" s="144" t="s">
        <v>207</v>
      </c>
      <c r="F47" s="144">
        <v>1</v>
      </c>
      <c r="G47" s="144">
        <v>1</v>
      </c>
      <c r="H47" s="144">
        <v>1</v>
      </c>
    </row>
    <row r="48" spans="1:8" ht="15" x14ac:dyDescent="0.25">
      <c r="A48" s="145" t="s">
        <v>36</v>
      </c>
      <c r="B48" s="144">
        <v>1</v>
      </c>
      <c r="C48" s="144">
        <v>2</v>
      </c>
      <c r="D48" s="144">
        <v>2</v>
      </c>
      <c r="E48" s="144" t="s">
        <v>204</v>
      </c>
      <c r="F48" s="144">
        <v>1</v>
      </c>
      <c r="G48" s="144">
        <v>1</v>
      </c>
      <c r="H48" s="144">
        <v>3</v>
      </c>
    </row>
    <row r="49" spans="1:8" ht="15" x14ac:dyDescent="0.25">
      <c r="A49" s="145" t="s">
        <v>0</v>
      </c>
      <c r="B49" s="144">
        <v>1</v>
      </c>
      <c r="C49" s="144">
        <v>2</v>
      </c>
      <c r="D49" s="144">
        <v>1</v>
      </c>
      <c r="E49" s="144" t="s">
        <v>459</v>
      </c>
      <c r="F49" s="144">
        <v>3</v>
      </c>
      <c r="G49" s="144">
        <v>4</v>
      </c>
      <c r="H49" s="144">
        <v>2</v>
      </c>
    </row>
    <row r="50" spans="1:8" ht="15" x14ac:dyDescent="0.25">
      <c r="A50" s="145" t="s">
        <v>540</v>
      </c>
      <c r="B50" s="144">
        <v>1</v>
      </c>
      <c r="C50" s="144">
        <v>3</v>
      </c>
      <c r="D50" s="144">
        <v>2</v>
      </c>
      <c r="E50" s="144" t="s">
        <v>207</v>
      </c>
      <c r="F50" s="144" t="s">
        <v>120</v>
      </c>
      <c r="G50" s="144" t="s">
        <v>120</v>
      </c>
      <c r="H50" s="144">
        <v>3</v>
      </c>
    </row>
    <row r="51" spans="1:8" ht="15" x14ac:dyDescent="0.25">
      <c r="A51" s="145" t="s">
        <v>37</v>
      </c>
      <c r="B51" s="144">
        <v>1</v>
      </c>
      <c r="C51" s="144">
        <v>4</v>
      </c>
      <c r="D51" s="144">
        <v>2</v>
      </c>
      <c r="E51" s="144" t="s">
        <v>459</v>
      </c>
      <c r="F51" s="144">
        <v>5</v>
      </c>
      <c r="G51" s="144">
        <v>3</v>
      </c>
      <c r="H51" s="144">
        <v>4</v>
      </c>
    </row>
    <row r="52" spans="1:8" ht="15" x14ac:dyDescent="0.25">
      <c r="A52" s="145" t="s">
        <v>500</v>
      </c>
      <c r="B52" s="144">
        <v>4</v>
      </c>
      <c r="C52" s="144">
        <v>7</v>
      </c>
      <c r="D52" s="144">
        <v>5</v>
      </c>
      <c r="E52" s="144" t="s">
        <v>459</v>
      </c>
      <c r="F52" s="144">
        <v>5</v>
      </c>
      <c r="G52" s="144" t="s">
        <v>120</v>
      </c>
      <c r="H52" s="144">
        <v>7</v>
      </c>
    </row>
    <row r="53" spans="1:8" ht="15" x14ac:dyDescent="0.25">
      <c r="A53" s="145" t="s">
        <v>541</v>
      </c>
      <c r="B53" s="144">
        <v>6</v>
      </c>
      <c r="C53" s="144">
        <v>7</v>
      </c>
      <c r="D53" s="144">
        <v>6</v>
      </c>
      <c r="E53" s="144" t="s">
        <v>459</v>
      </c>
      <c r="F53" s="144">
        <v>6</v>
      </c>
      <c r="G53" s="144">
        <v>6</v>
      </c>
      <c r="H53" s="144">
        <v>6</v>
      </c>
    </row>
    <row r="54" spans="1:8" ht="15" x14ac:dyDescent="0.25">
      <c r="A54" s="145" t="s">
        <v>542</v>
      </c>
      <c r="B54" s="144">
        <v>3</v>
      </c>
      <c r="C54" s="144">
        <v>7</v>
      </c>
      <c r="D54" s="144">
        <v>4</v>
      </c>
      <c r="E54" s="144" t="s">
        <v>459</v>
      </c>
      <c r="F54" s="144">
        <v>4</v>
      </c>
      <c r="G54" s="144">
        <v>5</v>
      </c>
      <c r="H54" s="144">
        <v>6</v>
      </c>
    </row>
    <row r="55" spans="1:8" ht="15" x14ac:dyDescent="0.25">
      <c r="A55" s="145" t="s">
        <v>543</v>
      </c>
      <c r="B55" s="144">
        <v>2</v>
      </c>
      <c r="C55" s="144">
        <v>4</v>
      </c>
      <c r="D55" s="144">
        <v>3</v>
      </c>
      <c r="E55" s="144" t="s">
        <v>207</v>
      </c>
      <c r="F55" s="144" t="s">
        <v>120</v>
      </c>
      <c r="G55" s="144" t="s">
        <v>120</v>
      </c>
      <c r="H55" s="144">
        <v>4</v>
      </c>
    </row>
    <row r="56" spans="1:8" ht="15" x14ac:dyDescent="0.25">
      <c r="A56" s="145" t="s">
        <v>544</v>
      </c>
      <c r="B56" s="144">
        <v>1</v>
      </c>
      <c r="C56" s="144">
        <v>3</v>
      </c>
      <c r="D56" s="144">
        <v>2</v>
      </c>
      <c r="E56" s="144" t="s">
        <v>207</v>
      </c>
      <c r="F56" s="144" t="s">
        <v>120</v>
      </c>
      <c r="G56" s="144" t="s">
        <v>120</v>
      </c>
      <c r="H56" s="144">
        <v>3</v>
      </c>
    </row>
    <row r="57" spans="1:8" ht="15" x14ac:dyDescent="0.25">
      <c r="A57" s="145" t="s">
        <v>367</v>
      </c>
      <c r="B57" s="144">
        <v>2</v>
      </c>
      <c r="C57" s="144">
        <v>3</v>
      </c>
      <c r="D57" s="144">
        <v>2</v>
      </c>
      <c r="E57" s="144" t="s">
        <v>207</v>
      </c>
      <c r="F57" s="144">
        <v>1</v>
      </c>
      <c r="G57" s="144">
        <v>2</v>
      </c>
      <c r="H57" s="144">
        <v>3</v>
      </c>
    </row>
    <row r="58" spans="1:8" ht="15" x14ac:dyDescent="0.25">
      <c r="A58" s="145" t="s">
        <v>368</v>
      </c>
      <c r="B58" s="144">
        <v>5</v>
      </c>
      <c r="C58" s="144">
        <v>7</v>
      </c>
      <c r="D58" s="144">
        <v>6</v>
      </c>
      <c r="E58" s="144" t="s">
        <v>459</v>
      </c>
      <c r="F58" s="144">
        <v>5</v>
      </c>
      <c r="G58" s="144">
        <v>6</v>
      </c>
      <c r="H58" s="144">
        <v>7</v>
      </c>
    </row>
    <row r="59" spans="1:8" ht="15" x14ac:dyDescent="0.25">
      <c r="A59" s="145" t="s">
        <v>251</v>
      </c>
      <c r="B59" s="144">
        <v>3</v>
      </c>
      <c r="C59" s="144">
        <v>5</v>
      </c>
      <c r="D59" s="144">
        <v>3</v>
      </c>
      <c r="E59" s="144" t="s">
        <v>207</v>
      </c>
      <c r="F59" s="144">
        <v>1</v>
      </c>
      <c r="G59" s="144">
        <v>1</v>
      </c>
      <c r="H59" s="144">
        <v>4</v>
      </c>
    </row>
    <row r="60" spans="1:8" ht="15" x14ac:dyDescent="0.25">
      <c r="A60" s="145" t="s">
        <v>545</v>
      </c>
      <c r="B60" s="144">
        <v>6</v>
      </c>
      <c r="C60" s="144">
        <v>7</v>
      </c>
      <c r="D60" s="144">
        <v>6</v>
      </c>
      <c r="E60" s="144" t="s">
        <v>459</v>
      </c>
      <c r="F60" s="144">
        <v>4</v>
      </c>
      <c r="G60" s="144">
        <v>6</v>
      </c>
      <c r="H60" s="144">
        <v>7</v>
      </c>
    </row>
    <row r="61" spans="1:8" ht="15" x14ac:dyDescent="0.25">
      <c r="A61" s="145" t="s">
        <v>546</v>
      </c>
      <c r="B61" s="144">
        <v>1</v>
      </c>
      <c r="C61" s="144">
        <v>1</v>
      </c>
      <c r="D61" s="144">
        <v>1</v>
      </c>
      <c r="E61" s="144" t="s">
        <v>204</v>
      </c>
      <c r="F61" s="144">
        <v>2</v>
      </c>
      <c r="G61" s="144">
        <v>1</v>
      </c>
      <c r="H61" s="144">
        <v>1</v>
      </c>
    </row>
    <row r="62" spans="1:8" ht="15" x14ac:dyDescent="0.25">
      <c r="A62" s="145" t="s">
        <v>547</v>
      </c>
      <c r="B62" s="144">
        <v>4</v>
      </c>
      <c r="C62" s="144">
        <v>5</v>
      </c>
      <c r="D62" s="144">
        <v>4</v>
      </c>
      <c r="E62" s="144" t="s">
        <v>459</v>
      </c>
      <c r="F62" s="144" t="s">
        <v>120</v>
      </c>
      <c r="G62" s="144" t="s">
        <v>120</v>
      </c>
      <c r="H62" s="144">
        <v>5</v>
      </c>
    </row>
    <row r="63" spans="1:8" ht="15" x14ac:dyDescent="0.25">
      <c r="A63" s="145" t="s">
        <v>66</v>
      </c>
      <c r="B63" s="144">
        <v>1</v>
      </c>
      <c r="C63" s="144">
        <v>1</v>
      </c>
      <c r="D63" s="144">
        <v>1</v>
      </c>
      <c r="E63" s="144" t="s">
        <v>204</v>
      </c>
      <c r="F63" s="144">
        <v>1</v>
      </c>
      <c r="G63" s="144">
        <v>1</v>
      </c>
      <c r="H63" s="144">
        <v>1</v>
      </c>
    </row>
    <row r="64" spans="1:8" ht="15" x14ac:dyDescent="0.25">
      <c r="A64" s="145" t="s">
        <v>38</v>
      </c>
      <c r="B64" s="144">
        <v>1</v>
      </c>
      <c r="C64" s="144">
        <v>1</v>
      </c>
      <c r="D64" s="144">
        <v>1</v>
      </c>
      <c r="E64" s="144" t="s">
        <v>207</v>
      </c>
      <c r="F64" s="144">
        <v>1</v>
      </c>
      <c r="G64" s="144">
        <v>1</v>
      </c>
      <c r="H64" s="144">
        <v>1</v>
      </c>
    </row>
    <row r="65" spans="1:8" ht="15" x14ac:dyDescent="0.25">
      <c r="A65" s="145" t="s">
        <v>499</v>
      </c>
      <c r="B65" s="144">
        <v>6</v>
      </c>
      <c r="C65" s="144">
        <v>7</v>
      </c>
      <c r="D65" s="144">
        <v>6</v>
      </c>
      <c r="E65" s="144" t="s">
        <v>459</v>
      </c>
      <c r="F65" s="144">
        <v>4</v>
      </c>
      <c r="G65" s="144" t="s">
        <v>120</v>
      </c>
      <c r="H65" s="144">
        <v>7</v>
      </c>
    </row>
    <row r="66" spans="1:8" ht="15" x14ac:dyDescent="0.25">
      <c r="A66" s="145" t="s">
        <v>479</v>
      </c>
      <c r="B66" s="144">
        <v>4</v>
      </c>
      <c r="C66" s="144">
        <v>6</v>
      </c>
      <c r="D66" s="144">
        <v>5</v>
      </c>
      <c r="E66" s="144" t="s">
        <v>459</v>
      </c>
      <c r="F66" s="144">
        <v>2</v>
      </c>
      <c r="G66" s="144">
        <v>2</v>
      </c>
      <c r="H66" s="144">
        <v>6</v>
      </c>
    </row>
    <row r="67" spans="1:8" ht="15" x14ac:dyDescent="0.25">
      <c r="A67" s="145" t="s">
        <v>253</v>
      </c>
      <c r="B67" s="144">
        <v>4</v>
      </c>
      <c r="C67" s="144">
        <v>5</v>
      </c>
      <c r="D67" s="144">
        <v>4</v>
      </c>
      <c r="E67" s="144" t="s">
        <v>207</v>
      </c>
      <c r="F67" s="144">
        <v>2</v>
      </c>
      <c r="G67" s="144">
        <v>2</v>
      </c>
      <c r="H67" s="144">
        <v>5</v>
      </c>
    </row>
    <row r="68" spans="1:8" ht="15" x14ac:dyDescent="0.25">
      <c r="A68" s="145" t="s">
        <v>39</v>
      </c>
      <c r="B68" s="144">
        <v>5</v>
      </c>
      <c r="C68" s="144">
        <v>7</v>
      </c>
      <c r="D68" s="144">
        <v>5</v>
      </c>
      <c r="E68" s="144" t="s">
        <v>459</v>
      </c>
      <c r="F68" s="144">
        <v>4</v>
      </c>
      <c r="G68" s="144">
        <v>7</v>
      </c>
      <c r="H68" s="144">
        <v>5</v>
      </c>
    </row>
    <row r="69" spans="1:8" ht="15" x14ac:dyDescent="0.25">
      <c r="A69" s="145" t="s">
        <v>65</v>
      </c>
      <c r="B69" s="144">
        <v>4</v>
      </c>
      <c r="C69" s="144">
        <v>4</v>
      </c>
      <c r="D69" s="144">
        <v>4</v>
      </c>
      <c r="E69" s="144" t="s">
        <v>459</v>
      </c>
      <c r="F69" s="144">
        <v>4</v>
      </c>
      <c r="G69" s="144">
        <v>5</v>
      </c>
      <c r="H69" s="144">
        <v>3</v>
      </c>
    </row>
    <row r="70" spans="1:8" ht="15" x14ac:dyDescent="0.25">
      <c r="A70" s="145" t="s">
        <v>257</v>
      </c>
      <c r="B70" s="144">
        <v>2</v>
      </c>
      <c r="C70" s="144">
        <v>4</v>
      </c>
      <c r="D70" s="144">
        <v>3</v>
      </c>
      <c r="E70" s="144" t="s">
        <v>459</v>
      </c>
      <c r="F70" s="144">
        <v>2</v>
      </c>
      <c r="G70" s="144">
        <v>3</v>
      </c>
      <c r="H70" s="144">
        <v>4</v>
      </c>
    </row>
    <row r="71" spans="1:8" ht="15" x14ac:dyDescent="0.25">
      <c r="A71" s="145" t="s">
        <v>502</v>
      </c>
      <c r="B71" s="144">
        <v>4</v>
      </c>
      <c r="C71" s="144">
        <v>7</v>
      </c>
      <c r="D71" s="144">
        <v>5</v>
      </c>
      <c r="E71" s="144" t="s">
        <v>459</v>
      </c>
      <c r="F71" s="144">
        <v>4</v>
      </c>
      <c r="G71" s="144">
        <v>4</v>
      </c>
      <c r="H71" s="144">
        <v>7</v>
      </c>
    </row>
    <row r="72" spans="1:8" ht="15" x14ac:dyDescent="0.25">
      <c r="A72" s="145" t="s">
        <v>511</v>
      </c>
      <c r="B72" s="144">
        <v>7</v>
      </c>
      <c r="C72" s="144">
        <v>7</v>
      </c>
      <c r="D72" s="144">
        <v>7</v>
      </c>
      <c r="E72" s="144" t="s">
        <v>459</v>
      </c>
      <c r="F72" s="144">
        <v>6</v>
      </c>
      <c r="G72" s="144" t="s">
        <v>120</v>
      </c>
      <c r="H72" s="144">
        <v>7</v>
      </c>
    </row>
    <row r="73" spans="1:8" ht="15" x14ac:dyDescent="0.25">
      <c r="A73" s="145" t="s">
        <v>370</v>
      </c>
      <c r="B73" s="144">
        <v>1</v>
      </c>
      <c r="C73" s="144">
        <v>3</v>
      </c>
      <c r="D73" s="144">
        <v>2</v>
      </c>
      <c r="E73" s="144" t="s">
        <v>207</v>
      </c>
      <c r="F73" s="144">
        <v>1</v>
      </c>
      <c r="G73" s="144">
        <v>1</v>
      </c>
      <c r="H73" s="144">
        <v>3</v>
      </c>
    </row>
    <row r="74" spans="1:8" ht="15" x14ac:dyDescent="0.25">
      <c r="A74" s="145" t="s">
        <v>371</v>
      </c>
      <c r="B74" s="144">
        <v>4</v>
      </c>
      <c r="C74" s="144">
        <v>7</v>
      </c>
      <c r="D74" s="144">
        <v>5</v>
      </c>
      <c r="E74" s="144" t="s">
        <v>459</v>
      </c>
      <c r="F74" s="144">
        <v>6</v>
      </c>
      <c r="G74" s="144">
        <v>5</v>
      </c>
      <c r="H74" s="144">
        <v>6</v>
      </c>
    </row>
    <row r="75" spans="1:8" ht="15" x14ac:dyDescent="0.25">
      <c r="A75" s="145" t="s">
        <v>548</v>
      </c>
      <c r="B75" s="144">
        <v>1</v>
      </c>
      <c r="C75" s="144">
        <v>2</v>
      </c>
      <c r="D75" s="144">
        <v>1</v>
      </c>
      <c r="E75" s="144" t="s">
        <v>207</v>
      </c>
      <c r="F75" s="144" t="s">
        <v>120</v>
      </c>
      <c r="G75" s="144" t="s">
        <v>120</v>
      </c>
      <c r="H75" s="144">
        <v>2</v>
      </c>
    </row>
    <row r="76" spans="1:8" ht="15" x14ac:dyDescent="0.25">
      <c r="A76" s="145" t="s">
        <v>549</v>
      </c>
      <c r="B76" s="144">
        <v>2</v>
      </c>
      <c r="C76" s="144">
        <v>3</v>
      </c>
      <c r="D76" s="144">
        <v>2</v>
      </c>
      <c r="E76" s="144" t="s">
        <v>207</v>
      </c>
      <c r="F76" s="144" t="s">
        <v>120</v>
      </c>
      <c r="G76" s="144" t="s">
        <v>120</v>
      </c>
      <c r="H76" s="144">
        <v>3</v>
      </c>
    </row>
    <row r="77" spans="1:8" ht="15" x14ac:dyDescent="0.25">
      <c r="A77" s="145" t="s">
        <v>472</v>
      </c>
      <c r="B77" s="144">
        <v>4</v>
      </c>
      <c r="C77" s="144">
        <v>4</v>
      </c>
      <c r="D77" s="144">
        <v>4</v>
      </c>
      <c r="E77" s="144" t="s">
        <v>459</v>
      </c>
      <c r="F77" s="144">
        <v>5</v>
      </c>
      <c r="G77" s="144" t="s">
        <v>120</v>
      </c>
      <c r="H77" s="144">
        <v>4</v>
      </c>
    </row>
    <row r="78" spans="1:8" ht="15" x14ac:dyDescent="0.25">
      <c r="A78" s="145" t="s">
        <v>372</v>
      </c>
      <c r="B78" s="144">
        <v>1</v>
      </c>
      <c r="C78" s="144">
        <v>1</v>
      </c>
      <c r="D78" s="144">
        <v>1</v>
      </c>
      <c r="E78" s="144" t="s">
        <v>204</v>
      </c>
      <c r="F78" s="144">
        <v>1</v>
      </c>
      <c r="G78" s="144">
        <v>1</v>
      </c>
      <c r="H78" s="144">
        <v>1</v>
      </c>
    </row>
    <row r="79" spans="1:8" ht="15" x14ac:dyDescent="0.25">
      <c r="A79" s="145" t="s">
        <v>41</v>
      </c>
      <c r="B79" s="144">
        <v>1</v>
      </c>
      <c r="C79" s="144">
        <v>1</v>
      </c>
      <c r="D79" s="144">
        <v>1</v>
      </c>
      <c r="E79" s="144" t="s">
        <v>207</v>
      </c>
      <c r="F79" s="144">
        <v>1</v>
      </c>
      <c r="G79" s="144">
        <v>1</v>
      </c>
      <c r="H79" s="144">
        <v>1</v>
      </c>
    </row>
    <row r="80" spans="1:8" ht="15" x14ac:dyDescent="0.25">
      <c r="A80" s="145" t="s">
        <v>550</v>
      </c>
      <c r="B80" s="144">
        <v>1</v>
      </c>
      <c r="C80" s="144">
        <v>2</v>
      </c>
      <c r="D80" s="144">
        <v>1</v>
      </c>
      <c r="E80" s="144" t="s">
        <v>207</v>
      </c>
      <c r="F80" s="144">
        <v>2</v>
      </c>
      <c r="G80" s="144" t="s">
        <v>120</v>
      </c>
      <c r="H80" s="144">
        <v>2</v>
      </c>
    </row>
    <row r="81" spans="1:8" ht="15" x14ac:dyDescent="0.25">
      <c r="A81" s="145" t="s">
        <v>551</v>
      </c>
      <c r="B81" s="144">
        <v>2</v>
      </c>
      <c r="C81" s="144">
        <v>4</v>
      </c>
      <c r="D81" s="144">
        <v>3</v>
      </c>
      <c r="E81" s="144" t="s">
        <v>207</v>
      </c>
      <c r="F81" s="144" t="s">
        <v>120</v>
      </c>
      <c r="G81" s="144" t="s">
        <v>120</v>
      </c>
      <c r="H81" s="144">
        <v>4</v>
      </c>
    </row>
    <row r="82" spans="1:8" ht="15" x14ac:dyDescent="0.25">
      <c r="A82" s="145" t="s">
        <v>259</v>
      </c>
      <c r="B82" s="144">
        <v>2</v>
      </c>
      <c r="C82" s="144">
        <v>5</v>
      </c>
      <c r="D82" s="144">
        <v>3</v>
      </c>
      <c r="E82" s="144" t="s">
        <v>459</v>
      </c>
      <c r="F82" s="144">
        <v>4</v>
      </c>
      <c r="G82" s="144">
        <v>4</v>
      </c>
      <c r="H82" s="144">
        <v>5</v>
      </c>
    </row>
    <row r="83" spans="1:8" ht="15" x14ac:dyDescent="0.25">
      <c r="A83" s="145" t="s">
        <v>552</v>
      </c>
      <c r="B83" s="144">
        <v>5</v>
      </c>
      <c r="C83" s="144">
        <v>7</v>
      </c>
      <c r="D83" s="144">
        <v>6</v>
      </c>
      <c r="E83" s="144" t="s">
        <v>459</v>
      </c>
      <c r="F83" s="144">
        <v>3</v>
      </c>
      <c r="G83" s="144">
        <v>4</v>
      </c>
      <c r="H83" s="144">
        <v>7</v>
      </c>
    </row>
    <row r="84" spans="1:8" ht="15" x14ac:dyDescent="0.25">
      <c r="A84" s="145" t="s">
        <v>261</v>
      </c>
      <c r="B84" s="144">
        <v>3</v>
      </c>
      <c r="C84" s="144">
        <v>6</v>
      </c>
      <c r="D84" s="144">
        <v>4</v>
      </c>
      <c r="E84" s="144" t="s">
        <v>459</v>
      </c>
      <c r="F84" s="144">
        <v>5</v>
      </c>
      <c r="G84" s="144">
        <v>4</v>
      </c>
      <c r="H84" s="144">
        <v>6</v>
      </c>
    </row>
    <row r="85" spans="1:8" ht="15" x14ac:dyDescent="0.25">
      <c r="A85" s="145" t="s">
        <v>42</v>
      </c>
      <c r="B85" s="144">
        <v>1</v>
      </c>
      <c r="C85" s="144">
        <v>1</v>
      </c>
      <c r="D85" s="144">
        <v>1</v>
      </c>
      <c r="E85" s="144" t="s">
        <v>204</v>
      </c>
      <c r="F85" s="144">
        <v>1</v>
      </c>
      <c r="G85" s="144">
        <v>1</v>
      </c>
      <c r="H85" s="144">
        <v>1</v>
      </c>
    </row>
    <row r="86" spans="1:8" ht="15" x14ac:dyDescent="0.25">
      <c r="A86" s="145" t="s">
        <v>263</v>
      </c>
      <c r="B86" s="144">
        <v>4</v>
      </c>
      <c r="C86" s="144">
        <v>6</v>
      </c>
      <c r="D86" s="144">
        <v>4</v>
      </c>
      <c r="E86" s="144" t="s">
        <v>459</v>
      </c>
      <c r="F86" s="144">
        <v>2</v>
      </c>
      <c r="G86" s="144">
        <v>3</v>
      </c>
      <c r="H86" s="144">
        <v>5</v>
      </c>
    </row>
    <row r="87" spans="1:8" ht="15" x14ac:dyDescent="0.25">
      <c r="A87" s="145" t="s">
        <v>553</v>
      </c>
      <c r="B87" s="144">
        <v>1</v>
      </c>
      <c r="C87" s="144">
        <v>2</v>
      </c>
      <c r="D87" s="144">
        <v>1</v>
      </c>
      <c r="E87" s="144" t="s">
        <v>207</v>
      </c>
      <c r="F87" s="144" t="s">
        <v>120</v>
      </c>
      <c r="G87" s="144" t="s">
        <v>120</v>
      </c>
      <c r="H87" s="144">
        <v>2</v>
      </c>
    </row>
    <row r="88" spans="1:8" ht="15" x14ac:dyDescent="0.25">
      <c r="A88" s="145" t="s">
        <v>374</v>
      </c>
      <c r="B88" s="144">
        <v>1</v>
      </c>
      <c r="C88" s="144">
        <v>1</v>
      </c>
      <c r="D88" s="144">
        <v>1</v>
      </c>
      <c r="E88" s="144" t="s">
        <v>459</v>
      </c>
      <c r="F88" s="144">
        <v>2</v>
      </c>
      <c r="G88" s="144">
        <v>1</v>
      </c>
      <c r="H88" s="144">
        <v>1</v>
      </c>
    </row>
    <row r="89" spans="1:8" ht="15" x14ac:dyDescent="0.25">
      <c r="A89" s="145" t="s">
        <v>554</v>
      </c>
      <c r="B89" s="144">
        <v>1</v>
      </c>
      <c r="C89" s="144">
        <v>2</v>
      </c>
      <c r="D89" s="144">
        <v>1</v>
      </c>
      <c r="E89" s="144" t="s">
        <v>207</v>
      </c>
      <c r="F89" s="144" t="s">
        <v>120</v>
      </c>
      <c r="G89" s="144" t="s">
        <v>120</v>
      </c>
      <c r="H89" s="144">
        <v>2</v>
      </c>
    </row>
    <row r="90" spans="1:8" ht="15" x14ac:dyDescent="0.25">
      <c r="A90" s="145" t="s">
        <v>480</v>
      </c>
      <c r="B90" s="144">
        <v>4</v>
      </c>
      <c r="C90" s="144">
        <v>6</v>
      </c>
      <c r="D90" s="144">
        <v>5</v>
      </c>
      <c r="E90" s="144" t="s">
        <v>459</v>
      </c>
      <c r="F90" s="144">
        <v>2</v>
      </c>
      <c r="G90" s="144" t="s">
        <v>120</v>
      </c>
      <c r="H90" s="144">
        <v>6</v>
      </c>
    </row>
    <row r="91" spans="1:8" ht="15" x14ac:dyDescent="0.25">
      <c r="A91" s="145" t="s">
        <v>555</v>
      </c>
      <c r="B91" s="144">
        <v>1</v>
      </c>
      <c r="C91" s="144">
        <v>2</v>
      </c>
      <c r="D91" s="144">
        <v>1</v>
      </c>
      <c r="E91" s="144" t="s">
        <v>207</v>
      </c>
      <c r="F91" s="144">
        <v>2</v>
      </c>
      <c r="G91" s="144">
        <v>1</v>
      </c>
      <c r="H91" s="144">
        <v>2</v>
      </c>
    </row>
    <row r="92" spans="1:8" ht="15" x14ac:dyDescent="0.25">
      <c r="A92" s="145" t="s">
        <v>556</v>
      </c>
      <c r="B92" s="144">
        <v>2</v>
      </c>
      <c r="C92" s="144">
        <v>3</v>
      </c>
      <c r="D92" s="144">
        <v>2</v>
      </c>
      <c r="E92" s="144" t="s">
        <v>207</v>
      </c>
      <c r="F92" s="144">
        <v>1</v>
      </c>
      <c r="G92" s="144" t="s">
        <v>120</v>
      </c>
      <c r="H92" s="144">
        <v>3</v>
      </c>
    </row>
    <row r="93" spans="1:8" ht="15" x14ac:dyDescent="0.25">
      <c r="A93" s="145" t="s">
        <v>375</v>
      </c>
      <c r="B93" s="144">
        <v>2</v>
      </c>
      <c r="C93" s="144">
        <v>5</v>
      </c>
      <c r="D93" s="144">
        <v>3</v>
      </c>
      <c r="E93" s="144" t="s">
        <v>459</v>
      </c>
      <c r="F93" s="144">
        <v>4</v>
      </c>
      <c r="G93" s="144">
        <v>3</v>
      </c>
      <c r="H93" s="144">
        <v>4</v>
      </c>
    </row>
    <row r="94" spans="1:8" ht="15" x14ac:dyDescent="0.25">
      <c r="A94" s="145" t="s">
        <v>510</v>
      </c>
      <c r="B94" s="144">
        <v>6</v>
      </c>
      <c r="C94" s="144">
        <v>7</v>
      </c>
      <c r="D94" s="144">
        <v>6</v>
      </c>
      <c r="E94" s="144" t="s">
        <v>459</v>
      </c>
      <c r="F94" s="144">
        <v>5</v>
      </c>
      <c r="G94" s="144">
        <v>7</v>
      </c>
      <c r="H94" s="144">
        <v>7</v>
      </c>
    </row>
    <row r="95" spans="1:8" ht="15" x14ac:dyDescent="0.25">
      <c r="A95" s="145" t="s">
        <v>507</v>
      </c>
      <c r="B95" s="144">
        <v>3</v>
      </c>
      <c r="C95" s="144">
        <v>7</v>
      </c>
      <c r="D95" s="144">
        <v>5</v>
      </c>
      <c r="E95" s="144" t="s">
        <v>459</v>
      </c>
      <c r="F95" s="144">
        <v>5</v>
      </c>
      <c r="G95" s="144">
        <v>5</v>
      </c>
      <c r="H95" s="144">
        <v>7</v>
      </c>
    </row>
    <row r="96" spans="1:8" ht="15" x14ac:dyDescent="0.25">
      <c r="A96" s="145" t="s">
        <v>376</v>
      </c>
      <c r="B96" s="144">
        <v>3</v>
      </c>
      <c r="C96" s="144">
        <v>6</v>
      </c>
      <c r="D96" s="144">
        <v>4</v>
      </c>
      <c r="E96" s="144" t="s">
        <v>459</v>
      </c>
      <c r="F96" s="144">
        <v>3</v>
      </c>
      <c r="G96" s="144">
        <v>4</v>
      </c>
      <c r="H96" s="144">
        <v>6</v>
      </c>
    </row>
    <row r="97" spans="1:8" ht="15" x14ac:dyDescent="0.25">
      <c r="A97" s="145" t="s">
        <v>436</v>
      </c>
      <c r="B97" s="144">
        <v>6</v>
      </c>
      <c r="C97" s="144">
        <v>7</v>
      </c>
      <c r="D97" s="144">
        <v>6</v>
      </c>
      <c r="E97" s="144" t="s">
        <v>459</v>
      </c>
      <c r="F97" s="144">
        <v>6</v>
      </c>
      <c r="G97" s="144">
        <v>6</v>
      </c>
      <c r="H97" s="144">
        <v>7</v>
      </c>
    </row>
    <row r="98" spans="1:8" ht="15" x14ac:dyDescent="0.25">
      <c r="A98" s="145" t="s">
        <v>377</v>
      </c>
      <c r="B98" s="144">
        <v>3</v>
      </c>
      <c r="C98" s="144">
        <v>6</v>
      </c>
      <c r="D98" s="144">
        <v>4</v>
      </c>
      <c r="E98" s="144" t="s">
        <v>459</v>
      </c>
      <c r="F98" s="144">
        <v>3</v>
      </c>
      <c r="G98" s="144">
        <v>4</v>
      </c>
      <c r="H98" s="144">
        <v>5</v>
      </c>
    </row>
    <row r="99" spans="1:8" ht="15" x14ac:dyDescent="0.25">
      <c r="A99" s="145" t="s">
        <v>557</v>
      </c>
      <c r="B99" s="144">
        <v>1</v>
      </c>
      <c r="C99" s="144">
        <v>1</v>
      </c>
      <c r="D99" s="144">
        <v>1</v>
      </c>
      <c r="E99" s="144" t="s">
        <v>204</v>
      </c>
      <c r="F99" s="144">
        <v>2</v>
      </c>
      <c r="G99" s="144">
        <v>1</v>
      </c>
      <c r="H99" s="144">
        <v>1</v>
      </c>
    </row>
    <row r="100" spans="1:8" ht="15" x14ac:dyDescent="0.25">
      <c r="A100" s="145" t="s">
        <v>43</v>
      </c>
      <c r="B100" s="144">
        <v>1</v>
      </c>
      <c r="C100" s="144">
        <v>2</v>
      </c>
      <c r="D100" s="144">
        <v>1</v>
      </c>
      <c r="E100" s="144" t="s">
        <v>207</v>
      </c>
      <c r="F100" s="144">
        <v>1</v>
      </c>
      <c r="G100" s="144">
        <v>1</v>
      </c>
      <c r="H100" s="144">
        <v>2</v>
      </c>
    </row>
    <row r="101" spans="1:8" ht="15" x14ac:dyDescent="0.25">
      <c r="A101" s="145" t="s">
        <v>379</v>
      </c>
      <c r="B101" s="144">
        <v>1</v>
      </c>
      <c r="C101" s="144">
        <v>2</v>
      </c>
      <c r="D101" s="144">
        <v>1</v>
      </c>
      <c r="E101" s="144" t="s">
        <v>207</v>
      </c>
      <c r="F101" s="144">
        <v>1</v>
      </c>
      <c r="G101" s="144">
        <v>1</v>
      </c>
      <c r="H101" s="144">
        <v>2</v>
      </c>
    </row>
    <row r="102" spans="1:8" ht="15" x14ac:dyDescent="0.25">
      <c r="A102" s="145" t="s">
        <v>1</v>
      </c>
      <c r="B102" s="144">
        <v>2</v>
      </c>
      <c r="C102" s="144">
        <v>3</v>
      </c>
      <c r="D102" s="144">
        <v>2</v>
      </c>
      <c r="E102" s="144" t="s">
        <v>207</v>
      </c>
      <c r="F102" s="144">
        <v>3</v>
      </c>
      <c r="G102" s="144">
        <v>3</v>
      </c>
      <c r="H102" s="144">
        <v>3</v>
      </c>
    </row>
    <row r="103" spans="1:8" ht="15" x14ac:dyDescent="0.25">
      <c r="A103" s="145" t="s">
        <v>2</v>
      </c>
      <c r="B103" s="144">
        <v>2</v>
      </c>
      <c r="C103" s="144">
        <v>4</v>
      </c>
      <c r="D103" s="144">
        <v>2</v>
      </c>
      <c r="E103" s="144" t="s">
        <v>459</v>
      </c>
      <c r="F103" s="144">
        <v>2</v>
      </c>
      <c r="G103" s="144">
        <v>5</v>
      </c>
      <c r="H103" s="144">
        <v>3</v>
      </c>
    </row>
    <row r="104" spans="1:8" ht="15" x14ac:dyDescent="0.25">
      <c r="A104" s="145" t="s">
        <v>558</v>
      </c>
      <c r="B104" s="144">
        <v>7</v>
      </c>
      <c r="C104" s="144">
        <v>7</v>
      </c>
      <c r="D104" s="144">
        <v>7</v>
      </c>
      <c r="E104" s="144" t="s">
        <v>459</v>
      </c>
      <c r="F104" s="144">
        <v>6</v>
      </c>
      <c r="G104" s="144">
        <v>7</v>
      </c>
      <c r="H104" s="144">
        <v>7</v>
      </c>
    </row>
    <row r="105" spans="1:8" ht="15" x14ac:dyDescent="0.25">
      <c r="A105" s="145" t="s">
        <v>267</v>
      </c>
      <c r="B105" s="144">
        <v>6</v>
      </c>
      <c r="C105" s="144">
        <v>7</v>
      </c>
      <c r="D105" s="144">
        <v>6</v>
      </c>
      <c r="E105" s="144" t="s">
        <v>459</v>
      </c>
      <c r="F105" s="144">
        <v>7</v>
      </c>
      <c r="G105" s="144">
        <v>7</v>
      </c>
      <c r="H105" s="144">
        <v>7</v>
      </c>
    </row>
    <row r="106" spans="1:8" ht="15" x14ac:dyDescent="0.25">
      <c r="A106" s="145" t="s">
        <v>380</v>
      </c>
      <c r="B106" s="144">
        <v>1</v>
      </c>
      <c r="C106" s="144">
        <v>1</v>
      </c>
      <c r="D106" s="144">
        <v>1</v>
      </c>
      <c r="E106" s="144" t="s">
        <v>459</v>
      </c>
      <c r="F106" s="144">
        <v>1</v>
      </c>
      <c r="G106" s="144">
        <v>1</v>
      </c>
      <c r="H106" s="144">
        <v>1</v>
      </c>
    </row>
    <row r="107" spans="1:8" ht="15" x14ac:dyDescent="0.25">
      <c r="A107" s="145" t="s">
        <v>61</v>
      </c>
      <c r="B107" s="144">
        <v>3</v>
      </c>
      <c r="C107" s="144">
        <v>3</v>
      </c>
      <c r="D107" s="144">
        <v>3</v>
      </c>
      <c r="E107" s="144" t="s">
        <v>204</v>
      </c>
      <c r="F107" s="144">
        <v>4</v>
      </c>
      <c r="G107" s="144">
        <v>2</v>
      </c>
      <c r="H107" s="144">
        <v>3</v>
      </c>
    </row>
    <row r="108" spans="1:8" ht="15" x14ac:dyDescent="0.25">
      <c r="A108" s="145" t="s">
        <v>44</v>
      </c>
      <c r="B108" s="144">
        <v>1</v>
      </c>
      <c r="C108" s="144">
        <v>1</v>
      </c>
      <c r="D108" s="144">
        <v>1</v>
      </c>
      <c r="E108" s="144" t="s">
        <v>459</v>
      </c>
      <c r="F108" s="144">
        <v>1</v>
      </c>
      <c r="G108" s="144">
        <v>1</v>
      </c>
      <c r="H108" s="144">
        <v>1</v>
      </c>
    </row>
    <row r="109" spans="1:8" ht="15" x14ac:dyDescent="0.25">
      <c r="A109" s="145" t="s">
        <v>269</v>
      </c>
      <c r="B109" s="144">
        <v>3</v>
      </c>
      <c r="C109" s="144">
        <v>6</v>
      </c>
      <c r="D109" s="144">
        <v>4</v>
      </c>
      <c r="E109" s="144" t="s">
        <v>459</v>
      </c>
      <c r="F109" s="144">
        <v>2</v>
      </c>
      <c r="G109" s="144">
        <v>2</v>
      </c>
      <c r="H109" s="144">
        <v>5</v>
      </c>
    </row>
    <row r="110" spans="1:8" ht="15" x14ac:dyDescent="0.25">
      <c r="A110" s="145" t="s">
        <v>17</v>
      </c>
      <c r="B110" s="144">
        <v>1</v>
      </c>
      <c r="C110" s="144">
        <v>1</v>
      </c>
      <c r="D110" s="144">
        <v>1</v>
      </c>
      <c r="E110" s="144" t="s">
        <v>204</v>
      </c>
      <c r="F110" s="144">
        <v>2</v>
      </c>
      <c r="G110" s="144">
        <v>1</v>
      </c>
      <c r="H110" s="144">
        <v>1</v>
      </c>
    </row>
    <row r="111" spans="1:8" ht="15" x14ac:dyDescent="0.25">
      <c r="A111" s="145" t="s">
        <v>304</v>
      </c>
      <c r="B111" s="144">
        <v>3</v>
      </c>
      <c r="C111" s="144">
        <v>5</v>
      </c>
      <c r="D111" s="144">
        <v>3</v>
      </c>
      <c r="E111" s="144" t="s">
        <v>207</v>
      </c>
      <c r="F111" s="144">
        <v>3</v>
      </c>
      <c r="G111" s="144">
        <v>2</v>
      </c>
      <c r="H111" s="144">
        <v>4</v>
      </c>
    </row>
    <row r="112" spans="1:8" ht="15" x14ac:dyDescent="0.25">
      <c r="A112" s="145" t="s">
        <v>45</v>
      </c>
      <c r="B112" s="144">
        <v>2</v>
      </c>
      <c r="C112" s="144">
        <v>5</v>
      </c>
      <c r="D112" s="144">
        <v>3</v>
      </c>
      <c r="E112" s="144" t="s">
        <v>459</v>
      </c>
      <c r="F112" s="144">
        <v>2</v>
      </c>
      <c r="G112" s="144">
        <v>4</v>
      </c>
      <c r="H112" s="144">
        <v>5</v>
      </c>
    </row>
    <row r="113" spans="1:8" ht="15" x14ac:dyDescent="0.25">
      <c r="A113" s="145" t="s">
        <v>381</v>
      </c>
      <c r="B113" s="144">
        <v>3</v>
      </c>
      <c r="C113" s="144">
        <v>6</v>
      </c>
      <c r="D113" s="144">
        <v>4</v>
      </c>
      <c r="E113" s="144" t="s">
        <v>459</v>
      </c>
      <c r="F113" s="144">
        <v>4</v>
      </c>
      <c r="G113" s="144">
        <v>5</v>
      </c>
      <c r="H113" s="144">
        <v>5</v>
      </c>
    </row>
    <row r="114" spans="1:8" ht="15" x14ac:dyDescent="0.25">
      <c r="A114" s="145" t="s">
        <v>481</v>
      </c>
      <c r="B114" s="144">
        <v>4</v>
      </c>
      <c r="C114" s="144">
        <v>6</v>
      </c>
      <c r="D114" s="144">
        <v>5</v>
      </c>
      <c r="E114" s="144" t="s">
        <v>459</v>
      </c>
      <c r="F114" s="144">
        <v>3</v>
      </c>
      <c r="G114" s="144" t="s">
        <v>120</v>
      </c>
      <c r="H114" s="144">
        <v>6</v>
      </c>
    </row>
    <row r="115" spans="1:8" ht="15" x14ac:dyDescent="0.25">
      <c r="A115" s="145" t="s">
        <v>559</v>
      </c>
      <c r="B115" s="144">
        <v>7</v>
      </c>
      <c r="C115" s="144">
        <v>7</v>
      </c>
      <c r="D115" s="144">
        <v>7</v>
      </c>
      <c r="E115" s="144" t="s">
        <v>459</v>
      </c>
      <c r="F115" s="144">
        <v>6</v>
      </c>
      <c r="G115" s="144">
        <v>6</v>
      </c>
      <c r="H115" s="144">
        <v>7</v>
      </c>
    </row>
    <row r="116" spans="1:8" ht="15" x14ac:dyDescent="0.25">
      <c r="A116" s="145" t="s">
        <v>560</v>
      </c>
      <c r="B116" s="144">
        <v>1</v>
      </c>
      <c r="C116" s="144">
        <v>1</v>
      </c>
      <c r="D116" s="144">
        <v>1</v>
      </c>
      <c r="E116" s="144" t="s">
        <v>204</v>
      </c>
      <c r="F116" s="144">
        <v>3</v>
      </c>
      <c r="G116" s="144">
        <v>1</v>
      </c>
      <c r="H116" s="144">
        <v>1</v>
      </c>
    </row>
    <row r="117" spans="1:8" ht="15" x14ac:dyDescent="0.25">
      <c r="A117" s="145" t="s">
        <v>488</v>
      </c>
      <c r="B117" s="144">
        <v>4</v>
      </c>
      <c r="C117" s="144">
        <v>7</v>
      </c>
      <c r="D117" s="144">
        <v>5</v>
      </c>
      <c r="E117" s="144" t="s">
        <v>459</v>
      </c>
      <c r="F117" s="144">
        <v>4</v>
      </c>
      <c r="G117" s="144">
        <v>5</v>
      </c>
      <c r="H117" s="144">
        <v>6</v>
      </c>
    </row>
    <row r="118" spans="1:8" ht="15" x14ac:dyDescent="0.25">
      <c r="A118" s="145" t="s">
        <v>383</v>
      </c>
      <c r="B118" s="144">
        <v>2</v>
      </c>
      <c r="C118" s="144">
        <v>2</v>
      </c>
      <c r="D118" s="144">
        <v>2</v>
      </c>
      <c r="E118" s="144" t="s">
        <v>207</v>
      </c>
      <c r="F118" s="144">
        <v>2</v>
      </c>
      <c r="G118" s="144">
        <v>4</v>
      </c>
      <c r="H118" s="144">
        <v>2</v>
      </c>
    </row>
    <row r="119" spans="1:8" ht="15" x14ac:dyDescent="0.25">
      <c r="A119" s="145" t="s">
        <v>561</v>
      </c>
      <c r="B119" s="144">
        <v>5</v>
      </c>
      <c r="C119" s="144">
        <v>7</v>
      </c>
      <c r="D119" s="144">
        <v>5</v>
      </c>
      <c r="E119" s="144" t="s">
        <v>459</v>
      </c>
      <c r="F119" s="144">
        <v>6</v>
      </c>
      <c r="G119" s="144">
        <v>5</v>
      </c>
      <c r="H119" s="144">
        <v>6</v>
      </c>
    </row>
    <row r="120" spans="1:8" ht="15" x14ac:dyDescent="0.25">
      <c r="A120" s="145" t="s">
        <v>562</v>
      </c>
      <c r="B120" s="144">
        <v>3</v>
      </c>
      <c r="C120" s="144">
        <v>7</v>
      </c>
      <c r="D120" s="144">
        <v>5</v>
      </c>
      <c r="E120" s="144" t="s">
        <v>459</v>
      </c>
      <c r="F120" s="144">
        <v>3</v>
      </c>
      <c r="G120" s="144">
        <v>4</v>
      </c>
      <c r="H120" s="144">
        <v>7</v>
      </c>
    </row>
    <row r="121" spans="1:8" ht="15" x14ac:dyDescent="0.25">
      <c r="A121" s="145" t="s">
        <v>385</v>
      </c>
      <c r="B121" s="144">
        <v>1</v>
      </c>
      <c r="C121" s="144">
        <v>5</v>
      </c>
      <c r="D121" s="144">
        <v>2</v>
      </c>
      <c r="E121" s="144" t="s">
        <v>207</v>
      </c>
      <c r="F121" s="144">
        <v>1</v>
      </c>
      <c r="G121" s="144">
        <v>1</v>
      </c>
      <c r="H121" s="144">
        <v>4</v>
      </c>
    </row>
    <row r="122" spans="1:8" ht="15" x14ac:dyDescent="0.25">
      <c r="A122" s="145" t="s">
        <v>272</v>
      </c>
      <c r="B122" s="144">
        <v>5</v>
      </c>
      <c r="C122" s="144">
        <v>7</v>
      </c>
      <c r="D122" s="144">
        <v>5</v>
      </c>
      <c r="E122" s="144" t="s">
        <v>459</v>
      </c>
      <c r="F122" s="144">
        <v>5</v>
      </c>
      <c r="G122" s="144">
        <v>4</v>
      </c>
      <c r="H122" s="144">
        <v>6</v>
      </c>
    </row>
    <row r="123" spans="1:8" ht="15" x14ac:dyDescent="0.25">
      <c r="A123" s="145" t="s">
        <v>386</v>
      </c>
      <c r="B123" s="144">
        <v>2</v>
      </c>
      <c r="C123" s="144">
        <v>5</v>
      </c>
      <c r="D123" s="144">
        <v>3</v>
      </c>
      <c r="E123" s="144" t="s">
        <v>207</v>
      </c>
      <c r="F123" s="144">
        <v>4</v>
      </c>
      <c r="G123" s="144" t="s">
        <v>120</v>
      </c>
      <c r="H123" s="144">
        <v>5</v>
      </c>
    </row>
    <row r="124" spans="1:8" ht="15" x14ac:dyDescent="0.25">
      <c r="A124" s="145" t="s">
        <v>498</v>
      </c>
      <c r="B124" s="144">
        <v>6</v>
      </c>
      <c r="C124" s="144">
        <v>7</v>
      </c>
      <c r="D124" s="144">
        <v>6</v>
      </c>
      <c r="E124" s="144" t="s">
        <v>459</v>
      </c>
      <c r="F124" s="144">
        <v>5</v>
      </c>
      <c r="G124" s="144">
        <v>5</v>
      </c>
      <c r="H124" s="144">
        <v>7</v>
      </c>
    </row>
    <row r="125" spans="1:8" ht="15" x14ac:dyDescent="0.25">
      <c r="A125" s="145" t="s">
        <v>387</v>
      </c>
      <c r="B125" s="144">
        <v>7</v>
      </c>
      <c r="C125" s="144">
        <v>7</v>
      </c>
      <c r="D125" s="144">
        <v>7</v>
      </c>
      <c r="E125" s="144" t="s">
        <v>459</v>
      </c>
      <c r="F125" s="144">
        <v>7</v>
      </c>
      <c r="G125" s="144">
        <v>7</v>
      </c>
      <c r="H125" s="144">
        <v>7</v>
      </c>
    </row>
    <row r="126" spans="1:8" ht="15" x14ac:dyDescent="0.25">
      <c r="A126" s="145" t="s">
        <v>563</v>
      </c>
      <c r="B126" s="144">
        <v>1</v>
      </c>
      <c r="C126" s="144">
        <v>1</v>
      </c>
      <c r="D126" s="144">
        <v>1</v>
      </c>
      <c r="E126" s="144" t="s">
        <v>204</v>
      </c>
      <c r="F126" s="144">
        <v>1</v>
      </c>
      <c r="G126" s="144" t="s">
        <v>120</v>
      </c>
      <c r="H126" s="144">
        <v>1</v>
      </c>
    </row>
    <row r="127" spans="1:8" ht="15" x14ac:dyDescent="0.25">
      <c r="A127" s="145" t="s">
        <v>274</v>
      </c>
      <c r="B127" s="144">
        <v>1</v>
      </c>
      <c r="C127" s="144">
        <v>4</v>
      </c>
      <c r="D127" s="144">
        <v>1</v>
      </c>
      <c r="E127" s="144" t="s">
        <v>207</v>
      </c>
      <c r="F127" s="144">
        <v>1</v>
      </c>
      <c r="G127" s="144">
        <v>1</v>
      </c>
      <c r="H127" s="144">
        <v>2</v>
      </c>
    </row>
    <row r="128" spans="1:8" ht="15" x14ac:dyDescent="0.25">
      <c r="A128" s="145" t="s">
        <v>388</v>
      </c>
      <c r="B128" s="144">
        <v>1</v>
      </c>
      <c r="C128" s="144">
        <v>1</v>
      </c>
      <c r="D128" s="144">
        <v>1</v>
      </c>
      <c r="E128" s="144" t="s">
        <v>207</v>
      </c>
      <c r="F128" s="144">
        <v>1</v>
      </c>
      <c r="G128" s="144">
        <v>1</v>
      </c>
      <c r="H128" s="144">
        <v>1</v>
      </c>
    </row>
    <row r="129" spans="1:8" ht="15" x14ac:dyDescent="0.25">
      <c r="A129" s="145" t="s">
        <v>564</v>
      </c>
      <c r="B129" s="144">
        <v>1</v>
      </c>
      <c r="C129" s="144">
        <v>2</v>
      </c>
      <c r="D129" s="144">
        <v>1</v>
      </c>
      <c r="E129" s="144" t="s">
        <v>204</v>
      </c>
      <c r="F129" s="144">
        <v>1</v>
      </c>
      <c r="G129" s="144" t="s">
        <v>120</v>
      </c>
      <c r="H129" s="144">
        <v>2</v>
      </c>
    </row>
    <row r="130" spans="1:8" ht="15" x14ac:dyDescent="0.25">
      <c r="A130" s="145" t="s">
        <v>565</v>
      </c>
      <c r="B130" s="144">
        <v>3</v>
      </c>
      <c r="C130" s="144">
        <v>5</v>
      </c>
      <c r="D130" s="144">
        <v>4</v>
      </c>
      <c r="E130" s="144" t="s">
        <v>459</v>
      </c>
      <c r="F130" s="144">
        <v>3</v>
      </c>
      <c r="G130" s="144">
        <v>3</v>
      </c>
      <c r="H130" s="144">
        <v>5</v>
      </c>
    </row>
    <row r="131" spans="1:8" ht="15" x14ac:dyDescent="0.25">
      <c r="A131" s="145" t="s">
        <v>390</v>
      </c>
      <c r="B131" s="144">
        <v>6</v>
      </c>
      <c r="C131" s="144">
        <v>6</v>
      </c>
      <c r="D131" s="144">
        <v>6</v>
      </c>
      <c r="E131" s="144" t="s">
        <v>459</v>
      </c>
      <c r="F131" s="144">
        <v>4</v>
      </c>
      <c r="G131" s="144">
        <v>5</v>
      </c>
      <c r="H131" s="144">
        <v>6</v>
      </c>
    </row>
    <row r="132" spans="1:8" ht="15" x14ac:dyDescent="0.25">
      <c r="A132" s="145" t="s">
        <v>566</v>
      </c>
      <c r="B132" s="144">
        <v>1</v>
      </c>
      <c r="C132" s="144">
        <v>1</v>
      </c>
      <c r="D132" s="144">
        <v>1</v>
      </c>
      <c r="E132" s="144" t="s">
        <v>207</v>
      </c>
      <c r="F132" s="144" t="s">
        <v>120</v>
      </c>
      <c r="G132" s="144" t="s">
        <v>120</v>
      </c>
      <c r="H132" s="144">
        <v>1</v>
      </c>
    </row>
    <row r="133" spans="1:8" ht="15" x14ac:dyDescent="0.25">
      <c r="A133" s="145" t="s">
        <v>391</v>
      </c>
      <c r="B133" s="144">
        <v>6</v>
      </c>
      <c r="C133" s="144">
        <v>7</v>
      </c>
      <c r="D133" s="144">
        <v>6</v>
      </c>
      <c r="E133" s="144" t="s">
        <v>459</v>
      </c>
      <c r="F133" s="144">
        <v>3</v>
      </c>
      <c r="G133" s="144">
        <v>4</v>
      </c>
      <c r="H133" s="144">
        <v>7</v>
      </c>
    </row>
    <row r="134" spans="1:8" ht="15" x14ac:dyDescent="0.25">
      <c r="A134" s="145" t="s">
        <v>3</v>
      </c>
      <c r="B134" s="144">
        <v>1</v>
      </c>
      <c r="C134" s="144">
        <v>2</v>
      </c>
      <c r="D134" s="144">
        <v>1</v>
      </c>
      <c r="E134" s="144" t="s">
        <v>204</v>
      </c>
      <c r="F134" s="144">
        <v>2</v>
      </c>
      <c r="G134" s="144">
        <v>2</v>
      </c>
      <c r="H134" s="144">
        <v>2</v>
      </c>
    </row>
    <row r="135" spans="1:8" ht="15" x14ac:dyDescent="0.25">
      <c r="A135" s="145" t="s">
        <v>477</v>
      </c>
      <c r="B135" s="144">
        <v>5</v>
      </c>
      <c r="C135" s="144">
        <v>7</v>
      </c>
      <c r="D135" s="144">
        <v>6</v>
      </c>
      <c r="E135" s="144" t="s">
        <v>207</v>
      </c>
      <c r="F135" s="144">
        <v>3</v>
      </c>
      <c r="G135" s="144">
        <v>3</v>
      </c>
      <c r="H135" s="144">
        <v>7</v>
      </c>
    </row>
    <row r="136" spans="1:8" ht="15" x14ac:dyDescent="0.25">
      <c r="A136" s="145" t="s">
        <v>392</v>
      </c>
      <c r="B136" s="144">
        <v>3</v>
      </c>
      <c r="C136" s="144">
        <v>6</v>
      </c>
      <c r="D136" s="144">
        <v>4</v>
      </c>
      <c r="E136" s="144" t="s">
        <v>459</v>
      </c>
      <c r="F136" s="144">
        <v>3</v>
      </c>
      <c r="G136" s="144">
        <v>5</v>
      </c>
      <c r="H136" s="144">
        <v>5</v>
      </c>
    </row>
    <row r="137" spans="1:8" ht="15" x14ac:dyDescent="0.25">
      <c r="A137" s="145" t="s">
        <v>393</v>
      </c>
      <c r="B137" s="144">
        <v>1</v>
      </c>
      <c r="C137" s="144">
        <v>1</v>
      </c>
      <c r="D137" s="144">
        <v>1</v>
      </c>
      <c r="E137" s="144" t="s">
        <v>204</v>
      </c>
      <c r="F137" s="144">
        <v>1</v>
      </c>
      <c r="G137" s="144">
        <v>1</v>
      </c>
      <c r="H137" s="144">
        <v>1</v>
      </c>
    </row>
    <row r="138" spans="1:8" ht="15" x14ac:dyDescent="0.25">
      <c r="A138" s="145" t="s">
        <v>567</v>
      </c>
      <c r="B138" s="144">
        <v>1</v>
      </c>
      <c r="C138" s="144">
        <v>2</v>
      </c>
      <c r="D138" s="144">
        <v>1</v>
      </c>
      <c r="E138" s="144" t="s">
        <v>207</v>
      </c>
      <c r="F138" s="144" t="s">
        <v>120</v>
      </c>
      <c r="G138" s="144" t="s">
        <v>120</v>
      </c>
      <c r="H138" s="144">
        <v>2</v>
      </c>
    </row>
    <row r="139" spans="1:8" ht="15" x14ac:dyDescent="0.25">
      <c r="A139" s="145" t="s">
        <v>568</v>
      </c>
      <c r="B139" s="144">
        <v>2</v>
      </c>
      <c r="C139" s="144">
        <v>5</v>
      </c>
      <c r="D139" s="144">
        <v>3</v>
      </c>
      <c r="E139" s="144" t="s">
        <v>207</v>
      </c>
      <c r="F139" s="144" t="s">
        <v>120</v>
      </c>
      <c r="G139" s="144" t="s">
        <v>120</v>
      </c>
      <c r="H139" s="144">
        <v>5</v>
      </c>
    </row>
    <row r="140" spans="1:8" ht="15" x14ac:dyDescent="0.25">
      <c r="A140" s="145" t="s">
        <v>487</v>
      </c>
      <c r="B140" s="144">
        <v>7</v>
      </c>
      <c r="C140" s="144">
        <v>7</v>
      </c>
      <c r="D140" s="144">
        <v>7</v>
      </c>
      <c r="E140" s="144" t="s">
        <v>459</v>
      </c>
      <c r="F140" s="144" t="s">
        <v>120</v>
      </c>
      <c r="G140" s="144" t="s">
        <v>120</v>
      </c>
      <c r="H140" s="144">
        <v>7</v>
      </c>
    </row>
    <row r="141" spans="1:8" ht="15" x14ac:dyDescent="0.25">
      <c r="A141" s="145" t="s">
        <v>569</v>
      </c>
      <c r="B141" s="144">
        <v>1</v>
      </c>
      <c r="C141" s="144">
        <v>2</v>
      </c>
      <c r="D141" s="144">
        <v>1</v>
      </c>
      <c r="E141" s="144" t="s">
        <v>207</v>
      </c>
      <c r="F141" s="144">
        <v>1</v>
      </c>
      <c r="G141" s="144" t="s">
        <v>120</v>
      </c>
      <c r="H141" s="144">
        <v>2</v>
      </c>
    </row>
    <row r="142" spans="1:8" ht="15" x14ac:dyDescent="0.25">
      <c r="A142" s="145" t="s">
        <v>394</v>
      </c>
      <c r="B142" s="144">
        <v>5</v>
      </c>
      <c r="C142" s="144">
        <v>7</v>
      </c>
      <c r="D142" s="144">
        <v>5</v>
      </c>
      <c r="E142" s="144" t="s">
        <v>459</v>
      </c>
      <c r="F142" s="144">
        <v>4</v>
      </c>
      <c r="G142" s="144">
        <v>4</v>
      </c>
      <c r="H142" s="144">
        <v>6</v>
      </c>
    </row>
    <row r="143" spans="1:8" ht="15" x14ac:dyDescent="0.25">
      <c r="A143" s="145" t="s">
        <v>395</v>
      </c>
      <c r="B143" s="144">
        <v>4</v>
      </c>
      <c r="C143" s="144">
        <v>3</v>
      </c>
      <c r="D143" s="144">
        <v>4</v>
      </c>
      <c r="E143" s="144" t="s">
        <v>207</v>
      </c>
      <c r="F143" s="144">
        <v>1</v>
      </c>
      <c r="G143" s="144">
        <v>3</v>
      </c>
      <c r="H143" s="144">
        <v>3</v>
      </c>
    </row>
    <row r="144" spans="1:8" ht="15" x14ac:dyDescent="0.25">
      <c r="A144" s="145" t="s">
        <v>570</v>
      </c>
      <c r="B144" s="144">
        <v>1</v>
      </c>
      <c r="C144" s="144">
        <v>4</v>
      </c>
      <c r="D144" s="144">
        <v>2</v>
      </c>
      <c r="E144" s="144" t="s">
        <v>207</v>
      </c>
      <c r="F144" s="144">
        <v>3</v>
      </c>
      <c r="G144" s="144">
        <v>2</v>
      </c>
      <c r="H144" s="144">
        <v>4</v>
      </c>
    </row>
    <row r="145" spans="1:8" ht="15" x14ac:dyDescent="0.25">
      <c r="A145" s="145" t="s">
        <v>11</v>
      </c>
      <c r="B145" s="144">
        <v>1</v>
      </c>
      <c r="C145" s="144">
        <v>3</v>
      </c>
      <c r="D145" s="144">
        <v>2</v>
      </c>
      <c r="E145" s="144" t="s">
        <v>459</v>
      </c>
      <c r="F145" s="144">
        <v>2</v>
      </c>
      <c r="G145" s="144">
        <v>2</v>
      </c>
      <c r="H145" s="144">
        <v>3</v>
      </c>
    </row>
    <row r="146" spans="1:8" ht="15" x14ac:dyDescent="0.25">
      <c r="A146" s="145" t="s">
        <v>571</v>
      </c>
      <c r="B146" s="144">
        <v>5</v>
      </c>
      <c r="C146" s="144">
        <v>6</v>
      </c>
      <c r="D146" s="144">
        <v>5</v>
      </c>
      <c r="E146" s="144" t="s">
        <v>459</v>
      </c>
      <c r="F146" s="144">
        <v>2</v>
      </c>
      <c r="G146" s="144" t="s">
        <v>120</v>
      </c>
      <c r="H146" s="144">
        <v>6</v>
      </c>
    </row>
    <row r="147" spans="1:8" ht="15" x14ac:dyDescent="0.25">
      <c r="A147" s="145" t="s">
        <v>431</v>
      </c>
      <c r="B147" s="144">
        <v>4</v>
      </c>
      <c r="C147" s="144">
        <v>7</v>
      </c>
      <c r="D147" s="144">
        <v>5</v>
      </c>
      <c r="E147" s="144" t="s">
        <v>459</v>
      </c>
      <c r="F147" s="144">
        <v>3</v>
      </c>
      <c r="G147" s="144">
        <v>3</v>
      </c>
      <c r="H147" s="144">
        <v>6</v>
      </c>
    </row>
    <row r="148" spans="1:8" ht="15" x14ac:dyDescent="0.25">
      <c r="A148" s="145" t="s">
        <v>572</v>
      </c>
      <c r="B148" s="144">
        <v>1</v>
      </c>
      <c r="C148" s="144">
        <v>1</v>
      </c>
      <c r="D148" s="144">
        <v>1</v>
      </c>
      <c r="E148" s="144" t="s">
        <v>207</v>
      </c>
      <c r="F148" s="144" t="s">
        <v>120</v>
      </c>
      <c r="G148" s="144" t="s">
        <v>120</v>
      </c>
      <c r="H148" s="144">
        <v>1</v>
      </c>
    </row>
    <row r="149" spans="1:8" ht="15" x14ac:dyDescent="0.25">
      <c r="A149" s="145" t="s">
        <v>396</v>
      </c>
      <c r="B149" s="144">
        <v>2</v>
      </c>
      <c r="C149" s="144">
        <v>5</v>
      </c>
      <c r="D149" s="144">
        <v>3</v>
      </c>
      <c r="E149" s="144" t="s">
        <v>459</v>
      </c>
      <c r="F149" s="144">
        <v>2</v>
      </c>
      <c r="G149" s="144">
        <v>4</v>
      </c>
      <c r="H149" s="144">
        <v>5</v>
      </c>
    </row>
    <row r="150" spans="1:8" ht="15" x14ac:dyDescent="0.25">
      <c r="A150" s="145" t="s">
        <v>397</v>
      </c>
      <c r="B150" s="144">
        <v>5</v>
      </c>
      <c r="C150" s="144">
        <v>6</v>
      </c>
      <c r="D150" s="144">
        <v>5</v>
      </c>
      <c r="E150" s="144" t="s">
        <v>459</v>
      </c>
      <c r="F150" s="144">
        <v>2</v>
      </c>
      <c r="G150" s="144">
        <v>3</v>
      </c>
      <c r="H150" s="144">
        <v>5</v>
      </c>
    </row>
    <row r="151" spans="1:8" ht="15" x14ac:dyDescent="0.25">
      <c r="A151" s="145" t="s">
        <v>573</v>
      </c>
      <c r="B151" s="144">
        <v>4</v>
      </c>
      <c r="C151" s="144">
        <v>7</v>
      </c>
      <c r="D151" s="144">
        <v>5</v>
      </c>
      <c r="E151" s="144" t="s">
        <v>207</v>
      </c>
      <c r="F151" s="144" t="s">
        <v>120</v>
      </c>
      <c r="G151" s="144" t="s">
        <v>120</v>
      </c>
      <c r="H151" s="144">
        <v>7</v>
      </c>
    </row>
    <row r="152" spans="1:8" ht="15" x14ac:dyDescent="0.25">
      <c r="A152" s="145" t="s">
        <v>398</v>
      </c>
      <c r="B152" s="144">
        <v>2</v>
      </c>
      <c r="C152" s="144">
        <v>3</v>
      </c>
      <c r="D152" s="144">
        <v>2</v>
      </c>
      <c r="E152" s="144" t="s">
        <v>207</v>
      </c>
      <c r="F152" s="144">
        <v>3</v>
      </c>
      <c r="G152" s="144">
        <v>3</v>
      </c>
      <c r="H152" s="144">
        <v>3</v>
      </c>
    </row>
    <row r="153" spans="1:8" ht="15" x14ac:dyDescent="0.25">
      <c r="A153" s="145" t="s">
        <v>399</v>
      </c>
      <c r="B153" s="144">
        <v>3</v>
      </c>
      <c r="C153" s="144">
        <v>6</v>
      </c>
      <c r="D153" s="144">
        <v>4</v>
      </c>
      <c r="E153" s="144" t="s">
        <v>459</v>
      </c>
      <c r="F153" s="144">
        <v>2</v>
      </c>
      <c r="G153" s="144">
        <v>3</v>
      </c>
      <c r="H153" s="144">
        <v>6</v>
      </c>
    </row>
    <row r="154" spans="1:8" ht="15" x14ac:dyDescent="0.25">
      <c r="A154" s="145" t="s">
        <v>574</v>
      </c>
      <c r="B154" s="144">
        <v>6</v>
      </c>
      <c r="C154" s="144">
        <v>7</v>
      </c>
      <c r="D154" s="144">
        <v>6</v>
      </c>
      <c r="E154" s="144" t="s">
        <v>459</v>
      </c>
      <c r="F154" s="144">
        <v>6</v>
      </c>
      <c r="G154" s="144">
        <v>6</v>
      </c>
      <c r="H154" s="144">
        <v>7</v>
      </c>
    </row>
    <row r="155" spans="1:8" ht="15" x14ac:dyDescent="0.25">
      <c r="A155" s="145" t="s">
        <v>400</v>
      </c>
      <c r="B155" s="144">
        <v>2</v>
      </c>
      <c r="C155" s="144">
        <v>3</v>
      </c>
      <c r="D155" s="144">
        <v>2</v>
      </c>
      <c r="E155" s="144" t="s">
        <v>207</v>
      </c>
      <c r="F155" s="144">
        <v>1</v>
      </c>
      <c r="G155" s="144">
        <v>3</v>
      </c>
      <c r="H155" s="144">
        <v>3</v>
      </c>
    </row>
    <row r="156" spans="1:8" ht="15" x14ac:dyDescent="0.25">
      <c r="A156" s="145" t="s">
        <v>575</v>
      </c>
      <c r="B156" s="144">
        <v>5</v>
      </c>
      <c r="C156" s="144">
        <v>5</v>
      </c>
      <c r="D156" s="144">
        <v>5</v>
      </c>
      <c r="E156" s="144" t="s">
        <v>207</v>
      </c>
      <c r="F156" s="144" t="s">
        <v>120</v>
      </c>
      <c r="G156" s="144" t="s">
        <v>120</v>
      </c>
      <c r="H156" s="144">
        <v>5</v>
      </c>
    </row>
    <row r="157" spans="1:8" ht="15" x14ac:dyDescent="0.25">
      <c r="A157" s="145" t="s">
        <v>401</v>
      </c>
      <c r="B157" s="144">
        <v>3</v>
      </c>
      <c r="C157" s="144">
        <v>7</v>
      </c>
      <c r="D157" s="144">
        <v>4</v>
      </c>
      <c r="E157" s="144" t="s">
        <v>459</v>
      </c>
      <c r="F157" s="144">
        <v>5</v>
      </c>
      <c r="G157" s="144">
        <v>5</v>
      </c>
      <c r="H157" s="144">
        <v>6</v>
      </c>
    </row>
    <row r="158" spans="1:8" ht="15" x14ac:dyDescent="0.25">
      <c r="A158" s="145" t="s">
        <v>46</v>
      </c>
      <c r="B158" s="144">
        <v>1</v>
      </c>
      <c r="C158" s="144">
        <v>1</v>
      </c>
      <c r="D158" s="144">
        <v>1</v>
      </c>
      <c r="E158" s="144" t="s">
        <v>207</v>
      </c>
      <c r="F158" s="144">
        <v>1</v>
      </c>
      <c r="G158" s="144">
        <v>1</v>
      </c>
      <c r="H158" s="144">
        <v>1</v>
      </c>
    </row>
    <row r="159" spans="1:8" ht="15" x14ac:dyDescent="0.25">
      <c r="A159" s="145" t="s">
        <v>576</v>
      </c>
      <c r="B159" s="144">
        <v>2</v>
      </c>
      <c r="C159" s="144">
        <v>5</v>
      </c>
      <c r="D159" s="144">
        <v>2</v>
      </c>
      <c r="E159" s="144" t="s">
        <v>207</v>
      </c>
      <c r="F159" s="144">
        <v>2</v>
      </c>
      <c r="G159" s="144" t="s">
        <v>120</v>
      </c>
      <c r="H159" s="144">
        <v>3</v>
      </c>
    </row>
    <row r="160" spans="1:8" ht="15" x14ac:dyDescent="0.25">
      <c r="A160" s="145" t="s">
        <v>577</v>
      </c>
      <c r="B160" s="144">
        <v>2</v>
      </c>
      <c r="C160" s="144">
        <v>4</v>
      </c>
      <c r="D160" s="144">
        <v>3</v>
      </c>
      <c r="E160" s="144" t="s">
        <v>207</v>
      </c>
      <c r="F160" s="144">
        <v>2</v>
      </c>
      <c r="G160" s="144">
        <v>2</v>
      </c>
      <c r="H160" s="144">
        <v>4</v>
      </c>
    </row>
    <row r="161" spans="1:8" ht="15" x14ac:dyDescent="0.25">
      <c r="A161" s="145" t="s">
        <v>59</v>
      </c>
      <c r="B161" s="144">
        <v>1</v>
      </c>
      <c r="C161" s="144">
        <v>1</v>
      </c>
      <c r="D161" s="144">
        <v>1</v>
      </c>
      <c r="E161" s="144" t="s">
        <v>204</v>
      </c>
      <c r="F161" s="144">
        <v>1</v>
      </c>
      <c r="G161" s="144">
        <v>1</v>
      </c>
      <c r="H161" s="144">
        <v>1</v>
      </c>
    </row>
    <row r="162" spans="1:8" ht="15" x14ac:dyDescent="0.25">
      <c r="A162" s="145" t="s">
        <v>402</v>
      </c>
      <c r="B162" s="144">
        <v>4</v>
      </c>
      <c r="C162" s="144">
        <v>7</v>
      </c>
      <c r="D162" s="144">
        <v>5</v>
      </c>
      <c r="E162" s="144" t="s">
        <v>459</v>
      </c>
      <c r="F162" s="144">
        <v>4</v>
      </c>
      <c r="G162" s="144">
        <v>4</v>
      </c>
      <c r="H162" s="144">
        <v>6</v>
      </c>
    </row>
    <row r="163" spans="1:8" ht="15" x14ac:dyDescent="0.25">
      <c r="A163" s="145" t="s">
        <v>505</v>
      </c>
      <c r="B163" s="144">
        <v>4</v>
      </c>
      <c r="C163" s="144">
        <v>7</v>
      </c>
      <c r="D163" s="144">
        <v>5</v>
      </c>
      <c r="E163" s="144" t="s">
        <v>459</v>
      </c>
      <c r="F163" s="144">
        <v>4</v>
      </c>
      <c r="G163" s="144">
        <v>5</v>
      </c>
      <c r="H163" s="144">
        <v>6</v>
      </c>
    </row>
    <row r="164" spans="1:8" ht="15" x14ac:dyDescent="0.25">
      <c r="A164" s="145" t="s">
        <v>62</v>
      </c>
      <c r="B164" s="144">
        <v>3</v>
      </c>
      <c r="C164" s="144">
        <v>5</v>
      </c>
      <c r="D164" s="144">
        <v>4</v>
      </c>
      <c r="E164" s="144" t="s">
        <v>459</v>
      </c>
      <c r="F164" s="144">
        <v>5</v>
      </c>
      <c r="G164" s="144">
        <v>6</v>
      </c>
      <c r="H164" s="144">
        <v>5</v>
      </c>
    </row>
    <row r="165" spans="1:8" ht="15" x14ac:dyDescent="0.25">
      <c r="A165" s="145" t="s">
        <v>578</v>
      </c>
      <c r="B165" s="144">
        <v>2</v>
      </c>
      <c r="C165" s="144">
        <v>5</v>
      </c>
      <c r="D165" s="144">
        <v>3</v>
      </c>
      <c r="E165" s="144" t="s">
        <v>207</v>
      </c>
      <c r="F165" s="144" t="s">
        <v>120</v>
      </c>
      <c r="G165" s="144" t="s">
        <v>120</v>
      </c>
      <c r="H165" s="144">
        <v>5</v>
      </c>
    </row>
    <row r="166" spans="1:8" ht="15" x14ac:dyDescent="0.25">
      <c r="A166" s="145" t="s">
        <v>579</v>
      </c>
      <c r="B166" s="144">
        <v>2</v>
      </c>
      <c r="C166" s="144">
        <v>3</v>
      </c>
      <c r="D166" s="144">
        <v>2</v>
      </c>
      <c r="E166" s="144" t="s">
        <v>207</v>
      </c>
      <c r="F166" s="144" t="s">
        <v>120</v>
      </c>
      <c r="G166" s="144" t="s">
        <v>120</v>
      </c>
      <c r="H166" s="144">
        <v>3</v>
      </c>
    </row>
    <row r="167" spans="1:8" ht="15" x14ac:dyDescent="0.25">
      <c r="A167" s="145" t="s">
        <v>63</v>
      </c>
      <c r="B167" s="144">
        <v>1</v>
      </c>
      <c r="C167" s="144">
        <v>1</v>
      </c>
      <c r="D167" s="144">
        <v>1</v>
      </c>
      <c r="E167" s="144" t="s">
        <v>207</v>
      </c>
      <c r="F167" s="144">
        <v>1</v>
      </c>
      <c r="G167" s="144">
        <v>1</v>
      </c>
      <c r="H167" s="144">
        <v>1</v>
      </c>
    </row>
    <row r="168" spans="1:8" ht="15" x14ac:dyDescent="0.25">
      <c r="A168" s="145" t="s">
        <v>403</v>
      </c>
      <c r="B168" s="144">
        <v>2</v>
      </c>
      <c r="C168" s="144">
        <v>2</v>
      </c>
      <c r="D168" s="144">
        <v>2</v>
      </c>
      <c r="E168" s="144" t="s">
        <v>207</v>
      </c>
      <c r="F168" s="144">
        <v>3</v>
      </c>
      <c r="G168" s="144">
        <v>3</v>
      </c>
      <c r="H168" s="144">
        <v>2</v>
      </c>
    </row>
    <row r="169" spans="1:8" ht="15" x14ac:dyDescent="0.25">
      <c r="A169" s="145" t="s">
        <v>70</v>
      </c>
      <c r="B169" s="144">
        <v>4</v>
      </c>
      <c r="C169" s="144">
        <v>7</v>
      </c>
      <c r="D169" s="144">
        <v>5</v>
      </c>
      <c r="E169" s="144" t="s">
        <v>459</v>
      </c>
      <c r="F169" s="144">
        <v>6</v>
      </c>
      <c r="G169" s="144">
        <v>5</v>
      </c>
      <c r="H169" s="144">
        <v>6</v>
      </c>
    </row>
    <row r="170" spans="1:8" ht="15" x14ac:dyDescent="0.25">
      <c r="A170" s="145" t="s">
        <v>489</v>
      </c>
      <c r="B170" s="144">
        <v>5</v>
      </c>
      <c r="C170" s="144">
        <v>4</v>
      </c>
      <c r="D170" s="144">
        <v>5</v>
      </c>
      <c r="E170" s="144" t="s">
        <v>207</v>
      </c>
      <c r="F170" s="144" t="s">
        <v>120</v>
      </c>
      <c r="G170" s="144" t="s">
        <v>120</v>
      </c>
      <c r="H170" s="144">
        <v>4</v>
      </c>
    </row>
    <row r="171" spans="1:8" ht="15" x14ac:dyDescent="0.25">
      <c r="A171" s="145" t="s">
        <v>580</v>
      </c>
      <c r="B171" s="144">
        <v>7</v>
      </c>
      <c r="C171" s="144">
        <v>7</v>
      </c>
      <c r="D171" s="144">
        <v>7</v>
      </c>
      <c r="E171" s="144" t="s">
        <v>459</v>
      </c>
      <c r="F171" s="144">
        <v>7</v>
      </c>
      <c r="G171" s="144">
        <v>7</v>
      </c>
      <c r="H171" s="144">
        <v>7</v>
      </c>
    </row>
    <row r="172" spans="1:8" ht="15" x14ac:dyDescent="0.25">
      <c r="A172" s="145" t="s">
        <v>71</v>
      </c>
      <c r="B172" s="144">
        <v>2</v>
      </c>
      <c r="C172" s="144">
        <v>3</v>
      </c>
      <c r="D172" s="144">
        <v>2</v>
      </c>
      <c r="E172" s="144" t="s">
        <v>207</v>
      </c>
      <c r="F172" s="144">
        <v>1</v>
      </c>
      <c r="G172" s="144">
        <v>2</v>
      </c>
      <c r="H172" s="144">
        <v>3</v>
      </c>
    </row>
    <row r="173" spans="1:8" ht="15" x14ac:dyDescent="0.25">
      <c r="A173" s="145" t="s">
        <v>485</v>
      </c>
      <c r="B173" s="144">
        <v>2</v>
      </c>
      <c r="C173" s="144">
        <v>5</v>
      </c>
      <c r="D173" s="144">
        <v>3</v>
      </c>
      <c r="E173" s="144" t="s">
        <v>207</v>
      </c>
      <c r="F173" s="144">
        <v>3</v>
      </c>
      <c r="G173" s="144">
        <v>3</v>
      </c>
      <c r="H173" s="144">
        <v>4</v>
      </c>
    </row>
    <row r="174" spans="1:8" ht="15" x14ac:dyDescent="0.25">
      <c r="A174" s="145" t="s">
        <v>404</v>
      </c>
      <c r="B174" s="144">
        <v>3</v>
      </c>
      <c r="C174" s="144">
        <v>5</v>
      </c>
      <c r="D174" s="144">
        <v>4</v>
      </c>
      <c r="E174" s="144" t="s">
        <v>459</v>
      </c>
      <c r="F174" s="144">
        <v>4</v>
      </c>
      <c r="G174" s="144">
        <v>4</v>
      </c>
      <c r="H174" s="144">
        <v>5</v>
      </c>
    </row>
    <row r="175" spans="1:8" ht="15" x14ac:dyDescent="0.25">
      <c r="A175" s="145" t="s">
        <v>47</v>
      </c>
      <c r="B175" s="144">
        <v>1</v>
      </c>
      <c r="C175" s="144">
        <v>3</v>
      </c>
      <c r="D175" s="144">
        <v>2</v>
      </c>
      <c r="E175" s="144" t="s">
        <v>207</v>
      </c>
      <c r="F175" s="144">
        <v>3</v>
      </c>
      <c r="G175" s="144">
        <v>3</v>
      </c>
      <c r="H175" s="144">
        <v>3</v>
      </c>
    </row>
    <row r="176" spans="1:8" ht="15" x14ac:dyDescent="0.25">
      <c r="A176" s="145" t="s">
        <v>4</v>
      </c>
      <c r="B176" s="144">
        <v>1</v>
      </c>
      <c r="C176" s="144">
        <v>4</v>
      </c>
      <c r="D176" s="144">
        <v>2</v>
      </c>
      <c r="E176" s="144" t="s">
        <v>207</v>
      </c>
      <c r="F176" s="144">
        <v>3</v>
      </c>
      <c r="G176" s="144">
        <v>3</v>
      </c>
      <c r="H176" s="144">
        <v>4</v>
      </c>
    </row>
    <row r="177" spans="1:8" ht="15" x14ac:dyDescent="0.25">
      <c r="A177" s="145" t="s">
        <v>581</v>
      </c>
      <c r="B177" s="144">
        <v>2</v>
      </c>
      <c r="C177" s="144">
        <v>3</v>
      </c>
      <c r="D177" s="144">
        <v>2</v>
      </c>
      <c r="E177" s="144" t="s">
        <v>207</v>
      </c>
      <c r="F177" s="144" t="s">
        <v>120</v>
      </c>
      <c r="G177" s="144" t="s">
        <v>120</v>
      </c>
      <c r="H177" s="144">
        <v>3</v>
      </c>
    </row>
    <row r="178" spans="1:8" ht="15" x14ac:dyDescent="0.25">
      <c r="A178" s="145" t="s">
        <v>48</v>
      </c>
      <c r="B178" s="144">
        <v>1</v>
      </c>
      <c r="C178" s="144">
        <v>2</v>
      </c>
      <c r="D178" s="144">
        <v>1</v>
      </c>
      <c r="E178" s="144" t="s">
        <v>204</v>
      </c>
      <c r="F178" s="144">
        <v>1</v>
      </c>
      <c r="G178" s="144">
        <v>1</v>
      </c>
      <c r="H178" s="144">
        <v>2</v>
      </c>
    </row>
    <row r="179" spans="1:8" ht="15" x14ac:dyDescent="0.25">
      <c r="A179" s="145" t="s">
        <v>405</v>
      </c>
      <c r="B179" s="144">
        <v>1</v>
      </c>
      <c r="C179" s="144">
        <v>1</v>
      </c>
      <c r="D179" s="144">
        <v>1</v>
      </c>
      <c r="E179" s="144" t="s">
        <v>207</v>
      </c>
      <c r="F179" s="144">
        <v>1</v>
      </c>
      <c r="G179" s="144">
        <v>1</v>
      </c>
      <c r="H179" s="144">
        <v>1</v>
      </c>
    </row>
    <row r="180" spans="1:8" ht="15" x14ac:dyDescent="0.25">
      <c r="A180" s="145" t="s">
        <v>582</v>
      </c>
      <c r="B180" s="144">
        <v>2</v>
      </c>
      <c r="C180" s="144">
        <v>2</v>
      </c>
      <c r="D180" s="144">
        <v>2</v>
      </c>
      <c r="E180" s="144" t="s">
        <v>207</v>
      </c>
      <c r="F180" s="144">
        <v>2</v>
      </c>
      <c r="G180" s="144" t="s">
        <v>120</v>
      </c>
      <c r="H180" s="144">
        <v>2</v>
      </c>
    </row>
    <row r="181" spans="1:8" ht="15" x14ac:dyDescent="0.25">
      <c r="A181" s="145" t="s">
        <v>407</v>
      </c>
      <c r="B181" s="144">
        <v>1</v>
      </c>
      <c r="C181" s="144">
        <v>2</v>
      </c>
      <c r="D181" s="144">
        <v>1</v>
      </c>
      <c r="E181" s="144" t="s">
        <v>204</v>
      </c>
      <c r="F181" s="144">
        <v>2</v>
      </c>
      <c r="G181" s="144">
        <v>3</v>
      </c>
      <c r="H181" s="144">
        <v>2</v>
      </c>
    </row>
    <row r="182" spans="1:8" ht="15" x14ac:dyDescent="0.25">
      <c r="A182" s="145" t="s">
        <v>583</v>
      </c>
      <c r="B182" s="144">
        <v>1</v>
      </c>
      <c r="C182" s="144">
        <v>2</v>
      </c>
      <c r="D182" s="144">
        <v>1</v>
      </c>
      <c r="E182" s="144" t="s">
        <v>207</v>
      </c>
      <c r="F182" s="144">
        <v>1</v>
      </c>
      <c r="G182" s="144" t="s">
        <v>120</v>
      </c>
      <c r="H182" s="144">
        <v>2</v>
      </c>
    </row>
    <row r="183" spans="1:8" ht="15" x14ac:dyDescent="0.25">
      <c r="A183" s="145" t="s">
        <v>73</v>
      </c>
      <c r="B183" s="144">
        <v>1</v>
      </c>
      <c r="C183" s="144">
        <v>4</v>
      </c>
      <c r="D183" s="144">
        <v>2</v>
      </c>
      <c r="E183" s="144" t="s">
        <v>459</v>
      </c>
      <c r="F183" s="144">
        <v>1</v>
      </c>
      <c r="G183" s="144">
        <v>1</v>
      </c>
      <c r="H183" s="144">
        <v>3</v>
      </c>
    </row>
    <row r="184" spans="1:8" ht="15" x14ac:dyDescent="0.25">
      <c r="A184" s="145" t="s">
        <v>13</v>
      </c>
      <c r="B184" s="144">
        <v>2</v>
      </c>
      <c r="C184" s="144">
        <v>3</v>
      </c>
      <c r="D184" s="144">
        <v>2</v>
      </c>
      <c r="E184" s="144" t="s">
        <v>459</v>
      </c>
      <c r="F184" s="144">
        <v>3</v>
      </c>
      <c r="G184" s="144">
        <v>4</v>
      </c>
      <c r="H184" s="144">
        <v>3</v>
      </c>
    </row>
    <row r="185" spans="1:8" ht="15" x14ac:dyDescent="0.25">
      <c r="A185" s="145" t="s">
        <v>430</v>
      </c>
      <c r="B185" s="144">
        <v>4</v>
      </c>
      <c r="C185" s="144">
        <v>7</v>
      </c>
      <c r="D185" s="144">
        <v>5</v>
      </c>
      <c r="E185" s="144" t="s">
        <v>459</v>
      </c>
      <c r="F185" s="144">
        <v>5</v>
      </c>
      <c r="G185" s="144">
        <v>5</v>
      </c>
      <c r="H185" s="144">
        <v>6</v>
      </c>
    </row>
    <row r="186" spans="1:8" ht="15" x14ac:dyDescent="0.25">
      <c r="A186" s="145" t="s">
        <v>584</v>
      </c>
      <c r="B186" s="144">
        <v>2</v>
      </c>
      <c r="C186" s="144">
        <v>2</v>
      </c>
      <c r="D186" s="144">
        <v>2</v>
      </c>
      <c r="E186" s="144" t="s">
        <v>207</v>
      </c>
      <c r="F186" s="144">
        <v>1</v>
      </c>
      <c r="G186" s="144" t="s">
        <v>120</v>
      </c>
      <c r="H186" s="144">
        <v>2</v>
      </c>
    </row>
    <row r="187" spans="1:8" ht="15" x14ac:dyDescent="0.25">
      <c r="A187" s="145" t="s">
        <v>585</v>
      </c>
      <c r="B187" s="144">
        <v>3</v>
      </c>
      <c r="C187" s="144">
        <v>5</v>
      </c>
      <c r="D187" s="144">
        <v>4</v>
      </c>
      <c r="E187" s="144" t="s">
        <v>207</v>
      </c>
      <c r="F187" s="144">
        <v>2</v>
      </c>
      <c r="G187" s="144" t="s">
        <v>120</v>
      </c>
      <c r="H187" s="144">
        <v>5</v>
      </c>
    </row>
    <row r="188" spans="1:8" ht="15" x14ac:dyDescent="0.25">
      <c r="A188" s="145" t="s">
        <v>586</v>
      </c>
      <c r="B188" s="144">
        <v>1</v>
      </c>
      <c r="C188" s="144">
        <v>1</v>
      </c>
      <c r="D188" s="144">
        <v>1</v>
      </c>
      <c r="E188" s="144" t="s">
        <v>459</v>
      </c>
      <c r="F188" s="144" t="s">
        <v>120</v>
      </c>
      <c r="G188" s="144" t="s">
        <v>120</v>
      </c>
      <c r="H188" s="144">
        <v>1</v>
      </c>
    </row>
    <row r="189" spans="1:8" ht="15" x14ac:dyDescent="0.25">
      <c r="A189" s="145" t="s">
        <v>587</v>
      </c>
      <c r="B189" s="144">
        <v>7</v>
      </c>
      <c r="C189" s="144">
        <v>7</v>
      </c>
      <c r="D189" s="144">
        <v>7</v>
      </c>
      <c r="E189" s="144" t="s">
        <v>459</v>
      </c>
      <c r="F189" s="144">
        <v>3</v>
      </c>
      <c r="G189" s="144">
        <v>4</v>
      </c>
      <c r="H189" s="144">
        <v>7</v>
      </c>
    </row>
    <row r="190" spans="1:8" ht="15" x14ac:dyDescent="0.25">
      <c r="A190" s="145" t="s">
        <v>84</v>
      </c>
      <c r="B190" s="144">
        <v>2</v>
      </c>
      <c r="C190" s="144">
        <v>2</v>
      </c>
      <c r="D190" s="144">
        <v>2</v>
      </c>
      <c r="E190" s="144" t="s">
        <v>207</v>
      </c>
      <c r="F190" s="144">
        <v>3</v>
      </c>
      <c r="G190" s="144">
        <v>2</v>
      </c>
      <c r="H190" s="144">
        <v>2</v>
      </c>
    </row>
    <row r="191" spans="1:8" ht="15" x14ac:dyDescent="0.25">
      <c r="A191" s="145" t="s">
        <v>307</v>
      </c>
      <c r="B191" s="144">
        <v>2</v>
      </c>
      <c r="C191" s="144">
        <v>6</v>
      </c>
      <c r="D191" s="144">
        <v>3</v>
      </c>
      <c r="E191" s="144" t="s">
        <v>459</v>
      </c>
      <c r="F191" s="144">
        <v>4</v>
      </c>
      <c r="G191" s="144">
        <v>4</v>
      </c>
      <c r="H191" s="144">
        <v>5</v>
      </c>
    </row>
    <row r="192" spans="1:8" ht="15" x14ac:dyDescent="0.25">
      <c r="A192" s="145" t="s">
        <v>284</v>
      </c>
      <c r="B192" s="144">
        <v>3</v>
      </c>
      <c r="C192" s="144">
        <v>6</v>
      </c>
      <c r="D192" s="144">
        <v>4</v>
      </c>
      <c r="E192" s="144" t="s">
        <v>459</v>
      </c>
      <c r="F192" s="144">
        <v>3</v>
      </c>
      <c r="G192" s="144">
        <v>4</v>
      </c>
      <c r="H192" s="144">
        <v>6</v>
      </c>
    </row>
    <row r="193" spans="1:8" ht="15" x14ac:dyDescent="0.25">
      <c r="A193" s="145" t="s">
        <v>482</v>
      </c>
      <c r="B193" s="144">
        <v>6</v>
      </c>
      <c r="C193" s="144">
        <v>7</v>
      </c>
      <c r="D193" s="144">
        <v>6</v>
      </c>
      <c r="E193" s="144" t="s">
        <v>459</v>
      </c>
      <c r="F193" s="144">
        <v>2</v>
      </c>
      <c r="G193" s="144" t="s">
        <v>120</v>
      </c>
      <c r="H193" s="144">
        <v>7</v>
      </c>
    </row>
    <row r="194" spans="1:8" ht="15" x14ac:dyDescent="0.25">
      <c r="A194" s="145" t="s">
        <v>493</v>
      </c>
      <c r="B194" s="144">
        <v>4</v>
      </c>
      <c r="C194" s="144">
        <v>7</v>
      </c>
      <c r="D194" s="144">
        <v>5</v>
      </c>
      <c r="E194" s="144" t="s">
        <v>459</v>
      </c>
      <c r="F194" s="144">
        <v>3</v>
      </c>
      <c r="G194" s="144">
        <v>5</v>
      </c>
      <c r="H194" s="144">
        <v>6</v>
      </c>
    </row>
    <row r="195" spans="1:8" ht="15" x14ac:dyDescent="0.25">
      <c r="A195" s="145" t="s">
        <v>5</v>
      </c>
      <c r="B195" s="144">
        <v>1</v>
      </c>
      <c r="C195" s="144">
        <v>1</v>
      </c>
      <c r="D195" s="144">
        <v>1</v>
      </c>
      <c r="E195" s="144" t="s">
        <v>204</v>
      </c>
      <c r="F195" s="144">
        <v>1</v>
      </c>
      <c r="G195" s="144">
        <v>1</v>
      </c>
      <c r="H195" s="144">
        <v>1</v>
      </c>
    </row>
    <row r="196" spans="1:8" ht="15" x14ac:dyDescent="0.25">
      <c r="A196" s="145" t="s">
        <v>74</v>
      </c>
      <c r="B196" s="144">
        <v>1</v>
      </c>
      <c r="C196" s="144">
        <v>1</v>
      </c>
      <c r="D196" s="144">
        <v>1</v>
      </c>
      <c r="E196" s="144" t="s">
        <v>459</v>
      </c>
      <c r="F196" s="144">
        <v>1</v>
      </c>
      <c r="G196" s="144">
        <v>1</v>
      </c>
      <c r="H196" s="144">
        <v>1</v>
      </c>
    </row>
    <row r="197" spans="1:8" ht="15" x14ac:dyDescent="0.25">
      <c r="A197" s="145" t="s">
        <v>409</v>
      </c>
      <c r="B197" s="144">
        <v>1</v>
      </c>
      <c r="C197" s="144">
        <v>1</v>
      </c>
      <c r="D197" s="144">
        <v>1</v>
      </c>
      <c r="E197" s="144" t="s">
        <v>207</v>
      </c>
      <c r="F197" s="144">
        <v>1</v>
      </c>
      <c r="G197" s="144">
        <v>1</v>
      </c>
      <c r="H197" s="144">
        <v>1</v>
      </c>
    </row>
    <row r="198" spans="1:8" ht="15" x14ac:dyDescent="0.25">
      <c r="A198" s="145" t="s">
        <v>483</v>
      </c>
      <c r="B198" s="144">
        <v>3</v>
      </c>
      <c r="C198" s="144">
        <v>5</v>
      </c>
      <c r="D198" s="144">
        <v>4</v>
      </c>
      <c r="E198" s="144" t="s">
        <v>459</v>
      </c>
      <c r="F198" s="144">
        <v>4</v>
      </c>
      <c r="G198" s="144" t="s">
        <v>120</v>
      </c>
      <c r="H198" s="144">
        <v>5</v>
      </c>
    </row>
    <row r="199" spans="1:8" ht="15" x14ac:dyDescent="0.25">
      <c r="A199" s="145" t="s">
        <v>588</v>
      </c>
      <c r="B199" s="144">
        <v>7</v>
      </c>
      <c r="C199" s="144">
        <v>7</v>
      </c>
      <c r="D199" s="144">
        <v>7</v>
      </c>
      <c r="E199" s="144" t="s">
        <v>459</v>
      </c>
      <c r="F199" s="144">
        <v>7</v>
      </c>
      <c r="G199" s="144">
        <v>7</v>
      </c>
      <c r="H199" s="144">
        <v>7</v>
      </c>
    </row>
    <row r="200" spans="1:8" ht="15" x14ac:dyDescent="0.25">
      <c r="A200" s="145" t="s">
        <v>23</v>
      </c>
      <c r="B200" s="144">
        <v>3</v>
      </c>
      <c r="C200" s="144">
        <v>3</v>
      </c>
      <c r="D200" s="144">
        <v>3</v>
      </c>
      <c r="E200" s="144" t="s">
        <v>207</v>
      </c>
      <c r="F200" s="144">
        <v>2</v>
      </c>
      <c r="G200" s="144">
        <v>3</v>
      </c>
      <c r="H200" s="144">
        <v>3</v>
      </c>
    </row>
    <row r="201" spans="1:8" ht="15" x14ac:dyDescent="0.25">
      <c r="A201" s="145" t="s">
        <v>49</v>
      </c>
      <c r="B201" s="144">
        <v>1</v>
      </c>
      <c r="C201" s="144">
        <v>1</v>
      </c>
      <c r="D201" s="144">
        <v>1</v>
      </c>
      <c r="E201" s="144" t="s">
        <v>207</v>
      </c>
      <c r="F201" s="144">
        <v>1</v>
      </c>
      <c r="G201" s="144">
        <v>1</v>
      </c>
      <c r="H201" s="144">
        <v>1</v>
      </c>
    </row>
    <row r="202" spans="1:8" ht="15" x14ac:dyDescent="0.25">
      <c r="A202" s="145" t="s">
        <v>77</v>
      </c>
      <c r="B202" s="144">
        <v>3</v>
      </c>
      <c r="C202" s="144">
        <v>6</v>
      </c>
      <c r="D202" s="144">
        <v>4</v>
      </c>
      <c r="E202" s="144" t="s">
        <v>207</v>
      </c>
      <c r="F202" s="144">
        <v>3</v>
      </c>
      <c r="G202" s="144">
        <v>3</v>
      </c>
      <c r="H202" s="144">
        <v>5</v>
      </c>
    </row>
    <row r="203" spans="1:8" ht="15" x14ac:dyDescent="0.25">
      <c r="A203" s="145" t="s">
        <v>589</v>
      </c>
      <c r="B203" s="144">
        <v>2</v>
      </c>
      <c r="C203" s="144">
        <v>3</v>
      </c>
      <c r="D203" s="144">
        <v>2</v>
      </c>
      <c r="E203" s="144" t="s">
        <v>207</v>
      </c>
      <c r="F203" s="144" t="s">
        <v>120</v>
      </c>
      <c r="G203" s="144" t="s">
        <v>120</v>
      </c>
      <c r="H203" s="144">
        <v>3</v>
      </c>
    </row>
    <row r="204" spans="1:8" ht="15" x14ac:dyDescent="0.25">
      <c r="A204" s="145" t="s">
        <v>590</v>
      </c>
      <c r="B204" s="144">
        <v>4</v>
      </c>
      <c r="C204" s="144">
        <v>6</v>
      </c>
      <c r="D204" s="144">
        <v>5</v>
      </c>
      <c r="E204" s="144" t="s">
        <v>459</v>
      </c>
      <c r="F204" s="144">
        <v>1</v>
      </c>
      <c r="G204" s="144" t="s">
        <v>120</v>
      </c>
      <c r="H204" s="144">
        <v>6</v>
      </c>
    </row>
    <row r="205" spans="1:8" ht="15" x14ac:dyDescent="0.25">
      <c r="A205" s="145" t="s">
        <v>591</v>
      </c>
      <c r="B205" s="144">
        <v>4</v>
      </c>
      <c r="C205" s="144">
        <v>7</v>
      </c>
      <c r="D205" s="144">
        <v>5</v>
      </c>
      <c r="E205" s="144" t="s">
        <v>459</v>
      </c>
      <c r="F205" s="144">
        <v>1</v>
      </c>
      <c r="G205" s="144" t="s">
        <v>120</v>
      </c>
      <c r="H205" s="144">
        <v>7</v>
      </c>
    </row>
    <row r="206" spans="1:8" ht="15" x14ac:dyDescent="0.25">
      <c r="A206" s="145" t="s">
        <v>592</v>
      </c>
      <c r="B206" s="144">
        <v>1</v>
      </c>
      <c r="C206" s="144">
        <v>3</v>
      </c>
      <c r="D206" s="144">
        <v>2</v>
      </c>
      <c r="E206" s="144" t="s">
        <v>207</v>
      </c>
      <c r="F206" s="144" t="s">
        <v>120</v>
      </c>
      <c r="G206" s="144" t="s">
        <v>120</v>
      </c>
      <c r="H206" s="144">
        <v>3</v>
      </c>
    </row>
    <row r="207" spans="1:8" ht="15" x14ac:dyDescent="0.25">
      <c r="A207" s="145" t="s">
        <v>593</v>
      </c>
      <c r="B207" s="144">
        <v>5</v>
      </c>
      <c r="C207" s="144">
        <v>5</v>
      </c>
      <c r="D207" s="144">
        <v>5</v>
      </c>
      <c r="E207" s="144" t="s">
        <v>459</v>
      </c>
      <c r="F207" s="144">
        <v>1</v>
      </c>
      <c r="G207" s="144" t="s">
        <v>120</v>
      </c>
      <c r="H207" s="144">
        <v>5</v>
      </c>
    </row>
    <row r="208" spans="1:8" ht="15" x14ac:dyDescent="0.25">
      <c r="A208" s="145" t="s">
        <v>497</v>
      </c>
      <c r="B208" s="144">
        <v>7</v>
      </c>
      <c r="C208" s="144">
        <v>7</v>
      </c>
      <c r="D208" s="144">
        <v>7</v>
      </c>
      <c r="E208" s="144" t="s">
        <v>459</v>
      </c>
      <c r="F208" s="144">
        <v>6</v>
      </c>
      <c r="G208" s="144">
        <v>5</v>
      </c>
      <c r="H208" s="144">
        <v>7</v>
      </c>
    </row>
    <row r="209" spans="1:8" ht="15" x14ac:dyDescent="0.25">
      <c r="A209" s="145" t="s">
        <v>594</v>
      </c>
      <c r="B209" s="144">
        <v>7</v>
      </c>
      <c r="C209" s="144" t="s">
        <v>120</v>
      </c>
      <c r="D209" s="144">
        <v>7</v>
      </c>
      <c r="E209" s="144" t="s">
        <v>459</v>
      </c>
      <c r="F209" s="144" t="s">
        <v>120</v>
      </c>
      <c r="G209" s="144" t="s">
        <v>120</v>
      </c>
      <c r="H209" s="144" t="s">
        <v>120</v>
      </c>
    </row>
    <row r="210" spans="1:8" ht="15" x14ac:dyDescent="0.25">
      <c r="A210" s="145" t="s">
        <v>410</v>
      </c>
      <c r="B210" s="144">
        <v>4</v>
      </c>
      <c r="C210" s="144">
        <v>7</v>
      </c>
      <c r="D210" s="144">
        <v>5</v>
      </c>
      <c r="E210" s="144" t="s">
        <v>459</v>
      </c>
      <c r="F210" s="144">
        <v>3</v>
      </c>
      <c r="G210" s="144">
        <v>4</v>
      </c>
      <c r="H210" s="144">
        <v>7</v>
      </c>
    </row>
    <row r="211" spans="1:8" ht="15" x14ac:dyDescent="0.25">
      <c r="A211" s="145" t="s">
        <v>433</v>
      </c>
      <c r="B211" s="144">
        <v>3</v>
      </c>
      <c r="C211" s="144">
        <v>6</v>
      </c>
      <c r="D211" s="144">
        <v>4</v>
      </c>
      <c r="E211" s="144" t="s">
        <v>459</v>
      </c>
      <c r="F211" s="144">
        <v>5</v>
      </c>
      <c r="G211" s="144">
        <v>4</v>
      </c>
      <c r="H211" s="144">
        <v>5</v>
      </c>
    </row>
    <row r="212" spans="1:8" ht="15" x14ac:dyDescent="0.25">
      <c r="A212" s="145" t="s">
        <v>50</v>
      </c>
      <c r="B212" s="144">
        <v>1</v>
      </c>
      <c r="C212" s="144">
        <v>1</v>
      </c>
      <c r="D212" s="144">
        <v>1</v>
      </c>
      <c r="E212" s="144" t="s">
        <v>204</v>
      </c>
      <c r="F212" s="144">
        <v>1</v>
      </c>
      <c r="G212" s="144">
        <v>1</v>
      </c>
      <c r="H212" s="144">
        <v>1</v>
      </c>
    </row>
    <row r="213" spans="1:8" ht="15" x14ac:dyDescent="0.25">
      <c r="A213" s="145" t="s">
        <v>51</v>
      </c>
      <c r="B213" s="144">
        <v>1</v>
      </c>
      <c r="C213" s="144">
        <v>1</v>
      </c>
      <c r="D213" s="144">
        <v>1</v>
      </c>
      <c r="E213" s="144" t="s">
        <v>204</v>
      </c>
      <c r="F213" s="144">
        <v>1</v>
      </c>
      <c r="G213" s="144">
        <v>1</v>
      </c>
      <c r="H213" s="144">
        <v>1</v>
      </c>
    </row>
    <row r="214" spans="1:8" ht="15" x14ac:dyDescent="0.25">
      <c r="A214" s="145" t="s">
        <v>412</v>
      </c>
      <c r="B214" s="144">
        <v>6</v>
      </c>
      <c r="C214" s="144">
        <v>7</v>
      </c>
      <c r="D214" s="144">
        <v>6</v>
      </c>
      <c r="E214" s="144" t="s">
        <v>459</v>
      </c>
      <c r="F214" s="144">
        <v>6</v>
      </c>
      <c r="G214" s="144">
        <v>5</v>
      </c>
      <c r="H214" s="144">
        <v>7</v>
      </c>
    </row>
    <row r="215" spans="1:8" ht="15" x14ac:dyDescent="0.25">
      <c r="A215" s="145" t="s">
        <v>7</v>
      </c>
      <c r="B215" s="144">
        <v>1</v>
      </c>
      <c r="C215" s="144">
        <v>1</v>
      </c>
      <c r="D215" s="144">
        <v>1</v>
      </c>
      <c r="E215" s="144" t="s">
        <v>204</v>
      </c>
      <c r="F215" s="144">
        <v>2</v>
      </c>
      <c r="G215" s="144">
        <v>1</v>
      </c>
      <c r="H215" s="144">
        <v>1</v>
      </c>
    </row>
    <row r="216" spans="1:8" ht="15" x14ac:dyDescent="0.25">
      <c r="A216" s="145" t="s">
        <v>414</v>
      </c>
      <c r="B216" s="144">
        <v>6</v>
      </c>
      <c r="C216" s="144">
        <v>7</v>
      </c>
      <c r="D216" s="144">
        <v>6</v>
      </c>
      <c r="E216" s="144" t="s">
        <v>459</v>
      </c>
      <c r="F216" s="144">
        <v>6</v>
      </c>
      <c r="G216" s="144">
        <v>5</v>
      </c>
      <c r="H216" s="144">
        <v>7</v>
      </c>
    </row>
    <row r="217" spans="1:8" ht="15" x14ac:dyDescent="0.25">
      <c r="A217" s="145" t="s">
        <v>415</v>
      </c>
      <c r="B217" s="144">
        <v>3</v>
      </c>
      <c r="C217" s="144">
        <v>6</v>
      </c>
      <c r="D217" s="144">
        <v>4</v>
      </c>
      <c r="E217" s="144" t="s">
        <v>459</v>
      </c>
      <c r="F217" s="144">
        <v>3</v>
      </c>
      <c r="G217" s="144">
        <v>4</v>
      </c>
      <c r="H217" s="144">
        <v>5</v>
      </c>
    </row>
    <row r="218" spans="1:8" ht="15" x14ac:dyDescent="0.25">
      <c r="A218" s="145" t="s">
        <v>8</v>
      </c>
      <c r="B218" s="144">
        <v>2</v>
      </c>
      <c r="C218" s="144">
        <v>3</v>
      </c>
      <c r="D218" s="144">
        <v>2</v>
      </c>
      <c r="E218" s="144" t="s">
        <v>207</v>
      </c>
      <c r="F218" s="144">
        <v>4</v>
      </c>
      <c r="G218" s="144">
        <v>4</v>
      </c>
      <c r="H218" s="144">
        <v>3</v>
      </c>
    </row>
    <row r="219" spans="1:8" ht="15" x14ac:dyDescent="0.25">
      <c r="A219" s="145" t="s">
        <v>416</v>
      </c>
      <c r="B219" s="144">
        <v>6</v>
      </c>
      <c r="C219" s="144">
        <v>6</v>
      </c>
      <c r="D219" s="144">
        <v>6</v>
      </c>
      <c r="E219" s="144" t="s">
        <v>459</v>
      </c>
      <c r="F219" s="144" t="s">
        <v>120</v>
      </c>
      <c r="G219" s="144" t="s">
        <v>120</v>
      </c>
      <c r="H219" s="144">
        <v>6</v>
      </c>
    </row>
    <row r="220" spans="1:8" ht="15" x14ac:dyDescent="0.25">
      <c r="A220" s="145" t="s">
        <v>501</v>
      </c>
      <c r="B220" s="144">
        <v>4</v>
      </c>
      <c r="C220" s="144">
        <v>7</v>
      </c>
      <c r="D220" s="144">
        <v>5</v>
      </c>
      <c r="E220" s="144" t="s">
        <v>459</v>
      </c>
      <c r="F220" s="144">
        <v>4</v>
      </c>
      <c r="G220" s="144">
        <v>4</v>
      </c>
      <c r="H220" s="144">
        <v>7</v>
      </c>
    </row>
    <row r="221" spans="1:8" ht="15" x14ac:dyDescent="0.25">
      <c r="A221" s="145" t="s">
        <v>595</v>
      </c>
      <c r="B221" s="144">
        <v>2</v>
      </c>
      <c r="C221" s="144">
        <v>3</v>
      </c>
      <c r="D221" s="144">
        <v>2</v>
      </c>
      <c r="E221" s="144" t="s">
        <v>207</v>
      </c>
      <c r="F221" s="144" t="s">
        <v>120</v>
      </c>
      <c r="G221" s="144" t="s">
        <v>120</v>
      </c>
      <c r="H221" s="144">
        <v>3</v>
      </c>
    </row>
    <row r="222" spans="1:8" ht="15" x14ac:dyDescent="0.25">
      <c r="A222" s="145" t="s">
        <v>474</v>
      </c>
      <c r="B222" s="144">
        <v>5</v>
      </c>
      <c r="C222" s="144">
        <v>5</v>
      </c>
      <c r="D222" s="144">
        <v>5</v>
      </c>
      <c r="E222" s="144" t="s">
        <v>459</v>
      </c>
      <c r="F222" s="144">
        <v>3</v>
      </c>
      <c r="G222" s="144" t="s">
        <v>120</v>
      </c>
      <c r="H222" s="144">
        <v>5</v>
      </c>
    </row>
    <row r="223" spans="1:8" ht="15" x14ac:dyDescent="0.25">
      <c r="A223" s="145" t="s">
        <v>417</v>
      </c>
      <c r="B223" s="144">
        <v>1</v>
      </c>
      <c r="C223" s="144">
        <v>2</v>
      </c>
      <c r="D223" s="144">
        <v>1</v>
      </c>
      <c r="E223" s="144" t="s">
        <v>207</v>
      </c>
      <c r="F223" s="144">
        <v>2</v>
      </c>
      <c r="G223" s="144">
        <v>2</v>
      </c>
      <c r="H223" s="144">
        <v>2</v>
      </c>
    </row>
    <row r="224" spans="1:8" ht="15" x14ac:dyDescent="0.25">
      <c r="A224" s="145" t="s">
        <v>346</v>
      </c>
      <c r="B224" s="144">
        <v>3</v>
      </c>
      <c r="C224" s="144">
        <v>3</v>
      </c>
      <c r="D224" s="144">
        <v>3</v>
      </c>
      <c r="E224" s="144" t="s">
        <v>207</v>
      </c>
      <c r="F224" s="144">
        <v>3</v>
      </c>
      <c r="G224" s="144">
        <v>4</v>
      </c>
      <c r="H224" s="144">
        <v>3</v>
      </c>
    </row>
    <row r="225" spans="1:8" ht="15" x14ac:dyDescent="0.25">
      <c r="A225" s="145" t="s">
        <v>14</v>
      </c>
      <c r="B225" s="144">
        <v>3</v>
      </c>
      <c r="C225" s="144">
        <v>4</v>
      </c>
      <c r="D225" s="144">
        <v>3</v>
      </c>
      <c r="E225" s="144" t="s">
        <v>459</v>
      </c>
      <c r="F225" s="144">
        <v>3</v>
      </c>
      <c r="G225" s="144">
        <v>2</v>
      </c>
      <c r="H225" s="144">
        <v>4</v>
      </c>
    </row>
    <row r="226" spans="1:8" ht="15" x14ac:dyDescent="0.25">
      <c r="A226" s="145" t="s">
        <v>596</v>
      </c>
      <c r="B226" s="144">
        <v>4</v>
      </c>
      <c r="C226" s="144">
        <v>6</v>
      </c>
      <c r="D226" s="144">
        <v>5</v>
      </c>
      <c r="E226" s="144" t="s">
        <v>459</v>
      </c>
      <c r="F226" s="144">
        <v>4</v>
      </c>
      <c r="G226" s="144">
        <v>6</v>
      </c>
      <c r="H226" s="144">
        <v>6</v>
      </c>
    </row>
    <row r="227" spans="1:8" ht="15" x14ac:dyDescent="0.25">
      <c r="A227" s="145" t="s">
        <v>597</v>
      </c>
      <c r="B227" s="144">
        <v>2</v>
      </c>
      <c r="C227" s="144">
        <v>2</v>
      </c>
      <c r="D227" s="144">
        <v>2</v>
      </c>
      <c r="E227" s="144" t="s">
        <v>207</v>
      </c>
      <c r="F227" s="144" t="s">
        <v>120</v>
      </c>
      <c r="G227" s="144" t="s">
        <v>120</v>
      </c>
      <c r="H227" s="144">
        <v>2</v>
      </c>
    </row>
    <row r="228" spans="1:8" ht="15" x14ac:dyDescent="0.25">
      <c r="A228" s="145" t="s">
        <v>598</v>
      </c>
      <c r="B228" s="144">
        <v>3</v>
      </c>
      <c r="C228" s="144">
        <v>5</v>
      </c>
      <c r="D228" s="144">
        <v>4</v>
      </c>
      <c r="E228" s="144" t="s">
        <v>207</v>
      </c>
      <c r="F228" s="144">
        <v>2</v>
      </c>
      <c r="G228" s="144" t="s">
        <v>120</v>
      </c>
      <c r="H228" s="144">
        <v>5</v>
      </c>
    </row>
    <row r="229" spans="1:8" ht="15" x14ac:dyDescent="0.25">
      <c r="A229" s="145" t="s">
        <v>418</v>
      </c>
      <c r="B229" s="144">
        <v>4</v>
      </c>
      <c r="C229" s="144">
        <v>6</v>
      </c>
      <c r="D229" s="144">
        <v>5</v>
      </c>
      <c r="E229" s="144" t="s">
        <v>459</v>
      </c>
      <c r="F229" s="144">
        <v>5</v>
      </c>
      <c r="G229" s="144">
        <v>5</v>
      </c>
      <c r="H229" s="144">
        <v>6</v>
      </c>
    </row>
    <row r="230" spans="1:8" ht="15" x14ac:dyDescent="0.25">
      <c r="A230" s="145" t="s">
        <v>58</v>
      </c>
      <c r="B230" s="144">
        <v>5</v>
      </c>
      <c r="C230" s="144">
        <v>7</v>
      </c>
      <c r="D230" s="144">
        <v>5</v>
      </c>
      <c r="E230" s="144" t="s">
        <v>459</v>
      </c>
      <c r="F230" s="144">
        <v>2</v>
      </c>
      <c r="G230" s="144">
        <v>4</v>
      </c>
      <c r="H230" s="144">
        <v>6</v>
      </c>
    </row>
    <row r="231" spans="1:8" ht="15" x14ac:dyDescent="0.25">
      <c r="A231" s="145" t="s">
        <v>419</v>
      </c>
      <c r="B231" s="144">
        <v>2</v>
      </c>
      <c r="C231" s="144">
        <v>3</v>
      </c>
      <c r="D231" s="144">
        <v>2</v>
      </c>
      <c r="E231" s="144" t="s">
        <v>459</v>
      </c>
      <c r="F231" s="144">
        <v>1</v>
      </c>
      <c r="G231" s="144">
        <v>3</v>
      </c>
      <c r="H231" s="144">
        <v>3</v>
      </c>
    </row>
    <row r="232" spans="1:8" ht="15" x14ac:dyDescent="0.25">
      <c r="A232" s="145" t="s">
        <v>107</v>
      </c>
      <c r="B232" s="144">
        <v>1</v>
      </c>
      <c r="C232" s="144">
        <v>1</v>
      </c>
      <c r="D232" s="144">
        <v>1</v>
      </c>
      <c r="E232" s="144" t="s">
        <v>207</v>
      </c>
      <c r="F232" s="144">
        <v>1</v>
      </c>
      <c r="G232" s="144">
        <v>1</v>
      </c>
      <c r="H232" s="144">
        <v>1</v>
      </c>
    </row>
    <row r="233" spans="1:8" ht="15" x14ac:dyDescent="0.25">
      <c r="A233" s="145" t="s">
        <v>104</v>
      </c>
      <c r="B233" s="144">
        <v>1</v>
      </c>
      <c r="C233" s="144">
        <v>1</v>
      </c>
      <c r="D233" s="144">
        <v>1</v>
      </c>
      <c r="E233" s="144" t="s">
        <v>207</v>
      </c>
      <c r="F233" s="144">
        <v>1</v>
      </c>
      <c r="G233" s="144">
        <v>1</v>
      </c>
      <c r="H233" s="144">
        <v>1</v>
      </c>
    </row>
    <row r="234" spans="1:8" ht="15" x14ac:dyDescent="0.25">
      <c r="A234" s="145" t="s">
        <v>72</v>
      </c>
      <c r="B234" s="144">
        <v>2</v>
      </c>
      <c r="C234" s="144">
        <v>3</v>
      </c>
      <c r="D234" s="144">
        <v>2</v>
      </c>
      <c r="E234" s="144" t="s">
        <v>204</v>
      </c>
      <c r="F234" s="144">
        <v>1</v>
      </c>
      <c r="G234" s="144">
        <v>1</v>
      </c>
      <c r="H234" s="144">
        <v>3</v>
      </c>
    </row>
    <row r="235" spans="1:8" ht="15" x14ac:dyDescent="0.25">
      <c r="A235" s="145" t="s">
        <v>496</v>
      </c>
      <c r="B235" s="144">
        <v>5</v>
      </c>
      <c r="C235" s="144">
        <v>6</v>
      </c>
      <c r="D235" s="144">
        <v>5</v>
      </c>
      <c r="E235" s="144" t="s">
        <v>459</v>
      </c>
      <c r="F235" s="144">
        <v>5</v>
      </c>
      <c r="G235" s="144">
        <v>6</v>
      </c>
      <c r="H235" s="144">
        <v>5</v>
      </c>
    </row>
    <row r="236" spans="1:8" ht="15" x14ac:dyDescent="0.25">
      <c r="A236" s="145" t="s">
        <v>470</v>
      </c>
      <c r="B236" s="144">
        <v>2</v>
      </c>
      <c r="C236" s="144">
        <v>4</v>
      </c>
      <c r="D236" s="144">
        <v>3</v>
      </c>
      <c r="E236" s="144" t="s">
        <v>207</v>
      </c>
      <c r="F236" s="144">
        <v>4</v>
      </c>
      <c r="G236" s="144" t="s">
        <v>120</v>
      </c>
      <c r="H236" s="144">
        <v>4</v>
      </c>
    </row>
    <row r="237" spans="1:8" ht="15" x14ac:dyDescent="0.25">
      <c r="A237" s="145" t="s">
        <v>599</v>
      </c>
      <c r="B237" s="144">
        <v>1</v>
      </c>
      <c r="C237" s="144">
        <v>1</v>
      </c>
      <c r="D237" s="144">
        <v>1</v>
      </c>
      <c r="E237" s="144" t="s">
        <v>459</v>
      </c>
      <c r="F237" s="144" t="s">
        <v>120</v>
      </c>
      <c r="G237" s="144" t="s">
        <v>120</v>
      </c>
      <c r="H237" s="144">
        <v>1</v>
      </c>
    </row>
    <row r="238" spans="1:8" ht="15" x14ac:dyDescent="0.25">
      <c r="A238" s="145" t="s">
        <v>12</v>
      </c>
      <c r="B238" s="144">
        <v>5</v>
      </c>
      <c r="C238" s="144">
        <v>7</v>
      </c>
      <c r="D238" s="144">
        <v>5</v>
      </c>
      <c r="E238" s="144" t="s">
        <v>459</v>
      </c>
      <c r="F238" s="144">
        <v>5</v>
      </c>
      <c r="G238" s="144">
        <v>7</v>
      </c>
      <c r="H238" s="144">
        <v>6</v>
      </c>
    </row>
    <row r="239" spans="1:8" ht="15" x14ac:dyDescent="0.25">
      <c r="A239" s="145" t="s">
        <v>457</v>
      </c>
      <c r="B239" s="144">
        <v>3</v>
      </c>
      <c r="C239" s="144">
        <v>5</v>
      </c>
      <c r="D239" s="144">
        <v>3</v>
      </c>
      <c r="E239" s="144" t="s">
        <v>459</v>
      </c>
      <c r="F239" s="144">
        <v>3</v>
      </c>
      <c r="G239" s="144">
        <v>3</v>
      </c>
      <c r="H239" s="144">
        <v>4</v>
      </c>
    </row>
    <row r="240" spans="1:8" ht="15" x14ac:dyDescent="0.25">
      <c r="A240" s="145" t="s">
        <v>600</v>
      </c>
      <c r="B240" s="144">
        <v>2</v>
      </c>
      <c r="C240" s="144">
        <v>2</v>
      </c>
      <c r="D240" s="144">
        <v>2</v>
      </c>
      <c r="E240" s="144" t="s">
        <v>207</v>
      </c>
      <c r="F240" s="144">
        <v>1</v>
      </c>
      <c r="G240" s="144" t="s">
        <v>120</v>
      </c>
      <c r="H240" s="144">
        <v>2</v>
      </c>
    </row>
    <row r="241" spans="1:8" ht="15" x14ac:dyDescent="0.25">
      <c r="A241" s="145" t="s">
        <v>601</v>
      </c>
      <c r="B241" s="144">
        <v>2</v>
      </c>
      <c r="C241" s="144">
        <v>2</v>
      </c>
      <c r="D241" s="144">
        <v>2</v>
      </c>
      <c r="E241" s="144" t="s">
        <v>207</v>
      </c>
      <c r="F241" s="144" t="s">
        <v>120</v>
      </c>
      <c r="G241" s="144" t="s">
        <v>120</v>
      </c>
      <c r="H241" s="144">
        <v>2</v>
      </c>
    </row>
    <row r="242" spans="1:8" ht="15" x14ac:dyDescent="0.25">
      <c r="A242" s="145" t="s">
        <v>602</v>
      </c>
      <c r="B242" s="144">
        <v>2</v>
      </c>
      <c r="C242" s="144">
        <v>4</v>
      </c>
      <c r="D242" s="144">
        <v>3</v>
      </c>
      <c r="E242" s="144" t="s">
        <v>207</v>
      </c>
      <c r="F242" s="144" t="s">
        <v>120</v>
      </c>
      <c r="G242" s="144" t="s">
        <v>120</v>
      </c>
      <c r="H242" s="144">
        <v>4</v>
      </c>
    </row>
    <row r="243" spans="1:8" ht="15" x14ac:dyDescent="0.25">
      <c r="A243" s="145" t="s">
        <v>603</v>
      </c>
      <c r="B243" s="144">
        <v>3</v>
      </c>
      <c r="C243" s="144">
        <v>3</v>
      </c>
      <c r="D243" s="144">
        <v>3</v>
      </c>
      <c r="E243" s="144" t="s">
        <v>459</v>
      </c>
      <c r="F243" s="144">
        <v>6</v>
      </c>
      <c r="G243" s="144">
        <v>6</v>
      </c>
      <c r="H243" s="144">
        <v>3</v>
      </c>
    </row>
    <row r="244" spans="1:8" ht="15" x14ac:dyDescent="0.25">
      <c r="A244" s="145" t="s">
        <v>434</v>
      </c>
      <c r="B244" s="144">
        <v>7</v>
      </c>
      <c r="C244" s="144">
        <v>7</v>
      </c>
      <c r="D244" s="144">
        <v>7</v>
      </c>
      <c r="E244" s="144" t="s">
        <v>459</v>
      </c>
      <c r="F244" s="144">
        <v>7</v>
      </c>
      <c r="G244" s="144">
        <v>7</v>
      </c>
      <c r="H244" s="144">
        <v>7</v>
      </c>
    </row>
    <row r="245" spans="1:8" ht="15" x14ac:dyDescent="0.25">
      <c r="A245" s="145" t="s">
        <v>420</v>
      </c>
      <c r="B245" s="144">
        <v>3</v>
      </c>
      <c r="C245" s="144">
        <v>6</v>
      </c>
      <c r="D245" s="144">
        <v>4</v>
      </c>
      <c r="E245" s="144" t="s">
        <v>459</v>
      </c>
      <c r="F245" s="144">
        <v>2</v>
      </c>
      <c r="G245" s="144">
        <v>4</v>
      </c>
      <c r="H245" s="144">
        <v>5</v>
      </c>
    </row>
    <row r="246" spans="1:8" ht="15" x14ac:dyDescent="0.25">
      <c r="A246" s="145" t="s">
        <v>421</v>
      </c>
      <c r="B246" s="144">
        <v>7</v>
      </c>
      <c r="C246" s="144">
        <v>7</v>
      </c>
      <c r="D246" s="144">
        <v>7</v>
      </c>
      <c r="E246" s="144" t="s">
        <v>459</v>
      </c>
      <c r="F246" s="144">
        <v>6</v>
      </c>
      <c r="G246" s="144">
        <v>7</v>
      </c>
      <c r="H246" s="144">
        <v>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I161"/>
  <sheetViews>
    <sheetView workbookViewId="0">
      <pane xSplit="1" ySplit="1" topLeftCell="B2" activePane="bottomRight" state="frozen"/>
      <selection pane="topRight" activeCell="B1" sqref="B1"/>
      <selection pane="bottomLeft" activeCell="A2" sqref="A2"/>
      <selection pane="bottomRight"/>
    </sheetView>
  </sheetViews>
  <sheetFormatPr defaultRowHeight="12.75" x14ac:dyDescent="0.2"/>
  <cols>
    <col min="1" max="1" width="35.7109375" bestFit="1" customWidth="1"/>
    <col min="2" max="2" width="22.85546875" bestFit="1" customWidth="1"/>
    <col min="3" max="3" width="23.5703125" bestFit="1" customWidth="1"/>
    <col min="4" max="4" width="18" bestFit="1" customWidth="1"/>
    <col min="5" max="5" width="28.7109375" bestFit="1" customWidth="1"/>
    <col min="6" max="6" width="29.42578125" bestFit="1" customWidth="1"/>
    <col min="7" max="7" width="23.85546875" bestFit="1" customWidth="1"/>
    <col min="9" max="9" width="3" bestFit="1" customWidth="1"/>
  </cols>
  <sheetData>
    <row r="1" spans="1:9" ht="15" x14ac:dyDescent="0.25">
      <c r="A1" s="156" t="s">
        <v>210</v>
      </c>
      <c r="B1" s="156" t="s">
        <v>604</v>
      </c>
      <c r="C1" s="156" t="s">
        <v>605</v>
      </c>
      <c r="D1" s="157" t="s">
        <v>606</v>
      </c>
      <c r="E1" s="156" t="s">
        <v>607</v>
      </c>
      <c r="F1" s="156" t="s">
        <v>608</v>
      </c>
      <c r="G1" s="157" t="s">
        <v>609</v>
      </c>
      <c r="H1" s="153" t="s">
        <v>610</v>
      </c>
      <c r="I1" s="154"/>
    </row>
    <row r="2" spans="1:9" ht="15" x14ac:dyDescent="0.25">
      <c r="A2" s="152" t="s">
        <v>503</v>
      </c>
      <c r="B2" s="152" t="s">
        <v>611</v>
      </c>
      <c r="C2" s="151" t="str">
        <f>IF(OR(RIGHT(B2,7)="upgrade",RIGHT(B2,9)="downgrade"),LEFT(B2,2),B2)</f>
        <v>D</v>
      </c>
      <c r="D2" s="158">
        <f>VLOOKUP(C2,$H$2:$I$8,2,FALSE)</f>
        <v>16</v>
      </c>
      <c r="E2" s="152" t="s">
        <v>611</v>
      </c>
      <c r="F2" s="146" t="str">
        <f>IF(E2="","No Rating",E2)</f>
        <v>D</v>
      </c>
      <c r="G2" s="158">
        <f>IF(F2="No Rating","N/A",VLOOKUP(F2,$H$2:$I$8,2,FALSE))</f>
        <v>16</v>
      </c>
      <c r="H2" s="155" t="s">
        <v>612</v>
      </c>
      <c r="I2" s="154">
        <v>1</v>
      </c>
    </row>
    <row r="3" spans="1:9" ht="15" x14ac:dyDescent="0.25">
      <c r="A3" s="152" t="s">
        <v>349</v>
      </c>
      <c r="B3" s="152" t="s">
        <v>459</v>
      </c>
      <c r="C3" s="151" t="str">
        <f t="shared" ref="C3:C66" si="0">IF(OR(RIGHT(B3,7)="upgrade",RIGHT(B3,9)="downgrade"),LEFT(B3,2),B3)</f>
        <v>C</v>
      </c>
      <c r="D3" s="158">
        <f t="shared" ref="D3:D66" si="1">VLOOKUP(C3,$H$2:$I$8,2,FALSE)</f>
        <v>12</v>
      </c>
      <c r="E3" s="152" t="s">
        <v>459</v>
      </c>
      <c r="F3" s="146" t="str">
        <f t="shared" ref="F3:F66" si="2">IF(E3="","No Rating",E3)</f>
        <v>C</v>
      </c>
      <c r="G3" s="158">
        <f t="shared" ref="G3:G66" si="3">IF(F3="No Rating","N/A",VLOOKUP(F3,$H$2:$I$8,2,FALSE))</f>
        <v>12</v>
      </c>
      <c r="H3" s="155" t="s">
        <v>613</v>
      </c>
      <c r="I3" s="154">
        <v>2</v>
      </c>
    </row>
    <row r="4" spans="1:9" ht="15" x14ac:dyDescent="0.25">
      <c r="A4" s="152" t="s">
        <v>350</v>
      </c>
      <c r="B4" s="152" t="s">
        <v>614</v>
      </c>
      <c r="C4" s="151" t="str">
        <f t="shared" si="0"/>
        <v>A4</v>
      </c>
      <c r="D4" s="158">
        <f t="shared" si="1"/>
        <v>4</v>
      </c>
      <c r="E4" s="152" t="s">
        <v>207</v>
      </c>
      <c r="F4" s="146" t="str">
        <f t="shared" si="2"/>
        <v>B</v>
      </c>
      <c r="G4" s="158">
        <f t="shared" si="3"/>
        <v>8</v>
      </c>
      <c r="H4" s="155" t="s">
        <v>615</v>
      </c>
      <c r="I4" s="154">
        <v>3</v>
      </c>
    </row>
    <row r="5" spans="1:9" ht="15" x14ac:dyDescent="0.25">
      <c r="A5" s="152" t="s">
        <v>435</v>
      </c>
      <c r="B5" s="152" t="s">
        <v>459</v>
      </c>
      <c r="C5" s="151" t="str">
        <f t="shared" si="0"/>
        <v>C</v>
      </c>
      <c r="D5" s="158">
        <f t="shared" si="1"/>
        <v>12</v>
      </c>
      <c r="E5" s="152" t="s">
        <v>611</v>
      </c>
      <c r="F5" s="146" t="str">
        <f t="shared" si="2"/>
        <v>D</v>
      </c>
      <c r="G5" s="158">
        <f t="shared" si="3"/>
        <v>16</v>
      </c>
      <c r="H5" s="155" t="s">
        <v>614</v>
      </c>
      <c r="I5" s="154">
        <v>4</v>
      </c>
    </row>
    <row r="6" spans="1:9" ht="15" x14ac:dyDescent="0.25">
      <c r="A6" s="152" t="s">
        <v>10</v>
      </c>
      <c r="B6" s="152" t="s">
        <v>616</v>
      </c>
      <c r="C6" s="151" t="str">
        <f t="shared" si="0"/>
        <v xml:space="preserve">C </v>
      </c>
      <c r="D6" s="158">
        <v>12</v>
      </c>
      <c r="E6" s="152" t="s">
        <v>207</v>
      </c>
      <c r="F6" s="146" t="str">
        <f t="shared" si="2"/>
        <v>B</v>
      </c>
      <c r="G6" s="158">
        <f t="shared" si="3"/>
        <v>8</v>
      </c>
      <c r="H6" s="155" t="s">
        <v>207</v>
      </c>
      <c r="I6" s="154">
        <v>8</v>
      </c>
    </row>
    <row r="7" spans="1:9" ht="15" x14ac:dyDescent="0.25">
      <c r="A7" s="152" t="s">
        <v>351</v>
      </c>
      <c r="B7" s="152" t="s">
        <v>459</v>
      </c>
      <c r="C7" s="151" t="str">
        <f t="shared" si="0"/>
        <v>C</v>
      </c>
      <c r="D7" s="158">
        <f t="shared" si="1"/>
        <v>12</v>
      </c>
      <c r="E7" s="152" t="s">
        <v>459</v>
      </c>
      <c r="F7" s="146" t="str">
        <f t="shared" si="2"/>
        <v>C</v>
      </c>
      <c r="G7" s="158">
        <f t="shared" si="3"/>
        <v>12</v>
      </c>
      <c r="H7" s="155" t="s">
        <v>459</v>
      </c>
      <c r="I7" s="154">
        <v>12</v>
      </c>
    </row>
    <row r="8" spans="1:9" ht="15" x14ac:dyDescent="0.25">
      <c r="A8" s="152" t="s">
        <v>34</v>
      </c>
      <c r="B8" s="152" t="s">
        <v>612</v>
      </c>
      <c r="C8" s="151" t="str">
        <f t="shared" si="0"/>
        <v>A1</v>
      </c>
      <c r="D8" s="158">
        <f t="shared" si="1"/>
        <v>1</v>
      </c>
      <c r="E8" s="152" t="s">
        <v>612</v>
      </c>
      <c r="F8" s="146" t="str">
        <f t="shared" si="2"/>
        <v>A1</v>
      </c>
      <c r="G8" s="158">
        <f t="shared" si="3"/>
        <v>1</v>
      </c>
      <c r="H8" s="155" t="s">
        <v>611</v>
      </c>
      <c r="I8" s="154">
        <v>16</v>
      </c>
    </row>
    <row r="9" spans="1:9" ht="15" x14ac:dyDescent="0.25">
      <c r="A9" s="152" t="s">
        <v>352</v>
      </c>
      <c r="B9" s="152" t="s">
        <v>617</v>
      </c>
      <c r="C9" s="151" t="str">
        <f t="shared" si="0"/>
        <v>A2</v>
      </c>
      <c r="D9" s="158">
        <f t="shared" si="1"/>
        <v>2</v>
      </c>
      <c r="E9" s="152" t="s">
        <v>612</v>
      </c>
      <c r="F9" s="146" t="str">
        <f t="shared" si="2"/>
        <v>A1</v>
      </c>
      <c r="G9" s="158">
        <f t="shared" si="3"/>
        <v>1</v>
      </c>
      <c r="H9" s="146"/>
      <c r="I9" s="146"/>
    </row>
    <row r="10" spans="1:9" ht="15" x14ac:dyDescent="0.25">
      <c r="A10" s="152" t="s">
        <v>353</v>
      </c>
      <c r="B10" s="152" t="s">
        <v>459</v>
      </c>
      <c r="C10" s="151" t="str">
        <f t="shared" si="0"/>
        <v>C</v>
      </c>
      <c r="D10" s="158">
        <f t="shared" si="1"/>
        <v>12</v>
      </c>
      <c r="E10" s="152" t="s">
        <v>459</v>
      </c>
      <c r="F10" s="146" t="str">
        <f t="shared" si="2"/>
        <v>C</v>
      </c>
      <c r="G10" s="158">
        <f t="shared" si="3"/>
        <v>12</v>
      </c>
      <c r="H10" s="146"/>
      <c r="I10" s="146"/>
    </row>
    <row r="11" spans="1:9" ht="15" x14ac:dyDescent="0.25">
      <c r="A11" s="152" t="s">
        <v>354</v>
      </c>
      <c r="B11" s="152" t="s">
        <v>614</v>
      </c>
      <c r="C11" s="151" t="str">
        <f t="shared" si="0"/>
        <v>A4</v>
      </c>
      <c r="D11" s="158">
        <f t="shared" si="1"/>
        <v>4</v>
      </c>
      <c r="E11" s="152" t="s">
        <v>614</v>
      </c>
      <c r="F11" s="146" t="str">
        <f t="shared" si="2"/>
        <v>A4</v>
      </c>
      <c r="G11" s="158">
        <f t="shared" si="3"/>
        <v>4</v>
      </c>
      <c r="H11" s="146"/>
      <c r="I11" s="146"/>
    </row>
    <row r="12" spans="1:9" ht="15" x14ac:dyDescent="0.25">
      <c r="A12" s="152" t="s">
        <v>69</v>
      </c>
      <c r="B12" s="152" t="s">
        <v>459</v>
      </c>
      <c r="C12" s="151" t="str">
        <f t="shared" si="0"/>
        <v>C</v>
      </c>
      <c r="D12" s="158">
        <f t="shared" si="1"/>
        <v>12</v>
      </c>
      <c r="E12" s="152" t="s">
        <v>611</v>
      </c>
      <c r="F12" s="146" t="str">
        <f t="shared" si="2"/>
        <v>D</v>
      </c>
      <c r="G12" s="158">
        <f t="shared" si="3"/>
        <v>16</v>
      </c>
      <c r="H12" s="146"/>
      <c r="I12" s="146"/>
    </row>
    <row r="13" spans="1:9" ht="15" x14ac:dyDescent="0.25">
      <c r="A13" s="152" t="s">
        <v>300</v>
      </c>
      <c r="B13" s="152" t="s">
        <v>611</v>
      </c>
      <c r="C13" s="151" t="str">
        <f t="shared" si="0"/>
        <v>D</v>
      </c>
      <c r="D13" s="158">
        <f t="shared" si="1"/>
        <v>16</v>
      </c>
      <c r="E13" s="152" t="s">
        <v>611</v>
      </c>
      <c r="F13" s="146" t="str">
        <f t="shared" si="2"/>
        <v>D</v>
      </c>
      <c r="G13" s="158">
        <f t="shared" si="3"/>
        <v>16</v>
      </c>
      <c r="H13" s="146"/>
      <c r="I13" s="146"/>
    </row>
    <row r="14" spans="1:9" ht="15" x14ac:dyDescent="0.25">
      <c r="A14" s="152" t="s">
        <v>356</v>
      </c>
      <c r="B14" s="152" t="s">
        <v>617</v>
      </c>
      <c r="C14" s="151" t="str">
        <f t="shared" si="0"/>
        <v>A2</v>
      </c>
      <c r="D14" s="158">
        <f t="shared" si="1"/>
        <v>2</v>
      </c>
      <c r="E14" s="152" t="s">
        <v>612</v>
      </c>
      <c r="F14" s="146" t="str">
        <f t="shared" si="2"/>
        <v>A1</v>
      </c>
      <c r="G14" s="158">
        <f t="shared" si="3"/>
        <v>1</v>
      </c>
      <c r="H14" s="146"/>
      <c r="I14" s="146"/>
    </row>
    <row r="15" spans="1:9" ht="15" x14ac:dyDescent="0.25">
      <c r="A15" s="152" t="s">
        <v>243</v>
      </c>
      <c r="B15" s="152" t="s">
        <v>207</v>
      </c>
      <c r="C15" s="151" t="str">
        <f t="shared" si="0"/>
        <v>B</v>
      </c>
      <c r="D15" s="158">
        <f t="shared" si="1"/>
        <v>8</v>
      </c>
      <c r="E15" s="152" t="s">
        <v>459</v>
      </c>
      <c r="F15" s="146" t="str">
        <f t="shared" si="2"/>
        <v>C</v>
      </c>
      <c r="G15" s="158">
        <f t="shared" si="3"/>
        <v>12</v>
      </c>
      <c r="H15" s="146"/>
      <c r="I15" s="146"/>
    </row>
    <row r="16" spans="1:9" ht="15" x14ac:dyDescent="0.25">
      <c r="A16" s="152" t="s">
        <v>357</v>
      </c>
      <c r="B16" s="152" t="s">
        <v>207</v>
      </c>
      <c r="C16" s="151" t="str">
        <f t="shared" si="0"/>
        <v>B</v>
      </c>
      <c r="D16" s="158">
        <f t="shared" si="1"/>
        <v>8</v>
      </c>
      <c r="E16" s="152" t="s">
        <v>459</v>
      </c>
      <c r="F16" s="146" t="str">
        <f t="shared" si="2"/>
        <v>C</v>
      </c>
      <c r="G16" s="158">
        <f t="shared" si="3"/>
        <v>12</v>
      </c>
      <c r="H16" s="146"/>
      <c r="I16" s="146"/>
    </row>
    <row r="17" spans="1:7" ht="15" x14ac:dyDescent="0.25">
      <c r="A17" s="152" t="s">
        <v>358</v>
      </c>
      <c r="B17" s="152" t="s">
        <v>459</v>
      </c>
      <c r="C17" s="151" t="str">
        <f t="shared" si="0"/>
        <v>C</v>
      </c>
      <c r="D17" s="158">
        <f t="shared" si="1"/>
        <v>12</v>
      </c>
      <c r="E17" s="152" t="s">
        <v>459</v>
      </c>
      <c r="F17" s="146" t="str">
        <f t="shared" si="2"/>
        <v>C</v>
      </c>
      <c r="G17" s="158">
        <f t="shared" si="3"/>
        <v>12</v>
      </c>
    </row>
    <row r="18" spans="1:7" ht="15" x14ac:dyDescent="0.25">
      <c r="A18" s="152" t="s">
        <v>359</v>
      </c>
      <c r="B18" s="152" t="s">
        <v>611</v>
      </c>
      <c r="C18" s="151" t="str">
        <f t="shared" si="0"/>
        <v>D</v>
      </c>
      <c r="D18" s="158">
        <f t="shared" si="1"/>
        <v>16</v>
      </c>
      <c r="E18" s="152" t="s">
        <v>459</v>
      </c>
      <c r="F18" s="146" t="str">
        <f t="shared" si="2"/>
        <v>C</v>
      </c>
      <c r="G18" s="158">
        <f t="shared" si="3"/>
        <v>12</v>
      </c>
    </row>
    <row r="19" spans="1:7" ht="15" x14ac:dyDescent="0.25">
      <c r="A19" s="152" t="s">
        <v>360</v>
      </c>
      <c r="B19" s="152" t="s">
        <v>614</v>
      </c>
      <c r="C19" s="151" t="str">
        <f t="shared" si="0"/>
        <v>A4</v>
      </c>
      <c r="D19" s="158">
        <f t="shared" si="1"/>
        <v>4</v>
      </c>
      <c r="E19" s="152" t="s">
        <v>615</v>
      </c>
      <c r="F19" s="146" t="str">
        <f t="shared" si="2"/>
        <v>A3</v>
      </c>
      <c r="G19" s="158">
        <f t="shared" si="3"/>
        <v>3</v>
      </c>
    </row>
    <row r="20" spans="1:7" ht="15" x14ac:dyDescent="0.25">
      <c r="A20" s="152" t="s">
        <v>9</v>
      </c>
      <c r="B20" s="152" t="s">
        <v>615</v>
      </c>
      <c r="C20" s="151" t="str">
        <f t="shared" si="0"/>
        <v>A3</v>
      </c>
      <c r="D20" s="158">
        <f t="shared" si="1"/>
        <v>3</v>
      </c>
      <c r="E20" s="152" t="s">
        <v>614</v>
      </c>
      <c r="F20" s="146" t="str">
        <f t="shared" si="2"/>
        <v>A4</v>
      </c>
      <c r="G20" s="158">
        <f t="shared" si="3"/>
        <v>4</v>
      </c>
    </row>
    <row r="21" spans="1:7" ht="15" x14ac:dyDescent="0.25">
      <c r="A21" s="152" t="s">
        <v>246</v>
      </c>
      <c r="B21" s="152" t="s">
        <v>207</v>
      </c>
      <c r="C21" s="151" t="str">
        <f t="shared" si="0"/>
        <v>B</v>
      </c>
      <c r="D21" s="158">
        <f t="shared" si="1"/>
        <v>8</v>
      </c>
      <c r="E21" s="152" t="s">
        <v>614</v>
      </c>
      <c r="F21" s="146" t="str">
        <f t="shared" si="2"/>
        <v>A4</v>
      </c>
      <c r="G21" s="158">
        <f t="shared" si="3"/>
        <v>4</v>
      </c>
    </row>
    <row r="22" spans="1:7" ht="15" x14ac:dyDescent="0.25">
      <c r="A22" s="152" t="s">
        <v>362</v>
      </c>
      <c r="B22" s="152" t="s">
        <v>459</v>
      </c>
      <c r="C22" s="151" t="str">
        <f t="shared" si="0"/>
        <v>C</v>
      </c>
      <c r="D22" s="158">
        <f t="shared" si="1"/>
        <v>12</v>
      </c>
      <c r="E22" s="152" t="s">
        <v>459</v>
      </c>
      <c r="F22" s="146" t="str">
        <f t="shared" si="2"/>
        <v>C</v>
      </c>
      <c r="G22" s="158">
        <f t="shared" si="3"/>
        <v>12</v>
      </c>
    </row>
    <row r="23" spans="1:7" ht="15" x14ac:dyDescent="0.25">
      <c r="A23" s="152" t="s">
        <v>363</v>
      </c>
      <c r="B23" s="152" t="s">
        <v>611</v>
      </c>
      <c r="C23" s="151" t="str">
        <f t="shared" si="0"/>
        <v>D</v>
      </c>
      <c r="D23" s="158">
        <f t="shared" si="1"/>
        <v>16</v>
      </c>
      <c r="E23" s="152" t="s">
        <v>611</v>
      </c>
      <c r="F23" s="146" t="str">
        <f t="shared" si="2"/>
        <v>D</v>
      </c>
      <c r="G23" s="158">
        <f t="shared" si="3"/>
        <v>16</v>
      </c>
    </row>
    <row r="24" spans="1:7" ht="15" x14ac:dyDescent="0.25">
      <c r="A24" s="152" t="s">
        <v>364</v>
      </c>
      <c r="B24" s="152" t="s">
        <v>611</v>
      </c>
      <c r="C24" s="151" t="str">
        <f t="shared" si="0"/>
        <v>D</v>
      </c>
      <c r="D24" s="158">
        <f t="shared" si="1"/>
        <v>16</v>
      </c>
      <c r="E24" s="152" t="s">
        <v>611</v>
      </c>
      <c r="F24" s="146" t="str">
        <f t="shared" si="2"/>
        <v>D</v>
      </c>
      <c r="G24" s="158">
        <f t="shared" si="3"/>
        <v>16</v>
      </c>
    </row>
    <row r="25" spans="1:7" ht="15" x14ac:dyDescent="0.25">
      <c r="A25" s="152" t="s">
        <v>365</v>
      </c>
      <c r="B25" s="152" t="s">
        <v>459</v>
      </c>
      <c r="C25" s="151" t="str">
        <f t="shared" si="0"/>
        <v>C</v>
      </c>
      <c r="D25" s="158">
        <f t="shared" si="1"/>
        <v>12</v>
      </c>
      <c r="E25" s="152" t="s">
        <v>459</v>
      </c>
      <c r="F25" s="146" t="str">
        <f t="shared" si="2"/>
        <v>C</v>
      </c>
      <c r="G25" s="158">
        <f t="shared" si="3"/>
        <v>12</v>
      </c>
    </row>
    <row r="26" spans="1:7" ht="15" x14ac:dyDescent="0.25">
      <c r="A26" s="152" t="s">
        <v>35</v>
      </c>
      <c r="B26" s="152" t="s">
        <v>612</v>
      </c>
      <c r="C26" s="151" t="str">
        <f t="shared" si="0"/>
        <v>A1</v>
      </c>
      <c r="D26" s="158">
        <f t="shared" si="1"/>
        <v>1</v>
      </c>
      <c r="E26" s="152" t="s">
        <v>612</v>
      </c>
      <c r="F26" s="146" t="str">
        <f t="shared" si="2"/>
        <v>A1</v>
      </c>
      <c r="G26" s="158">
        <f t="shared" si="3"/>
        <v>1</v>
      </c>
    </row>
    <row r="27" spans="1:7" ht="15" x14ac:dyDescent="0.25">
      <c r="A27" s="152" t="s">
        <v>432</v>
      </c>
      <c r="B27" s="152" t="s">
        <v>207</v>
      </c>
      <c r="C27" s="151" t="str">
        <f t="shared" si="0"/>
        <v>B</v>
      </c>
      <c r="D27" s="158">
        <f t="shared" si="1"/>
        <v>8</v>
      </c>
      <c r="E27" s="152" t="s">
        <v>207</v>
      </c>
      <c r="F27" s="146" t="str">
        <f t="shared" si="2"/>
        <v>B</v>
      </c>
      <c r="G27" s="158">
        <f t="shared" si="3"/>
        <v>8</v>
      </c>
    </row>
    <row r="28" spans="1:7" ht="15" x14ac:dyDescent="0.25">
      <c r="A28" s="152" t="s">
        <v>512</v>
      </c>
      <c r="B28" s="152" t="s">
        <v>611</v>
      </c>
      <c r="C28" s="151" t="str">
        <f t="shared" si="0"/>
        <v>D</v>
      </c>
      <c r="D28" s="158">
        <f t="shared" si="1"/>
        <v>16</v>
      </c>
      <c r="E28" s="152" t="s">
        <v>611</v>
      </c>
      <c r="F28" s="146" t="str">
        <f t="shared" si="2"/>
        <v>D</v>
      </c>
      <c r="G28" s="158">
        <f t="shared" si="3"/>
        <v>16</v>
      </c>
    </row>
    <row r="29" spans="1:7" ht="15" x14ac:dyDescent="0.25">
      <c r="A29" s="152" t="s">
        <v>366</v>
      </c>
      <c r="B29" s="152" t="s">
        <v>611</v>
      </c>
      <c r="C29" s="151" t="str">
        <f t="shared" si="0"/>
        <v>D</v>
      </c>
      <c r="D29" s="158">
        <f t="shared" si="1"/>
        <v>16</v>
      </c>
      <c r="E29" s="152" t="s">
        <v>611</v>
      </c>
      <c r="F29" s="146" t="str">
        <f t="shared" si="2"/>
        <v>D</v>
      </c>
      <c r="G29" s="158">
        <f t="shared" si="3"/>
        <v>16</v>
      </c>
    </row>
    <row r="30" spans="1:7" ht="15" x14ac:dyDescent="0.25">
      <c r="A30" s="152" t="s">
        <v>36</v>
      </c>
      <c r="B30" s="152" t="s">
        <v>613</v>
      </c>
      <c r="C30" s="151" t="str">
        <f t="shared" si="0"/>
        <v>A2</v>
      </c>
      <c r="D30" s="158">
        <f t="shared" si="1"/>
        <v>2</v>
      </c>
      <c r="E30" s="152" t="s">
        <v>613</v>
      </c>
      <c r="F30" s="146" t="str">
        <f t="shared" si="2"/>
        <v>A2</v>
      </c>
      <c r="G30" s="158">
        <f t="shared" si="3"/>
        <v>2</v>
      </c>
    </row>
    <row r="31" spans="1:7" ht="15" x14ac:dyDescent="0.25">
      <c r="A31" s="152" t="s">
        <v>0</v>
      </c>
      <c r="B31" s="152" t="s">
        <v>615</v>
      </c>
      <c r="C31" s="151" t="str">
        <f t="shared" si="0"/>
        <v>A3</v>
      </c>
      <c r="D31" s="158">
        <f t="shared" si="1"/>
        <v>3</v>
      </c>
      <c r="E31" s="152" t="s">
        <v>207</v>
      </c>
      <c r="F31" s="146" t="str">
        <f t="shared" si="2"/>
        <v>B</v>
      </c>
      <c r="G31" s="158">
        <f t="shared" si="3"/>
        <v>8</v>
      </c>
    </row>
    <row r="32" spans="1:7" ht="15" x14ac:dyDescent="0.25">
      <c r="A32" s="152" t="s">
        <v>37</v>
      </c>
      <c r="B32" s="152" t="s">
        <v>614</v>
      </c>
      <c r="C32" s="151" t="str">
        <f t="shared" si="0"/>
        <v>A4</v>
      </c>
      <c r="D32" s="158">
        <f t="shared" si="1"/>
        <v>4</v>
      </c>
      <c r="E32" s="152" t="s">
        <v>614</v>
      </c>
      <c r="F32" s="146" t="str">
        <f t="shared" si="2"/>
        <v>A4</v>
      </c>
      <c r="G32" s="158">
        <f t="shared" si="3"/>
        <v>4</v>
      </c>
    </row>
    <row r="33" spans="1:7" ht="15" x14ac:dyDescent="0.25">
      <c r="A33" s="152" t="s">
        <v>618</v>
      </c>
      <c r="B33" s="152" t="s">
        <v>459</v>
      </c>
      <c r="C33" s="151" t="str">
        <f t="shared" si="0"/>
        <v>C</v>
      </c>
      <c r="D33" s="158">
        <f t="shared" si="1"/>
        <v>12</v>
      </c>
      <c r="E33" s="152" t="s">
        <v>611</v>
      </c>
      <c r="F33" s="146" t="str">
        <f t="shared" si="2"/>
        <v>D</v>
      </c>
      <c r="G33" s="158">
        <f t="shared" si="3"/>
        <v>16</v>
      </c>
    </row>
    <row r="34" spans="1:7" ht="15" x14ac:dyDescent="0.25">
      <c r="A34" s="152" t="s">
        <v>619</v>
      </c>
      <c r="B34" s="152" t="s">
        <v>611</v>
      </c>
      <c r="C34" s="151" t="str">
        <f t="shared" si="0"/>
        <v>D</v>
      </c>
      <c r="D34" s="158">
        <f t="shared" si="1"/>
        <v>16</v>
      </c>
      <c r="E34" s="152" t="s">
        <v>611</v>
      </c>
      <c r="F34" s="146" t="str">
        <f t="shared" si="2"/>
        <v>D</v>
      </c>
      <c r="G34" s="158">
        <f t="shared" si="3"/>
        <v>16</v>
      </c>
    </row>
    <row r="35" spans="1:7" ht="15" x14ac:dyDescent="0.25">
      <c r="A35" s="152" t="s">
        <v>367</v>
      </c>
      <c r="B35" s="152" t="s">
        <v>614</v>
      </c>
      <c r="C35" s="151" t="str">
        <f t="shared" si="0"/>
        <v>A4</v>
      </c>
      <c r="D35" s="158">
        <f t="shared" si="1"/>
        <v>4</v>
      </c>
      <c r="E35" s="152" t="s">
        <v>615</v>
      </c>
      <c r="F35" s="146" t="str">
        <f t="shared" si="2"/>
        <v>A3</v>
      </c>
      <c r="G35" s="158">
        <f t="shared" si="3"/>
        <v>3</v>
      </c>
    </row>
    <row r="36" spans="1:7" ht="15" x14ac:dyDescent="0.25">
      <c r="A36" s="152" t="s">
        <v>251</v>
      </c>
      <c r="B36" s="152" t="s">
        <v>620</v>
      </c>
      <c r="C36" s="151" t="str">
        <f t="shared" si="0"/>
        <v>A4</v>
      </c>
      <c r="D36" s="158">
        <f t="shared" si="1"/>
        <v>4</v>
      </c>
      <c r="E36" s="152" t="s">
        <v>615</v>
      </c>
      <c r="F36" s="146" t="str">
        <f t="shared" si="2"/>
        <v>A3</v>
      </c>
      <c r="G36" s="158">
        <f t="shared" si="3"/>
        <v>3</v>
      </c>
    </row>
    <row r="37" spans="1:7" ht="15" x14ac:dyDescent="0.25">
      <c r="A37" s="152" t="s">
        <v>545</v>
      </c>
      <c r="B37" s="152" t="s">
        <v>611</v>
      </c>
      <c r="C37" s="151" t="str">
        <f t="shared" si="0"/>
        <v>D</v>
      </c>
      <c r="D37" s="158">
        <f t="shared" si="1"/>
        <v>16</v>
      </c>
      <c r="E37" s="152" t="s">
        <v>611</v>
      </c>
      <c r="F37" s="146" t="str">
        <f t="shared" si="2"/>
        <v>D</v>
      </c>
      <c r="G37" s="158">
        <f t="shared" si="3"/>
        <v>16</v>
      </c>
    </row>
    <row r="38" spans="1:7" ht="15" x14ac:dyDescent="0.25">
      <c r="A38" s="152" t="s">
        <v>369</v>
      </c>
      <c r="B38" s="152" t="s">
        <v>614</v>
      </c>
      <c r="C38" s="151" t="str">
        <f t="shared" si="0"/>
        <v>A4</v>
      </c>
      <c r="D38" s="158">
        <f t="shared" si="1"/>
        <v>4</v>
      </c>
      <c r="E38" s="152" t="s">
        <v>615</v>
      </c>
      <c r="F38" s="146" t="str">
        <f t="shared" si="2"/>
        <v>A3</v>
      </c>
      <c r="G38" s="158">
        <f t="shared" si="3"/>
        <v>3</v>
      </c>
    </row>
    <row r="39" spans="1:7" ht="15" x14ac:dyDescent="0.25">
      <c r="A39" s="152" t="s">
        <v>66</v>
      </c>
      <c r="B39" s="152" t="s">
        <v>613</v>
      </c>
      <c r="C39" s="151" t="str">
        <f t="shared" si="0"/>
        <v>A2</v>
      </c>
      <c r="D39" s="158">
        <f t="shared" si="1"/>
        <v>2</v>
      </c>
      <c r="E39" s="152" t="s">
        <v>613</v>
      </c>
      <c r="F39" s="146" t="str">
        <f t="shared" si="2"/>
        <v>A2</v>
      </c>
      <c r="G39" s="158">
        <f t="shared" si="3"/>
        <v>2</v>
      </c>
    </row>
    <row r="40" spans="1:7" ht="15" x14ac:dyDescent="0.25">
      <c r="A40" s="152" t="s">
        <v>38</v>
      </c>
      <c r="B40" s="152" t="s">
        <v>613</v>
      </c>
      <c r="C40" s="151" t="str">
        <f t="shared" si="0"/>
        <v>A2</v>
      </c>
      <c r="D40" s="158">
        <f t="shared" si="1"/>
        <v>2</v>
      </c>
      <c r="E40" s="152" t="s">
        <v>612</v>
      </c>
      <c r="F40" s="146" t="str">
        <f t="shared" si="2"/>
        <v>A1</v>
      </c>
      <c r="G40" s="158">
        <f t="shared" si="3"/>
        <v>1</v>
      </c>
    </row>
    <row r="41" spans="1:7" ht="15" x14ac:dyDescent="0.25">
      <c r="A41" s="152" t="s">
        <v>499</v>
      </c>
      <c r="B41" s="152" t="s">
        <v>459</v>
      </c>
      <c r="C41" s="151" t="str">
        <f t="shared" si="0"/>
        <v>C</v>
      </c>
      <c r="D41" s="158">
        <f t="shared" si="1"/>
        <v>12</v>
      </c>
      <c r="E41" s="152" t="s">
        <v>611</v>
      </c>
      <c r="F41" s="146" t="str">
        <f t="shared" si="2"/>
        <v>D</v>
      </c>
      <c r="G41" s="158">
        <f t="shared" si="3"/>
        <v>16</v>
      </c>
    </row>
    <row r="42" spans="1:7" ht="15" x14ac:dyDescent="0.25">
      <c r="A42" s="152" t="s">
        <v>253</v>
      </c>
      <c r="B42" s="152" t="s">
        <v>207</v>
      </c>
      <c r="C42" s="151" t="str">
        <f t="shared" si="0"/>
        <v>B</v>
      </c>
      <c r="D42" s="158">
        <f t="shared" si="1"/>
        <v>8</v>
      </c>
      <c r="E42" s="152" t="s">
        <v>207</v>
      </c>
      <c r="F42" s="146" t="str">
        <f t="shared" si="2"/>
        <v>B</v>
      </c>
      <c r="G42" s="158">
        <f t="shared" si="3"/>
        <v>8</v>
      </c>
    </row>
    <row r="43" spans="1:7" ht="15" x14ac:dyDescent="0.25">
      <c r="A43" s="152" t="s">
        <v>39</v>
      </c>
      <c r="B43" s="152" t="s">
        <v>459</v>
      </c>
      <c r="C43" s="151" t="str">
        <f t="shared" si="0"/>
        <v>C</v>
      </c>
      <c r="D43" s="158">
        <f t="shared" si="1"/>
        <v>12</v>
      </c>
      <c r="E43" s="152" t="s">
        <v>459</v>
      </c>
      <c r="F43" s="146" t="str">
        <f t="shared" si="2"/>
        <v>C</v>
      </c>
      <c r="G43" s="158">
        <f t="shared" si="3"/>
        <v>12</v>
      </c>
    </row>
    <row r="44" spans="1:7" ht="15" x14ac:dyDescent="0.25">
      <c r="A44" s="152" t="s">
        <v>65</v>
      </c>
      <c r="B44" s="152" t="s">
        <v>621</v>
      </c>
      <c r="C44" s="151" t="str">
        <f t="shared" si="0"/>
        <v xml:space="preserve">B </v>
      </c>
      <c r="D44" s="158">
        <v>8</v>
      </c>
      <c r="E44" s="152" t="s">
        <v>207</v>
      </c>
      <c r="F44" s="146" t="str">
        <f t="shared" si="2"/>
        <v>B</v>
      </c>
      <c r="G44" s="158">
        <f t="shared" si="3"/>
        <v>8</v>
      </c>
    </row>
    <row r="45" spans="1:7" ht="15" x14ac:dyDescent="0.25">
      <c r="A45" s="152" t="s">
        <v>257</v>
      </c>
      <c r="B45" s="152" t="s">
        <v>207</v>
      </c>
      <c r="C45" s="151" t="str">
        <f t="shared" si="0"/>
        <v>B</v>
      </c>
      <c r="D45" s="158">
        <f t="shared" si="1"/>
        <v>8</v>
      </c>
      <c r="E45" s="152" t="s">
        <v>207</v>
      </c>
      <c r="F45" s="146" t="str">
        <f t="shared" si="2"/>
        <v>B</v>
      </c>
      <c r="G45" s="158">
        <f t="shared" si="3"/>
        <v>8</v>
      </c>
    </row>
    <row r="46" spans="1:7" ht="15" x14ac:dyDescent="0.25">
      <c r="A46" s="152" t="s">
        <v>502</v>
      </c>
      <c r="B46" s="152" t="s">
        <v>611</v>
      </c>
      <c r="C46" s="151" t="str">
        <f t="shared" si="0"/>
        <v>D</v>
      </c>
      <c r="D46" s="158">
        <f t="shared" si="1"/>
        <v>16</v>
      </c>
      <c r="E46" s="152"/>
      <c r="F46" s="146" t="str">
        <f t="shared" si="2"/>
        <v>No Rating</v>
      </c>
      <c r="G46" s="158" t="str">
        <f t="shared" si="3"/>
        <v>N/A</v>
      </c>
    </row>
    <row r="47" spans="1:7" ht="15" x14ac:dyDescent="0.25">
      <c r="A47" s="152" t="s">
        <v>511</v>
      </c>
      <c r="B47" s="152" t="s">
        <v>611</v>
      </c>
      <c r="C47" s="151" t="str">
        <f t="shared" si="0"/>
        <v>D</v>
      </c>
      <c r="D47" s="158">
        <f t="shared" si="1"/>
        <v>16</v>
      </c>
      <c r="E47" s="152" t="s">
        <v>611</v>
      </c>
      <c r="F47" s="146" t="str">
        <f t="shared" si="2"/>
        <v>D</v>
      </c>
      <c r="G47" s="158">
        <f t="shared" si="3"/>
        <v>16</v>
      </c>
    </row>
    <row r="48" spans="1:7" ht="15" x14ac:dyDescent="0.25">
      <c r="A48" s="152" t="s">
        <v>370</v>
      </c>
      <c r="B48" s="152" t="s">
        <v>615</v>
      </c>
      <c r="C48" s="151" t="str">
        <f t="shared" si="0"/>
        <v>A3</v>
      </c>
      <c r="D48" s="158">
        <f t="shared" si="1"/>
        <v>3</v>
      </c>
      <c r="E48" s="152" t="s">
        <v>613</v>
      </c>
      <c r="F48" s="146" t="str">
        <f t="shared" si="2"/>
        <v>A2</v>
      </c>
      <c r="G48" s="158">
        <f t="shared" si="3"/>
        <v>2</v>
      </c>
    </row>
    <row r="49" spans="1:7" ht="15" x14ac:dyDescent="0.25">
      <c r="A49" s="152" t="s">
        <v>371</v>
      </c>
      <c r="B49" s="152" t="s">
        <v>459</v>
      </c>
      <c r="C49" s="151" t="str">
        <f t="shared" si="0"/>
        <v>C</v>
      </c>
      <c r="D49" s="158">
        <f t="shared" si="1"/>
        <v>12</v>
      </c>
      <c r="E49" s="152" t="s">
        <v>611</v>
      </c>
      <c r="F49" s="146" t="str">
        <f t="shared" si="2"/>
        <v>D</v>
      </c>
      <c r="G49" s="158">
        <f t="shared" si="3"/>
        <v>16</v>
      </c>
    </row>
    <row r="50" spans="1:7" ht="15" x14ac:dyDescent="0.25">
      <c r="A50" s="152" t="s">
        <v>372</v>
      </c>
      <c r="B50" s="152" t="s">
        <v>613</v>
      </c>
      <c r="C50" s="151" t="str">
        <f t="shared" si="0"/>
        <v>A2</v>
      </c>
      <c r="D50" s="158">
        <f t="shared" si="1"/>
        <v>2</v>
      </c>
      <c r="E50" s="152" t="s">
        <v>612</v>
      </c>
      <c r="F50" s="146" t="str">
        <f t="shared" si="2"/>
        <v>A1</v>
      </c>
      <c r="G50" s="158">
        <f t="shared" si="3"/>
        <v>1</v>
      </c>
    </row>
    <row r="51" spans="1:7" ht="15" x14ac:dyDescent="0.25">
      <c r="A51" s="152" t="s">
        <v>41</v>
      </c>
      <c r="B51" s="152" t="s">
        <v>617</v>
      </c>
      <c r="C51" s="151" t="str">
        <f t="shared" si="0"/>
        <v>A2</v>
      </c>
      <c r="D51" s="158">
        <f t="shared" si="1"/>
        <v>2</v>
      </c>
      <c r="E51" s="152" t="s">
        <v>612</v>
      </c>
      <c r="F51" s="146" t="str">
        <f t="shared" si="2"/>
        <v>A1</v>
      </c>
      <c r="G51" s="158">
        <f t="shared" si="3"/>
        <v>1</v>
      </c>
    </row>
    <row r="52" spans="1:7" ht="15" x14ac:dyDescent="0.25">
      <c r="A52" s="152" t="s">
        <v>259</v>
      </c>
      <c r="B52" s="152" t="s">
        <v>207</v>
      </c>
      <c r="C52" s="151" t="str">
        <f t="shared" si="0"/>
        <v>B</v>
      </c>
      <c r="D52" s="158">
        <f t="shared" si="1"/>
        <v>8</v>
      </c>
      <c r="E52" s="152" t="s">
        <v>459</v>
      </c>
      <c r="F52" s="146" t="str">
        <f t="shared" si="2"/>
        <v>C</v>
      </c>
      <c r="G52" s="158">
        <f t="shared" si="3"/>
        <v>12</v>
      </c>
    </row>
    <row r="53" spans="1:7" ht="15" x14ac:dyDescent="0.25">
      <c r="A53" s="152" t="s">
        <v>261</v>
      </c>
      <c r="B53" s="152" t="s">
        <v>459</v>
      </c>
      <c r="C53" s="151" t="str">
        <f t="shared" si="0"/>
        <v>C</v>
      </c>
      <c r="D53" s="158">
        <f t="shared" si="1"/>
        <v>12</v>
      </c>
      <c r="E53" s="152" t="s">
        <v>459</v>
      </c>
      <c r="F53" s="146" t="str">
        <f t="shared" si="2"/>
        <v>C</v>
      </c>
      <c r="G53" s="158">
        <f t="shared" si="3"/>
        <v>12</v>
      </c>
    </row>
    <row r="54" spans="1:7" ht="15" x14ac:dyDescent="0.25">
      <c r="A54" s="152" t="s">
        <v>42</v>
      </c>
      <c r="B54" s="152" t="s">
        <v>617</v>
      </c>
      <c r="C54" s="151" t="str">
        <f t="shared" si="0"/>
        <v>A2</v>
      </c>
      <c r="D54" s="158">
        <f t="shared" si="1"/>
        <v>2</v>
      </c>
      <c r="E54" s="152" t="s">
        <v>612</v>
      </c>
      <c r="F54" s="146" t="str">
        <f t="shared" si="2"/>
        <v>A1</v>
      </c>
      <c r="G54" s="158">
        <f t="shared" si="3"/>
        <v>1</v>
      </c>
    </row>
    <row r="55" spans="1:7" ht="15" x14ac:dyDescent="0.25">
      <c r="A55" s="152" t="s">
        <v>263</v>
      </c>
      <c r="B55" s="152" t="s">
        <v>459</v>
      </c>
      <c r="C55" s="151" t="str">
        <f t="shared" si="0"/>
        <v>C</v>
      </c>
      <c r="D55" s="158">
        <f t="shared" si="1"/>
        <v>12</v>
      </c>
      <c r="E55" s="152" t="s">
        <v>207</v>
      </c>
      <c r="F55" s="146" t="str">
        <f t="shared" si="2"/>
        <v>B</v>
      </c>
      <c r="G55" s="158">
        <f t="shared" si="3"/>
        <v>8</v>
      </c>
    </row>
    <row r="56" spans="1:7" ht="15" x14ac:dyDescent="0.25">
      <c r="A56" s="152" t="s">
        <v>374</v>
      </c>
      <c r="B56" s="152" t="s">
        <v>207</v>
      </c>
      <c r="C56" s="151" t="str">
        <f t="shared" si="0"/>
        <v>B</v>
      </c>
      <c r="D56" s="158">
        <f t="shared" si="1"/>
        <v>8</v>
      </c>
      <c r="E56" s="152" t="s">
        <v>615</v>
      </c>
      <c r="F56" s="146" t="str">
        <f t="shared" si="2"/>
        <v>A3</v>
      </c>
      <c r="G56" s="158">
        <f t="shared" si="3"/>
        <v>3</v>
      </c>
    </row>
    <row r="57" spans="1:7" ht="15" x14ac:dyDescent="0.25">
      <c r="A57" s="152" t="s">
        <v>375</v>
      </c>
      <c r="B57" s="152" t="s">
        <v>207</v>
      </c>
      <c r="C57" s="151" t="str">
        <f t="shared" si="0"/>
        <v>B</v>
      </c>
      <c r="D57" s="158">
        <f t="shared" si="1"/>
        <v>8</v>
      </c>
      <c r="E57" s="152" t="s">
        <v>459</v>
      </c>
      <c r="F57" s="146" t="str">
        <f t="shared" si="2"/>
        <v>C</v>
      </c>
      <c r="G57" s="158">
        <f t="shared" si="3"/>
        <v>12</v>
      </c>
    </row>
    <row r="58" spans="1:7" ht="15" x14ac:dyDescent="0.25">
      <c r="A58" s="152" t="s">
        <v>510</v>
      </c>
      <c r="B58" s="152" t="s">
        <v>611</v>
      </c>
      <c r="C58" s="151" t="str">
        <f t="shared" si="0"/>
        <v>D</v>
      </c>
      <c r="D58" s="158">
        <f t="shared" si="1"/>
        <v>16</v>
      </c>
      <c r="E58" s="152" t="s">
        <v>611</v>
      </c>
      <c r="F58" s="146" t="str">
        <f t="shared" si="2"/>
        <v>D</v>
      </c>
      <c r="G58" s="158">
        <f t="shared" si="3"/>
        <v>16</v>
      </c>
    </row>
    <row r="59" spans="1:7" ht="15" x14ac:dyDescent="0.25">
      <c r="A59" s="152" t="s">
        <v>507</v>
      </c>
      <c r="B59" s="152" t="s">
        <v>611</v>
      </c>
      <c r="C59" s="151" t="str">
        <f t="shared" si="0"/>
        <v>D</v>
      </c>
      <c r="D59" s="158">
        <f t="shared" si="1"/>
        <v>16</v>
      </c>
      <c r="E59" s="152"/>
      <c r="F59" s="146" t="str">
        <f t="shared" si="2"/>
        <v>No Rating</v>
      </c>
      <c r="G59" s="158" t="str">
        <f t="shared" si="3"/>
        <v>N/A</v>
      </c>
    </row>
    <row r="60" spans="1:7" ht="15" x14ac:dyDescent="0.25">
      <c r="A60" s="152" t="s">
        <v>376</v>
      </c>
      <c r="B60" s="152" t="s">
        <v>611</v>
      </c>
      <c r="C60" s="151" t="str">
        <f t="shared" si="0"/>
        <v>D</v>
      </c>
      <c r="D60" s="158">
        <f t="shared" si="1"/>
        <v>16</v>
      </c>
      <c r="E60" s="152"/>
      <c r="F60" s="146" t="str">
        <f t="shared" si="2"/>
        <v>No Rating</v>
      </c>
      <c r="G60" s="158" t="str">
        <f t="shared" si="3"/>
        <v>N/A</v>
      </c>
    </row>
    <row r="61" spans="1:7" ht="15" x14ac:dyDescent="0.25">
      <c r="A61" s="152" t="s">
        <v>436</v>
      </c>
      <c r="B61" s="152" t="s">
        <v>611</v>
      </c>
      <c r="C61" s="151" t="str">
        <f t="shared" si="0"/>
        <v>D</v>
      </c>
      <c r="D61" s="158">
        <f t="shared" si="1"/>
        <v>16</v>
      </c>
      <c r="E61" s="152" t="s">
        <v>611</v>
      </c>
      <c r="F61" s="146" t="str">
        <f t="shared" si="2"/>
        <v>D</v>
      </c>
      <c r="G61" s="158">
        <f t="shared" si="3"/>
        <v>16</v>
      </c>
    </row>
    <row r="62" spans="1:7" ht="15" x14ac:dyDescent="0.25">
      <c r="A62" s="152" t="s">
        <v>377</v>
      </c>
      <c r="B62" s="152" t="s">
        <v>459</v>
      </c>
      <c r="C62" s="151" t="str">
        <f t="shared" si="0"/>
        <v>C</v>
      </c>
      <c r="D62" s="158">
        <f t="shared" si="1"/>
        <v>12</v>
      </c>
      <c r="E62" s="152" t="s">
        <v>459</v>
      </c>
      <c r="F62" s="146" t="str">
        <f t="shared" si="2"/>
        <v>C</v>
      </c>
      <c r="G62" s="158">
        <f t="shared" si="3"/>
        <v>12</v>
      </c>
    </row>
    <row r="63" spans="1:7" ht="15" x14ac:dyDescent="0.25">
      <c r="A63" s="152" t="s">
        <v>21</v>
      </c>
      <c r="B63" s="152" t="s">
        <v>612</v>
      </c>
      <c r="C63" s="151" t="str">
        <f t="shared" si="0"/>
        <v>A1</v>
      </c>
      <c r="D63" s="158">
        <f t="shared" si="1"/>
        <v>1</v>
      </c>
      <c r="E63" s="152" t="s">
        <v>613</v>
      </c>
      <c r="F63" s="146" t="str">
        <f t="shared" si="2"/>
        <v>A2</v>
      </c>
      <c r="G63" s="158">
        <f t="shared" si="3"/>
        <v>2</v>
      </c>
    </row>
    <row r="64" spans="1:7" ht="15" x14ac:dyDescent="0.25">
      <c r="A64" s="152" t="s">
        <v>43</v>
      </c>
      <c r="B64" s="152" t="s">
        <v>614</v>
      </c>
      <c r="C64" s="151" t="str">
        <f t="shared" si="0"/>
        <v>A4</v>
      </c>
      <c r="D64" s="158">
        <f t="shared" si="1"/>
        <v>4</v>
      </c>
      <c r="E64" s="152" t="s">
        <v>613</v>
      </c>
      <c r="F64" s="146" t="str">
        <f t="shared" si="2"/>
        <v>A2</v>
      </c>
      <c r="G64" s="158">
        <f t="shared" si="3"/>
        <v>2</v>
      </c>
    </row>
    <row r="65" spans="1:7" ht="15" x14ac:dyDescent="0.25">
      <c r="A65" s="152" t="s">
        <v>379</v>
      </c>
      <c r="B65" s="152" t="s">
        <v>614</v>
      </c>
      <c r="C65" s="151" t="str">
        <f t="shared" si="0"/>
        <v>A4</v>
      </c>
      <c r="D65" s="158">
        <f t="shared" si="1"/>
        <v>4</v>
      </c>
      <c r="E65" s="152" t="s">
        <v>612</v>
      </c>
      <c r="F65" s="146" t="str">
        <f t="shared" si="2"/>
        <v>A1</v>
      </c>
      <c r="G65" s="158">
        <f t="shared" si="3"/>
        <v>1</v>
      </c>
    </row>
    <row r="66" spans="1:7" ht="15" x14ac:dyDescent="0.25">
      <c r="A66" s="152" t="s">
        <v>1</v>
      </c>
      <c r="B66" s="152" t="s">
        <v>615</v>
      </c>
      <c r="C66" s="151" t="str">
        <f t="shared" si="0"/>
        <v>A3</v>
      </c>
      <c r="D66" s="158">
        <f t="shared" si="1"/>
        <v>3</v>
      </c>
      <c r="E66" s="152" t="s">
        <v>614</v>
      </c>
      <c r="F66" s="146" t="str">
        <f t="shared" si="2"/>
        <v>A4</v>
      </c>
      <c r="G66" s="158">
        <f t="shared" si="3"/>
        <v>4</v>
      </c>
    </row>
    <row r="67" spans="1:7" ht="15" x14ac:dyDescent="0.25">
      <c r="A67" s="152" t="s">
        <v>2</v>
      </c>
      <c r="B67" s="152" t="s">
        <v>207</v>
      </c>
      <c r="C67" s="151" t="str">
        <f t="shared" ref="C67:C130" si="4">IF(OR(RIGHT(B67,7)="upgrade",RIGHT(B67,9)="downgrade"),LEFT(B67,2),B67)</f>
        <v>B</v>
      </c>
      <c r="D67" s="158">
        <f t="shared" ref="D67:D130" si="5">VLOOKUP(C67,$H$2:$I$8,2,FALSE)</f>
        <v>8</v>
      </c>
      <c r="E67" s="152" t="s">
        <v>459</v>
      </c>
      <c r="F67" s="146" t="str">
        <f t="shared" ref="F67:F130" si="6">IF(E67="","No Rating",E67)</f>
        <v>C</v>
      </c>
      <c r="G67" s="158">
        <f t="shared" ref="G67:G130" si="7">IF(F67="No Rating","N/A",VLOOKUP(F67,$H$2:$I$8,2,FALSE))</f>
        <v>12</v>
      </c>
    </row>
    <row r="68" spans="1:7" ht="15" x14ac:dyDescent="0.25">
      <c r="A68" s="152" t="s">
        <v>558</v>
      </c>
      <c r="B68" s="152" t="s">
        <v>611</v>
      </c>
      <c r="C68" s="151" t="str">
        <f t="shared" si="4"/>
        <v>D</v>
      </c>
      <c r="D68" s="158">
        <f t="shared" si="5"/>
        <v>16</v>
      </c>
      <c r="E68" s="152" t="s">
        <v>459</v>
      </c>
      <c r="F68" s="146" t="str">
        <f t="shared" si="6"/>
        <v>C</v>
      </c>
      <c r="G68" s="158">
        <f t="shared" si="7"/>
        <v>12</v>
      </c>
    </row>
    <row r="69" spans="1:7" ht="15" x14ac:dyDescent="0.25">
      <c r="A69" s="152" t="s">
        <v>267</v>
      </c>
      <c r="B69" s="152" t="s">
        <v>611</v>
      </c>
      <c r="C69" s="151" t="str">
        <f t="shared" si="4"/>
        <v>D</v>
      </c>
      <c r="D69" s="158">
        <f t="shared" si="5"/>
        <v>16</v>
      </c>
      <c r="E69" s="152" t="s">
        <v>611</v>
      </c>
      <c r="F69" s="146" t="str">
        <f t="shared" si="6"/>
        <v>D</v>
      </c>
      <c r="G69" s="158">
        <f t="shared" si="7"/>
        <v>16</v>
      </c>
    </row>
    <row r="70" spans="1:7" ht="15" x14ac:dyDescent="0.25">
      <c r="A70" s="152" t="s">
        <v>380</v>
      </c>
      <c r="B70" s="152" t="s">
        <v>614</v>
      </c>
      <c r="C70" s="151" t="str">
        <f t="shared" si="4"/>
        <v>A4</v>
      </c>
      <c r="D70" s="158">
        <f t="shared" si="5"/>
        <v>4</v>
      </c>
      <c r="E70" s="152" t="s">
        <v>612</v>
      </c>
      <c r="F70" s="146" t="str">
        <f t="shared" si="6"/>
        <v>A1</v>
      </c>
      <c r="G70" s="158">
        <f t="shared" si="7"/>
        <v>1</v>
      </c>
    </row>
    <row r="71" spans="1:7" ht="15" x14ac:dyDescent="0.25">
      <c r="A71" s="152" t="s">
        <v>61</v>
      </c>
      <c r="B71" s="152" t="s">
        <v>615</v>
      </c>
      <c r="C71" s="151" t="str">
        <f t="shared" si="4"/>
        <v>A3</v>
      </c>
      <c r="D71" s="158">
        <f t="shared" si="5"/>
        <v>3</v>
      </c>
      <c r="E71" s="152" t="s">
        <v>613</v>
      </c>
      <c r="F71" s="146" t="str">
        <f t="shared" si="6"/>
        <v>A2</v>
      </c>
      <c r="G71" s="158">
        <f t="shared" si="7"/>
        <v>2</v>
      </c>
    </row>
    <row r="72" spans="1:7" ht="15" x14ac:dyDescent="0.25">
      <c r="A72" s="152" t="s">
        <v>44</v>
      </c>
      <c r="B72" s="152" t="s">
        <v>615</v>
      </c>
      <c r="C72" s="151" t="str">
        <f t="shared" si="4"/>
        <v>A3</v>
      </c>
      <c r="D72" s="158">
        <f t="shared" si="5"/>
        <v>3</v>
      </c>
      <c r="E72" s="152" t="s">
        <v>613</v>
      </c>
      <c r="F72" s="146" t="str">
        <f t="shared" si="6"/>
        <v>A2</v>
      </c>
      <c r="G72" s="158">
        <f t="shared" si="7"/>
        <v>2</v>
      </c>
    </row>
    <row r="73" spans="1:7" ht="15" x14ac:dyDescent="0.25">
      <c r="A73" s="152" t="s">
        <v>302</v>
      </c>
      <c r="B73" s="152" t="s">
        <v>611</v>
      </c>
      <c r="C73" s="151" t="str">
        <f t="shared" si="4"/>
        <v>D</v>
      </c>
      <c r="D73" s="158">
        <f t="shared" si="5"/>
        <v>16</v>
      </c>
      <c r="E73" s="152" t="s">
        <v>459</v>
      </c>
      <c r="F73" s="146" t="str">
        <f t="shared" si="6"/>
        <v>C</v>
      </c>
      <c r="G73" s="158">
        <f t="shared" si="7"/>
        <v>12</v>
      </c>
    </row>
    <row r="74" spans="1:7" ht="15" x14ac:dyDescent="0.25">
      <c r="A74" s="152" t="s">
        <v>269</v>
      </c>
      <c r="B74" s="152" t="s">
        <v>459</v>
      </c>
      <c r="C74" s="151" t="str">
        <f t="shared" si="4"/>
        <v>C</v>
      </c>
      <c r="D74" s="158">
        <f t="shared" si="5"/>
        <v>12</v>
      </c>
      <c r="E74" s="152" t="s">
        <v>207</v>
      </c>
      <c r="F74" s="146" t="str">
        <f t="shared" si="6"/>
        <v>B</v>
      </c>
      <c r="G74" s="158">
        <f t="shared" si="7"/>
        <v>8</v>
      </c>
    </row>
    <row r="75" spans="1:7" ht="15" x14ac:dyDescent="0.25">
      <c r="A75" s="152" t="s">
        <v>17</v>
      </c>
      <c r="B75" s="152" t="s">
        <v>622</v>
      </c>
      <c r="C75" s="151" t="str">
        <f t="shared" si="4"/>
        <v>A1</v>
      </c>
      <c r="D75" s="158">
        <f t="shared" si="5"/>
        <v>1</v>
      </c>
      <c r="E75" s="152" t="s">
        <v>612</v>
      </c>
      <c r="F75" s="146" t="str">
        <f t="shared" si="6"/>
        <v>A1</v>
      </c>
      <c r="G75" s="158">
        <f t="shared" si="7"/>
        <v>1</v>
      </c>
    </row>
    <row r="76" spans="1:7" ht="15" x14ac:dyDescent="0.25">
      <c r="A76" s="152" t="s">
        <v>304</v>
      </c>
      <c r="B76" s="152" t="s">
        <v>207</v>
      </c>
      <c r="C76" s="151" t="str">
        <f t="shared" si="4"/>
        <v>B</v>
      </c>
      <c r="D76" s="158">
        <f t="shared" si="5"/>
        <v>8</v>
      </c>
      <c r="E76" s="152" t="s">
        <v>614</v>
      </c>
      <c r="F76" s="146" t="str">
        <f t="shared" si="6"/>
        <v>A4</v>
      </c>
      <c r="G76" s="158">
        <f t="shared" si="7"/>
        <v>4</v>
      </c>
    </row>
    <row r="77" spans="1:7" ht="15" x14ac:dyDescent="0.25">
      <c r="A77" s="152" t="s">
        <v>45</v>
      </c>
      <c r="B77" s="152" t="s">
        <v>207</v>
      </c>
      <c r="C77" s="151" t="str">
        <f t="shared" si="4"/>
        <v>B</v>
      </c>
      <c r="D77" s="158">
        <f t="shared" si="5"/>
        <v>8</v>
      </c>
      <c r="E77" s="152" t="s">
        <v>207</v>
      </c>
      <c r="F77" s="146" t="str">
        <f t="shared" si="6"/>
        <v>B</v>
      </c>
      <c r="G77" s="158">
        <f t="shared" si="7"/>
        <v>8</v>
      </c>
    </row>
    <row r="78" spans="1:7" ht="15" x14ac:dyDescent="0.25">
      <c r="A78" s="152" t="s">
        <v>381</v>
      </c>
      <c r="B78" s="152" t="s">
        <v>459</v>
      </c>
      <c r="C78" s="151" t="str">
        <f t="shared" si="4"/>
        <v>C</v>
      </c>
      <c r="D78" s="158">
        <f t="shared" si="5"/>
        <v>12</v>
      </c>
      <c r="E78" s="152" t="s">
        <v>459</v>
      </c>
      <c r="F78" s="146" t="str">
        <f t="shared" si="6"/>
        <v>C</v>
      </c>
      <c r="G78" s="158">
        <f t="shared" si="7"/>
        <v>12</v>
      </c>
    </row>
    <row r="79" spans="1:7" ht="15" x14ac:dyDescent="0.25">
      <c r="A79" s="152" t="s">
        <v>383</v>
      </c>
      <c r="B79" s="152" t="s">
        <v>613</v>
      </c>
      <c r="C79" s="151" t="str">
        <f t="shared" si="4"/>
        <v>A2</v>
      </c>
      <c r="D79" s="158">
        <f t="shared" si="5"/>
        <v>2</v>
      </c>
      <c r="E79" s="152" t="s">
        <v>615</v>
      </c>
      <c r="F79" s="146" t="str">
        <f t="shared" si="6"/>
        <v>A3</v>
      </c>
      <c r="G79" s="158">
        <f t="shared" si="7"/>
        <v>3</v>
      </c>
    </row>
    <row r="80" spans="1:7" ht="15" x14ac:dyDescent="0.25">
      <c r="A80" s="152" t="s">
        <v>561</v>
      </c>
      <c r="B80" s="152" t="s">
        <v>611</v>
      </c>
      <c r="C80" s="151" t="str">
        <f t="shared" si="4"/>
        <v>D</v>
      </c>
      <c r="D80" s="158">
        <f t="shared" si="5"/>
        <v>16</v>
      </c>
      <c r="E80" s="152" t="s">
        <v>611</v>
      </c>
      <c r="F80" s="146" t="str">
        <f t="shared" si="6"/>
        <v>D</v>
      </c>
      <c r="G80" s="158">
        <f t="shared" si="7"/>
        <v>16</v>
      </c>
    </row>
    <row r="81" spans="1:7" ht="15" x14ac:dyDescent="0.25">
      <c r="A81" s="152" t="s">
        <v>562</v>
      </c>
      <c r="B81" s="152" t="s">
        <v>611</v>
      </c>
      <c r="C81" s="151" t="str">
        <f t="shared" si="4"/>
        <v>D</v>
      </c>
      <c r="D81" s="158">
        <f t="shared" si="5"/>
        <v>16</v>
      </c>
      <c r="E81" s="152" t="s">
        <v>611</v>
      </c>
      <c r="F81" s="146" t="str">
        <f t="shared" si="6"/>
        <v>D</v>
      </c>
      <c r="G81" s="158">
        <f t="shared" si="7"/>
        <v>16</v>
      </c>
    </row>
    <row r="82" spans="1:7" ht="15" x14ac:dyDescent="0.25">
      <c r="A82" s="152" t="s">
        <v>385</v>
      </c>
      <c r="B82" s="152" t="s">
        <v>207</v>
      </c>
      <c r="C82" s="151" t="str">
        <f t="shared" si="4"/>
        <v>B</v>
      </c>
      <c r="D82" s="158">
        <f t="shared" si="5"/>
        <v>8</v>
      </c>
      <c r="E82" s="152" t="s">
        <v>615</v>
      </c>
      <c r="F82" s="146" t="str">
        <f t="shared" si="6"/>
        <v>A3</v>
      </c>
      <c r="G82" s="158">
        <f t="shared" si="7"/>
        <v>3</v>
      </c>
    </row>
    <row r="83" spans="1:7" ht="15" x14ac:dyDescent="0.25">
      <c r="A83" s="152" t="s">
        <v>272</v>
      </c>
      <c r="B83" s="152" t="s">
        <v>459</v>
      </c>
      <c r="C83" s="151" t="str">
        <f t="shared" si="4"/>
        <v>C</v>
      </c>
      <c r="D83" s="158">
        <f t="shared" si="5"/>
        <v>12</v>
      </c>
      <c r="E83" s="152" t="s">
        <v>207</v>
      </c>
      <c r="F83" s="146" t="str">
        <f t="shared" si="6"/>
        <v>B</v>
      </c>
      <c r="G83" s="158">
        <f t="shared" si="7"/>
        <v>8</v>
      </c>
    </row>
    <row r="84" spans="1:7" ht="15" x14ac:dyDescent="0.25">
      <c r="A84" s="152" t="s">
        <v>386</v>
      </c>
      <c r="B84" s="152" t="s">
        <v>207</v>
      </c>
      <c r="C84" s="151" t="str">
        <f t="shared" si="4"/>
        <v>B</v>
      </c>
      <c r="D84" s="158">
        <f t="shared" si="5"/>
        <v>8</v>
      </c>
      <c r="E84" s="152" t="s">
        <v>459</v>
      </c>
      <c r="F84" s="146" t="str">
        <f t="shared" si="6"/>
        <v>C</v>
      </c>
      <c r="G84" s="158">
        <f t="shared" si="7"/>
        <v>12</v>
      </c>
    </row>
    <row r="85" spans="1:7" ht="15" x14ac:dyDescent="0.25">
      <c r="A85" s="152" t="s">
        <v>498</v>
      </c>
      <c r="B85" s="152" t="s">
        <v>611</v>
      </c>
      <c r="C85" s="151" t="str">
        <f t="shared" si="4"/>
        <v>D</v>
      </c>
      <c r="D85" s="158">
        <f t="shared" si="5"/>
        <v>16</v>
      </c>
      <c r="E85" s="152"/>
      <c r="F85" s="146" t="str">
        <f t="shared" si="6"/>
        <v>No Rating</v>
      </c>
      <c r="G85" s="158" t="str">
        <f t="shared" si="7"/>
        <v>N/A</v>
      </c>
    </row>
    <row r="86" spans="1:7" ht="15" x14ac:dyDescent="0.25">
      <c r="A86" s="152" t="s">
        <v>387</v>
      </c>
      <c r="B86" s="152" t="s">
        <v>611</v>
      </c>
      <c r="C86" s="151" t="str">
        <f t="shared" si="4"/>
        <v>D</v>
      </c>
      <c r="D86" s="158">
        <f t="shared" si="5"/>
        <v>16</v>
      </c>
      <c r="E86" s="152" t="s">
        <v>611</v>
      </c>
      <c r="F86" s="146" t="str">
        <f t="shared" si="6"/>
        <v>D</v>
      </c>
      <c r="G86" s="158">
        <f t="shared" si="7"/>
        <v>16</v>
      </c>
    </row>
    <row r="87" spans="1:7" ht="15" x14ac:dyDescent="0.25">
      <c r="A87" s="152" t="s">
        <v>274</v>
      </c>
      <c r="B87" s="152" t="s">
        <v>614</v>
      </c>
      <c r="C87" s="151" t="str">
        <f t="shared" si="4"/>
        <v>A4</v>
      </c>
      <c r="D87" s="158">
        <f t="shared" si="5"/>
        <v>4</v>
      </c>
      <c r="E87" s="152" t="s">
        <v>613</v>
      </c>
      <c r="F87" s="146" t="str">
        <f t="shared" si="6"/>
        <v>A2</v>
      </c>
      <c r="G87" s="158">
        <f t="shared" si="7"/>
        <v>2</v>
      </c>
    </row>
    <row r="88" spans="1:7" ht="15" x14ac:dyDescent="0.25">
      <c r="A88" s="152" t="s">
        <v>388</v>
      </c>
      <c r="B88" s="152" t="s">
        <v>612</v>
      </c>
      <c r="C88" s="151" t="str">
        <f t="shared" si="4"/>
        <v>A1</v>
      </c>
      <c r="D88" s="158">
        <f t="shared" si="5"/>
        <v>1</v>
      </c>
      <c r="E88" s="152" t="s">
        <v>613</v>
      </c>
      <c r="F88" s="146" t="str">
        <f t="shared" si="6"/>
        <v>A2</v>
      </c>
      <c r="G88" s="158">
        <f t="shared" si="7"/>
        <v>2</v>
      </c>
    </row>
    <row r="89" spans="1:7" ht="15" x14ac:dyDescent="0.25">
      <c r="A89" s="152" t="s">
        <v>565</v>
      </c>
      <c r="B89" s="152" t="s">
        <v>459</v>
      </c>
      <c r="C89" s="151" t="str">
        <f t="shared" si="4"/>
        <v>C</v>
      </c>
      <c r="D89" s="158">
        <f t="shared" si="5"/>
        <v>12</v>
      </c>
      <c r="E89" s="152" t="s">
        <v>207</v>
      </c>
      <c r="F89" s="146" t="str">
        <f t="shared" si="6"/>
        <v>B</v>
      </c>
      <c r="G89" s="158">
        <f t="shared" si="7"/>
        <v>8</v>
      </c>
    </row>
    <row r="90" spans="1:7" ht="15" x14ac:dyDescent="0.25">
      <c r="A90" s="152" t="s">
        <v>390</v>
      </c>
      <c r="B90" s="152" t="s">
        <v>459</v>
      </c>
      <c r="C90" s="151" t="str">
        <f t="shared" si="4"/>
        <v>C</v>
      </c>
      <c r="D90" s="158">
        <f t="shared" si="5"/>
        <v>12</v>
      </c>
      <c r="E90" s="152" t="s">
        <v>459</v>
      </c>
      <c r="F90" s="146" t="str">
        <f t="shared" si="6"/>
        <v>C</v>
      </c>
      <c r="G90" s="158">
        <f t="shared" si="7"/>
        <v>12</v>
      </c>
    </row>
    <row r="91" spans="1:7" ht="15" x14ac:dyDescent="0.25">
      <c r="A91" s="152" t="s">
        <v>391</v>
      </c>
      <c r="B91" s="152" t="s">
        <v>611</v>
      </c>
      <c r="C91" s="151" t="str">
        <f t="shared" si="4"/>
        <v>D</v>
      </c>
      <c r="D91" s="158">
        <f t="shared" si="5"/>
        <v>16</v>
      </c>
      <c r="E91" s="152" t="s">
        <v>611</v>
      </c>
      <c r="F91" s="146" t="str">
        <f t="shared" si="6"/>
        <v>D</v>
      </c>
      <c r="G91" s="158">
        <f t="shared" si="7"/>
        <v>16</v>
      </c>
    </row>
    <row r="92" spans="1:7" ht="15" x14ac:dyDescent="0.25">
      <c r="A92" s="152" t="s">
        <v>3</v>
      </c>
      <c r="B92" s="152" t="s">
        <v>613</v>
      </c>
      <c r="C92" s="151" t="str">
        <f t="shared" si="4"/>
        <v>A2</v>
      </c>
      <c r="D92" s="158">
        <f t="shared" si="5"/>
        <v>2</v>
      </c>
      <c r="E92" s="152" t="s">
        <v>615</v>
      </c>
      <c r="F92" s="146" t="str">
        <f t="shared" si="6"/>
        <v>A3</v>
      </c>
      <c r="G92" s="158">
        <f t="shared" si="7"/>
        <v>3</v>
      </c>
    </row>
    <row r="93" spans="1:7" ht="15" x14ac:dyDescent="0.25">
      <c r="A93" s="152" t="s">
        <v>392</v>
      </c>
      <c r="B93" s="152" t="s">
        <v>459</v>
      </c>
      <c r="C93" s="151" t="str">
        <f t="shared" si="4"/>
        <v>C</v>
      </c>
      <c r="D93" s="158">
        <f t="shared" si="5"/>
        <v>12</v>
      </c>
      <c r="E93" s="152" t="s">
        <v>459</v>
      </c>
      <c r="F93" s="146" t="str">
        <f t="shared" si="6"/>
        <v>C</v>
      </c>
      <c r="G93" s="158">
        <f t="shared" si="7"/>
        <v>12</v>
      </c>
    </row>
    <row r="94" spans="1:7" ht="15" x14ac:dyDescent="0.25">
      <c r="A94" s="152" t="s">
        <v>393</v>
      </c>
      <c r="B94" s="152" t="s">
        <v>613</v>
      </c>
      <c r="C94" s="151" t="str">
        <f t="shared" si="4"/>
        <v>A2</v>
      </c>
      <c r="D94" s="158">
        <f t="shared" si="5"/>
        <v>2</v>
      </c>
      <c r="E94" s="152" t="s">
        <v>613</v>
      </c>
      <c r="F94" s="146" t="str">
        <f t="shared" si="6"/>
        <v>A2</v>
      </c>
      <c r="G94" s="158">
        <f t="shared" si="7"/>
        <v>2</v>
      </c>
    </row>
    <row r="95" spans="1:7" ht="15" x14ac:dyDescent="0.25">
      <c r="A95" s="152" t="s">
        <v>394</v>
      </c>
      <c r="B95" s="152" t="s">
        <v>459</v>
      </c>
      <c r="C95" s="151" t="str">
        <f t="shared" si="4"/>
        <v>C</v>
      </c>
      <c r="D95" s="158">
        <f t="shared" si="5"/>
        <v>12</v>
      </c>
      <c r="E95" s="152" t="s">
        <v>611</v>
      </c>
      <c r="F95" s="146" t="str">
        <f t="shared" si="6"/>
        <v>D</v>
      </c>
      <c r="G95" s="158">
        <f t="shared" si="7"/>
        <v>16</v>
      </c>
    </row>
    <row r="96" spans="1:7" ht="15" x14ac:dyDescent="0.25">
      <c r="A96" s="152" t="s">
        <v>395</v>
      </c>
      <c r="B96" s="152" t="s">
        <v>615</v>
      </c>
      <c r="C96" s="151" t="str">
        <f t="shared" si="4"/>
        <v>A3</v>
      </c>
      <c r="D96" s="158">
        <f t="shared" si="5"/>
        <v>3</v>
      </c>
      <c r="E96" s="152" t="s">
        <v>615</v>
      </c>
      <c r="F96" s="146" t="str">
        <f t="shared" si="6"/>
        <v>A3</v>
      </c>
      <c r="G96" s="158">
        <f t="shared" si="7"/>
        <v>3</v>
      </c>
    </row>
    <row r="97" spans="1:7" ht="15" x14ac:dyDescent="0.25">
      <c r="A97" s="152" t="s">
        <v>11</v>
      </c>
      <c r="B97" s="152" t="s">
        <v>614</v>
      </c>
      <c r="C97" s="151" t="str">
        <f t="shared" si="4"/>
        <v>A4</v>
      </c>
      <c r="D97" s="158">
        <f t="shared" si="5"/>
        <v>4</v>
      </c>
      <c r="E97" s="152" t="s">
        <v>614</v>
      </c>
      <c r="F97" s="146" t="str">
        <f t="shared" si="6"/>
        <v>A4</v>
      </c>
      <c r="G97" s="158">
        <f t="shared" si="7"/>
        <v>4</v>
      </c>
    </row>
    <row r="98" spans="1:7" ht="15" x14ac:dyDescent="0.25">
      <c r="A98" s="152" t="s">
        <v>431</v>
      </c>
      <c r="B98" s="152" t="s">
        <v>611</v>
      </c>
      <c r="C98" s="151" t="str">
        <f t="shared" si="4"/>
        <v>D</v>
      </c>
      <c r="D98" s="158">
        <f t="shared" si="5"/>
        <v>16</v>
      </c>
      <c r="E98" s="152" t="s">
        <v>459</v>
      </c>
      <c r="F98" s="146" t="str">
        <f t="shared" si="6"/>
        <v>C</v>
      </c>
      <c r="G98" s="158">
        <f t="shared" si="7"/>
        <v>12</v>
      </c>
    </row>
    <row r="99" spans="1:7" ht="15" x14ac:dyDescent="0.25">
      <c r="A99" s="152" t="s">
        <v>396</v>
      </c>
      <c r="B99" s="152" t="s">
        <v>623</v>
      </c>
      <c r="C99" s="151" t="str">
        <f t="shared" si="4"/>
        <v xml:space="preserve">D </v>
      </c>
      <c r="D99" s="158">
        <v>16</v>
      </c>
      <c r="E99" s="152" t="s">
        <v>459</v>
      </c>
      <c r="F99" s="146" t="str">
        <f t="shared" si="6"/>
        <v>C</v>
      </c>
      <c r="G99" s="158">
        <f t="shared" si="7"/>
        <v>12</v>
      </c>
    </row>
    <row r="100" spans="1:7" ht="15" x14ac:dyDescent="0.25">
      <c r="A100" s="152" t="s">
        <v>397</v>
      </c>
      <c r="B100" s="152" t="s">
        <v>459</v>
      </c>
      <c r="C100" s="151" t="str">
        <f t="shared" si="4"/>
        <v>C</v>
      </c>
      <c r="D100" s="158">
        <f t="shared" si="5"/>
        <v>12</v>
      </c>
      <c r="E100" s="152"/>
      <c r="F100" s="146" t="str">
        <f t="shared" si="6"/>
        <v>No Rating</v>
      </c>
      <c r="G100" s="158" t="str">
        <f t="shared" si="7"/>
        <v>N/A</v>
      </c>
    </row>
    <row r="101" spans="1:7" ht="15" x14ac:dyDescent="0.25">
      <c r="A101" s="152" t="s">
        <v>398</v>
      </c>
      <c r="B101" s="152" t="s">
        <v>614</v>
      </c>
      <c r="C101" s="151" t="str">
        <f t="shared" si="4"/>
        <v>A4</v>
      </c>
      <c r="D101" s="158">
        <f t="shared" si="5"/>
        <v>4</v>
      </c>
      <c r="E101" s="152" t="s">
        <v>614</v>
      </c>
      <c r="F101" s="146" t="str">
        <f t="shared" si="6"/>
        <v>A4</v>
      </c>
      <c r="G101" s="158">
        <f t="shared" si="7"/>
        <v>4</v>
      </c>
    </row>
    <row r="102" spans="1:7" ht="15" x14ac:dyDescent="0.25">
      <c r="A102" s="152" t="s">
        <v>399</v>
      </c>
      <c r="B102" s="152" t="s">
        <v>621</v>
      </c>
      <c r="C102" s="151" t="str">
        <f t="shared" si="4"/>
        <v xml:space="preserve">B </v>
      </c>
      <c r="D102" s="158">
        <v>8</v>
      </c>
      <c r="E102" s="152" t="s">
        <v>459</v>
      </c>
      <c r="F102" s="146" t="str">
        <f t="shared" si="6"/>
        <v>C</v>
      </c>
      <c r="G102" s="158">
        <f t="shared" si="7"/>
        <v>12</v>
      </c>
    </row>
    <row r="103" spans="1:7" ht="15" x14ac:dyDescent="0.25">
      <c r="A103" s="152" t="s">
        <v>574</v>
      </c>
      <c r="B103" s="152" t="s">
        <v>611</v>
      </c>
      <c r="C103" s="151" t="str">
        <f t="shared" si="4"/>
        <v>D</v>
      </c>
      <c r="D103" s="158">
        <f t="shared" si="5"/>
        <v>16</v>
      </c>
      <c r="E103" s="152" t="s">
        <v>611</v>
      </c>
      <c r="F103" s="146" t="str">
        <f t="shared" si="6"/>
        <v>D</v>
      </c>
      <c r="G103" s="158">
        <f t="shared" si="7"/>
        <v>16</v>
      </c>
    </row>
    <row r="104" spans="1:7" ht="15" x14ac:dyDescent="0.25">
      <c r="A104" s="152" t="s">
        <v>400</v>
      </c>
      <c r="B104" s="152" t="s">
        <v>615</v>
      </c>
      <c r="C104" s="151" t="str">
        <f t="shared" si="4"/>
        <v>A3</v>
      </c>
      <c r="D104" s="158">
        <f t="shared" si="5"/>
        <v>3</v>
      </c>
      <c r="E104" s="152" t="s">
        <v>614</v>
      </c>
      <c r="F104" s="146" t="str">
        <f t="shared" si="6"/>
        <v>A4</v>
      </c>
      <c r="G104" s="158">
        <f t="shared" si="7"/>
        <v>4</v>
      </c>
    </row>
    <row r="105" spans="1:7" ht="15" x14ac:dyDescent="0.25">
      <c r="A105" s="152" t="s">
        <v>401</v>
      </c>
      <c r="B105" s="152" t="s">
        <v>611</v>
      </c>
      <c r="C105" s="151" t="str">
        <f t="shared" si="4"/>
        <v>D</v>
      </c>
      <c r="D105" s="158">
        <f t="shared" si="5"/>
        <v>16</v>
      </c>
      <c r="E105" s="152" t="s">
        <v>611</v>
      </c>
      <c r="F105" s="146" t="str">
        <f t="shared" si="6"/>
        <v>D</v>
      </c>
      <c r="G105" s="158">
        <f t="shared" si="7"/>
        <v>16</v>
      </c>
    </row>
    <row r="106" spans="1:7" ht="15" x14ac:dyDescent="0.25">
      <c r="A106" s="152" t="s">
        <v>46</v>
      </c>
      <c r="B106" s="152" t="s">
        <v>617</v>
      </c>
      <c r="C106" s="151" t="str">
        <f t="shared" si="4"/>
        <v>A2</v>
      </c>
      <c r="D106" s="158">
        <f t="shared" si="5"/>
        <v>2</v>
      </c>
      <c r="E106" s="152" t="s">
        <v>612</v>
      </c>
      <c r="F106" s="146" t="str">
        <f t="shared" si="6"/>
        <v>A1</v>
      </c>
      <c r="G106" s="158">
        <f t="shared" si="7"/>
        <v>1</v>
      </c>
    </row>
    <row r="107" spans="1:7" ht="15" x14ac:dyDescent="0.25">
      <c r="A107" s="152" t="s">
        <v>59</v>
      </c>
      <c r="B107" s="152" t="s">
        <v>612</v>
      </c>
      <c r="C107" s="151" t="str">
        <f t="shared" si="4"/>
        <v>A1</v>
      </c>
      <c r="D107" s="158">
        <f t="shared" si="5"/>
        <v>1</v>
      </c>
      <c r="E107" s="152" t="s">
        <v>612</v>
      </c>
      <c r="F107" s="146" t="str">
        <f t="shared" si="6"/>
        <v>A1</v>
      </c>
      <c r="G107" s="158">
        <f t="shared" si="7"/>
        <v>1</v>
      </c>
    </row>
    <row r="108" spans="1:7" ht="15" x14ac:dyDescent="0.25">
      <c r="A108" s="152" t="s">
        <v>402</v>
      </c>
      <c r="B108" s="152" t="s">
        <v>611</v>
      </c>
      <c r="C108" s="151" t="str">
        <f t="shared" si="4"/>
        <v>D</v>
      </c>
      <c r="D108" s="158">
        <f t="shared" si="5"/>
        <v>16</v>
      </c>
      <c r="E108" s="152" t="s">
        <v>459</v>
      </c>
      <c r="F108" s="146" t="str">
        <f t="shared" si="6"/>
        <v>C</v>
      </c>
      <c r="G108" s="158">
        <f t="shared" si="7"/>
        <v>12</v>
      </c>
    </row>
    <row r="109" spans="1:7" ht="15" x14ac:dyDescent="0.25">
      <c r="A109" s="152" t="s">
        <v>505</v>
      </c>
      <c r="B109" s="152" t="s">
        <v>459</v>
      </c>
      <c r="C109" s="151" t="str">
        <f t="shared" si="4"/>
        <v>C</v>
      </c>
      <c r="D109" s="158">
        <f t="shared" si="5"/>
        <v>12</v>
      </c>
      <c r="E109" s="152" t="s">
        <v>611</v>
      </c>
      <c r="F109" s="146" t="str">
        <f t="shared" si="6"/>
        <v>D</v>
      </c>
      <c r="G109" s="158">
        <f t="shared" si="7"/>
        <v>16</v>
      </c>
    </row>
    <row r="110" spans="1:7" ht="15" x14ac:dyDescent="0.25">
      <c r="A110" s="152" t="s">
        <v>62</v>
      </c>
      <c r="B110" s="152" t="s">
        <v>623</v>
      </c>
      <c r="C110" s="151" t="str">
        <f t="shared" si="4"/>
        <v xml:space="preserve">D </v>
      </c>
      <c r="D110" s="158">
        <v>16</v>
      </c>
      <c r="E110" s="152" t="s">
        <v>611</v>
      </c>
      <c r="F110" s="146" t="str">
        <f t="shared" si="6"/>
        <v>D</v>
      </c>
      <c r="G110" s="158">
        <f t="shared" si="7"/>
        <v>16</v>
      </c>
    </row>
    <row r="111" spans="1:7" ht="15" x14ac:dyDescent="0.25">
      <c r="A111" s="152" t="s">
        <v>63</v>
      </c>
      <c r="B111" s="152" t="s">
        <v>612</v>
      </c>
      <c r="C111" s="151" t="str">
        <f t="shared" si="4"/>
        <v>A1</v>
      </c>
      <c r="D111" s="158">
        <f t="shared" si="5"/>
        <v>1</v>
      </c>
      <c r="E111" s="152" t="s">
        <v>612</v>
      </c>
      <c r="F111" s="146" t="str">
        <f t="shared" si="6"/>
        <v>A1</v>
      </c>
      <c r="G111" s="158">
        <f t="shared" si="7"/>
        <v>1</v>
      </c>
    </row>
    <row r="112" spans="1:7" ht="15" x14ac:dyDescent="0.25">
      <c r="A112" s="152" t="s">
        <v>403</v>
      </c>
      <c r="B112" s="152" t="s">
        <v>615</v>
      </c>
      <c r="C112" s="151" t="str">
        <f t="shared" si="4"/>
        <v>A3</v>
      </c>
      <c r="D112" s="158">
        <f t="shared" si="5"/>
        <v>3</v>
      </c>
      <c r="E112" s="152" t="s">
        <v>614</v>
      </c>
      <c r="F112" s="146" t="str">
        <f t="shared" si="6"/>
        <v>A4</v>
      </c>
      <c r="G112" s="158">
        <f t="shared" si="7"/>
        <v>4</v>
      </c>
    </row>
    <row r="113" spans="1:7" ht="15" x14ac:dyDescent="0.25">
      <c r="A113" s="152" t="s">
        <v>70</v>
      </c>
      <c r="B113" s="152" t="s">
        <v>611</v>
      </c>
      <c r="C113" s="151" t="str">
        <f t="shared" si="4"/>
        <v>D</v>
      </c>
      <c r="D113" s="158">
        <f t="shared" si="5"/>
        <v>16</v>
      </c>
      <c r="E113" s="152" t="s">
        <v>459</v>
      </c>
      <c r="F113" s="146" t="str">
        <f t="shared" si="6"/>
        <v>C</v>
      </c>
      <c r="G113" s="158">
        <f t="shared" si="7"/>
        <v>12</v>
      </c>
    </row>
    <row r="114" spans="1:7" ht="15" x14ac:dyDescent="0.25">
      <c r="A114" s="152" t="s">
        <v>71</v>
      </c>
      <c r="B114" s="152" t="s">
        <v>614</v>
      </c>
      <c r="C114" s="151" t="str">
        <f t="shared" si="4"/>
        <v>A4</v>
      </c>
      <c r="D114" s="158">
        <f t="shared" si="5"/>
        <v>4</v>
      </c>
      <c r="E114" s="152" t="s">
        <v>614</v>
      </c>
      <c r="F114" s="146" t="str">
        <f t="shared" si="6"/>
        <v>A4</v>
      </c>
      <c r="G114" s="158">
        <f t="shared" si="7"/>
        <v>4</v>
      </c>
    </row>
    <row r="115" spans="1:7" ht="15" x14ac:dyDescent="0.25">
      <c r="A115" s="152" t="s">
        <v>485</v>
      </c>
      <c r="B115" s="152" t="s">
        <v>207</v>
      </c>
      <c r="C115" s="151" t="str">
        <f t="shared" si="4"/>
        <v>B</v>
      </c>
      <c r="D115" s="158">
        <f t="shared" si="5"/>
        <v>8</v>
      </c>
      <c r="E115" s="152" t="s">
        <v>611</v>
      </c>
      <c r="F115" s="146" t="str">
        <f t="shared" si="6"/>
        <v>D</v>
      </c>
      <c r="G115" s="158">
        <f t="shared" si="7"/>
        <v>16</v>
      </c>
    </row>
    <row r="116" spans="1:7" ht="15" x14ac:dyDescent="0.25">
      <c r="A116" s="152" t="s">
        <v>404</v>
      </c>
      <c r="B116" s="152" t="s">
        <v>459</v>
      </c>
      <c r="C116" s="151" t="str">
        <f t="shared" si="4"/>
        <v>C</v>
      </c>
      <c r="D116" s="158">
        <f t="shared" si="5"/>
        <v>12</v>
      </c>
      <c r="E116" s="152" t="s">
        <v>459</v>
      </c>
      <c r="F116" s="146" t="str">
        <f t="shared" si="6"/>
        <v>C</v>
      </c>
      <c r="G116" s="158">
        <f t="shared" si="7"/>
        <v>12</v>
      </c>
    </row>
    <row r="117" spans="1:7" ht="15" x14ac:dyDescent="0.25">
      <c r="A117" s="152" t="s">
        <v>47</v>
      </c>
      <c r="B117" s="152" t="s">
        <v>614</v>
      </c>
      <c r="C117" s="151" t="str">
        <f t="shared" si="4"/>
        <v>A4</v>
      </c>
      <c r="D117" s="158">
        <f t="shared" si="5"/>
        <v>4</v>
      </c>
      <c r="E117" s="152" t="s">
        <v>207</v>
      </c>
      <c r="F117" s="146" t="str">
        <f t="shared" si="6"/>
        <v>B</v>
      </c>
      <c r="G117" s="158">
        <f t="shared" si="7"/>
        <v>8</v>
      </c>
    </row>
    <row r="118" spans="1:7" ht="15" x14ac:dyDescent="0.25">
      <c r="A118" s="152" t="s">
        <v>4</v>
      </c>
      <c r="B118" s="152" t="s">
        <v>207</v>
      </c>
      <c r="C118" s="151" t="str">
        <f t="shared" si="4"/>
        <v>B</v>
      </c>
      <c r="D118" s="158">
        <f t="shared" si="5"/>
        <v>8</v>
      </c>
      <c r="E118" s="152" t="s">
        <v>207</v>
      </c>
      <c r="F118" s="146" t="str">
        <f t="shared" si="6"/>
        <v>B</v>
      </c>
      <c r="G118" s="158">
        <f t="shared" si="7"/>
        <v>8</v>
      </c>
    </row>
    <row r="119" spans="1:7" ht="15" x14ac:dyDescent="0.25">
      <c r="A119" s="152" t="s">
        <v>48</v>
      </c>
      <c r="B119" s="152" t="s">
        <v>615</v>
      </c>
      <c r="C119" s="151" t="str">
        <f t="shared" si="4"/>
        <v>A3</v>
      </c>
      <c r="D119" s="158">
        <f t="shared" si="5"/>
        <v>3</v>
      </c>
      <c r="E119" s="152" t="s">
        <v>613</v>
      </c>
      <c r="F119" s="146" t="str">
        <f t="shared" si="6"/>
        <v>A2</v>
      </c>
      <c r="G119" s="158">
        <f t="shared" si="7"/>
        <v>2</v>
      </c>
    </row>
    <row r="120" spans="1:7" ht="15" x14ac:dyDescent="0.25">
      <c r="A120" s="152" t="s">
        <v>405</v>
      </c>
      <c r="B120" s="152" t="s">
        <v>614</v>
      </c>
      <c r="C120" s="151" t="str">
        <f t="shared" si="4"/>
        <v>A4</v>
      </c>
      <c r="D120" s="158">
        <f t="shared" si="5"/>
        <v>4</v>
      </c>
      <c r="E120" s="152" t="s">
        <v>613</v>
      </c>
      <c r="F120" s="146" t="str">
        <f t="shared" si="6"/>
        <v>A2</v>
      </c>
      <c r="G120" s="158">
        <f t="shared" si="7"/>
        <v>2</v>
      </c>
    </row>
    <row r="121" spans="1:7" ht="15" x14ac:dyDescent="0.25">
      <c r="A121" s="152" t="s">
        <v>407</v>
      </c>
      <c r="B121" s="152" t="s">
        <v>613</v>
      </c>
      <c r="C121" s="151" t="str">
        <f t="shared" si="4"/>
        <v>A2</v>
      </c>
      <c r="D121" s="158">
        <f t="shared" si="5"/>
        <v>2</v>
      </c>
      <c r="E121" s="152" t="s">
        <v>615</v>
      </c>
      <c r="F121" s="146" t="str">
        <f t="shared" si="6"/>
        <v>A3</v>
      </c>
      <c r="G121" s="158">
        <f t="shared" si="7"/>
        <v>3</v>
      </c>
    </row>
    <row r="122" spans="1:7" ht="15" x14ac:dyDescent="0.25">
      <c r="A122" s="152" t="s">
        <v>73</v>
      </c>
      <c r="B122" s="152" t="s">
        <v>207</v>
      </c>
      <c r="C122" s="151" t="str">
        <f t="shared" si="4"/>
        <v>B</v>
      </c>
      <c r="D122" s="158">
        <f t="shared" si="5"/>
        <v>8</v>
      </c>
      <c r="E122" s="152" t="s">
        <v>614</v>
      </c>
      <c r="F122" s="146" t="str">
        <f t="shared" si="6"/>
        <v>A4</v>
      </c>
      <c r="G122" s="158">
        <f t="shared" si="7"/>
        <v>4</v>
      </c>
    </row>
    <row r="123" spans="1:7" ht="15" x14ac:dyDescent="0.25">
      <c r="A123" s="152" t="s">
        <v>345</v>
      </c>
      <c r="B123" s="152" t="s">
        <v>207</v>
      </c>
      <c r="C123" s="151" t="str">
        <f t="shared" si="4"/>
        <v>B</v>
      </c>
      <c r="D123" s="158">
        <f t="shared" si="5"/>
        <v>8</v>
      </c>
      <c r="E123" s="152" t="s">
        <v>207</v>
      </c>
      <c r="F123" s="146" t="str">
        <f t="shared" si="6"/>
        <v>B</v>
      </c>
      <c r="G123" s="158">
        <f t="shared" si="7"/>
        <v>8</v>
      </c>
    </row>
    <row r="124" spans="1:7" ht="15" x14ac:dyDescent="0.25">
      <c r="A124" s="152" t="s">
        <v>430</v>
      </c>
      <c r="B124" s="152" t="s">
        <v>611</v>
      </c>
      <c r="C124" s="151" t="str">
        <f t="shared" si="4"/>
        <v>D</v>
      </c>
      <c r="D124" s="158">
        <f t="shared" si="5"/>
        <v>16</v>
      </c>
      <c r="E124" s="152" t="s">
        <v>611</v>
      </c>
      <c r="F124" s="146" t="str">
        <f t="shared" si="6"/>
        <v>D</v>
      </c>
      <c r="G124" s="158">
        <f t="shared" si="7"/>
        <v>16</v>
      </c>
    </row>
    <row r="125" spans="1:7" ht="15" x14ac:dyDescent="0.25">
      <c r="A125" s="152" t="s">
        <v>587</v>
      </c>
      <c r="B125" s="152" t="s">
        <v>459</v>
      </c>
      <c r="C125" s="151" t="str">
        <f t="shared" si="4"/>
        <v>C</v>
      </c>
      <c r="D125" s="158">
        <f t="shared" si="5"/>
        <v>12</v>
      </c>
      <c r="E125" s="152" t="s">
        <v>611</v>
      </c>
      <c r="F125" s="146" t="str">
        <f t="shared" si="6"/>
        <v>D</v>
      </c>
      <c r="G125" s="158">
        <f t="shared" si="7"/>
        <v>16</v>
      </c>
    </row>
    <row r="126" spans="1:7" ht="15" x14ac:dyDescent="0.25">
      <c r="A126" s="152" t="s">
        <v>84</v>
      </c>
      <c r="B126" s="152" t="s">
        <v>614</v>
      </c>
      <c r="C126" s="151" t="str">
        <f t="shared" si="4"/>
        <v>A4</v>
      </c>
      <c r="D126" s="158">
        <f t="shared" si="5"/>
        <v>4</v>
      </c>
      <c r="E126" s="152" t="s">
        <v>207</v>
      </c>
      <c r="F126" s="146" t="str">
        <f t="shared" si="6"/>
        <v>B</v>
      </c>
      <c r="G126" s="158">
        <f t="shared" si="7"/>
        <v>8</v>
      </c>
    </row>
    <row r="127" spans="1:7" ht="15" x14ac:dyDescent="0.25">
      <c r="A127" s="152" t="s">
        <v>307</v>
      </c>
      <c r="B127" s="152" t="s">
        <v>207</v>
      </c>
      <c r="C127" s="151" t="str">
        <f t="shared" si="4"/>
        <v>B</v>
      </c>
      <c r="D127" s="158">
        <f t="shared" si="5"/>
        <v>8</v>
      </c>
      <c r="E127" s="152" t="s">
        <v>207</v>
      </c>
      <c r="F127" s="146" t="str">
        <f t="shared" si="6"/>
        <v>B</v>
      </c>
      <c r="G127" s="158">
        <f t="shared" si="7"/>
        <v>8</v>
      </c>
    </row>
    <row r="128" spans="1:7" ht="15" x14ac:dyDescent="0.25">
      <c r="A128" s="152" t="s">
        <v>284</v>
      </c>
      <c r="B128" s="152" t="s">
        <v>459</v>
      </c>
      <c r="C128" s="151" t="str">
        <f t="shared" si="4"/>
        <v>C</v>
      </c>
      <c r="D128" s="158">
        <f t="shared" si="5"/>
        <v>12</v>
      </c>
      <c r="E128" s="152" t="s">
        <v>459</v>
      </c>
      <c r="F128" s="146" t="str">
        <f t="shared" si="6"/>
        <v>C</v>
      </c>
      <c r="G128" s="158">
        <f t="shared" si="7"/>
        <v>12</v>
      </c>
    </row>
    <row r="129" spans="1:7" ht="15" x14ac:dyDescent="0.25">
      <c r="A129" s="152" t="s">
        <v>493</v>
      </c>
      <c r="B129" s="152" t="s">
        <v>611</v>
      </c>
      <c r="C129" s="151" t="str">
        <f t="shared" si="4"/>
        <v>D</v>
      </c>
      <c r="D129" s="158">
        <f t="shared" si="5"/>
        <v>16</v>
      </c>
      <c r="E129" s="152" t="s">
        <v>611</v>
      </c>
      <c r="F129" s="146" t="str">
        <f t="shared" si="6"/>
        <v>D</v>
      </c>
      <c r="G129" s="158">
        <f t="shared" si="7"/>
        <v>16</v>
      </c>
    </row>
    <row r="130" spans="1:7" ht="15" x14ac:dyDescent="0.25">
      <c r="A130" s="152" t="s">
        <v>5</v>
      </c>
      <c r="B130" s="152" t="s">
        <v>612</v>
      </c>
      <c r="C130" s="151" t="str">
        <f t="shared" si="4"/>
        <v>A1</v>
      </c>
      <c r="D130" s="158">
        <f t="shared" si="5"/>
        <v>1</v>
      </c>
      <c r="E130" s="152" t="s">
        <v>612</v>
      </c>
      <c r="F130" s="146" t="str">
        <f t="shared" si="6"/>
        <v>A1</v>
      </c>
      <c r="G130" s="158">
        <f t="shared" si="7"/>
        <v>1</v>
      </c>
    </row>
    <row r="131" spans="1:7" ht="15" x14ac:dyDescent="0.25">
      <c r="A131" s="152" t="s">
        <v>74</v>
      </c>
      <c r="B131" s="152" t="s">
        <v>615</v>
      </c>
      <c r="C131" s="151" t="str">
        <f t="shared" ref="C131:C161" si="8">IF(OR(RIGHT(B131,7)="upgrade",RIGHT(B131,9)="downgrade"),LEFT(B131,2),B131)</f>
        <v>A3</v>
      </c>
      <c r="D131" s="158">
        <f t="shared" ref="D131:D161" si="9">VLOOKUP(C131,$H$2:$I$8,2,FALSE)</f>
        <v>3</v>
      </c>
      <c r="E131" s="152" t="s">
        <v>613</v>
      </c>
      <c r="F131" s="146" t="str">
        <f t="shared" ref="F131:F161" si="10">IF(E131="","No Rating",E131)</f>
        <v>A2</v>
      </c>
      <c r="G131" s="158">
        <f t="shared" ref="G131:G161" si="11">IF(F131="No Rating","N/A",VLOOKUP(F131,$H$2:$I$8,2,FALSE))</f>
        <v>2</v>
      </c>
    </row>
    <row r="132" spans="1:7" ht="15" x14ac:dyDescent="0.25">
      <c r="A132" s="152" t="s">
        <v>409</v>
      </c>
      <c r="B132" s="152" t="s">
        <v>613</v>
      </c>
      <c r="C132" s="151" t="str">
        <f t="shared" si="8"/>
        <v>A2</v>
      </c>
      <c r="D132" s="158">
        <f t="shared" si="9"/>
        <v>2</v>
      </c>
      <c r="E132" s="152" t="s">
        <v>613</v>
      </c>
      <c r="F132" s="146" t="str">
        <f t="shared" si="10"/>
        <v>A2</v>
      </c>
      <c r="G132" s="158">
        <f t="shared" si="11"/>
        <v>2</v>
      </c>
    </row>
    <row r="133" spans="1:7" ht="15" x14ac:dyDescent="0.25">
      <c r="A133" s="152" t="s">
        <v>23</v>
      </c>
      <c r="B133" s="152" t="s">
        <v>624</v>
      </c>
      <c r="C133" s="151" t="str">
        <f t="shared" si="8"/>
        <v>A3</v>
      </c>
      <c r="D133" s="158">
        <f t="shared" si="9"/>
        <v>3</v>
      </c>
      <c r="E133" s="152" t="s">
        <v>615</v>
      </c>
      <c r="F133" s="146" t="str">
        <f t="shared" si="10"/>
        <v>A3</v>
      </c>
      <c r="G133" s="158">
        <f t="shared" si="11"/>
        <v>3</v>
      </c>
    </row>
    <row r="134" spans="1:7" ht="15" x14ac:dyDescent="0.25">
      <c r="A134" s="152" t="s">
        <v>22</v>
      </c>
      <c r="B134" s="152" t="s">
        <v>613</v>
      </c>
      <c r="C134" s="151" t="str">
        <f t="shared" si="8"/>
        <v>A2</v>
      </c>
      <c r="D134" s="158">
        <f t="shared" si="9"/>
        <v>2</v>
      </c>
      <c r="E134" s="152" t="s">
        <v>613</v>
      </c>
      <c r="F134" s="146" t="str">
        <f t="shared" si="10"/>
        <v>A2</v>
      </c>
      <c r="G134" s="158">
        <f t="shared" si="11"/>
        <v>2</v>
      </c>
    </row>
    <row r="135" spans="1:7" ht="15" x14ac:dyDescent="0.25">
      <c r="A135" s="152" t="s">
        <v>49</v>
      </c>
      <c r="B135" s="152" t="s">
        <v>624</v>
      </c>
      <c r="C135" s="151" t="str">
        <f t="shared" si="8"/>
        <v>A3</v>
      </c>
      <c r="D135" s="158">
        <f t="shared" si="9"/>
        <v>3</v>
      </c>
      <c r="E135" s="152" t="s">
        <v>612</v>
      </c>
      <c r="F135" s="146" t="str">
        <f t="shared" si="10"/>
        <v>A1</v>
      </c>
      <c r="G135" s="158">
        <f t="shared" si="11"/>
        <v>1</v>
      </c>
    </row>
    <row r="136" spans="1:7" ht="15" x14ac:dyDescent="0.25">
      <c r="A136" s="152" t="s">
        <v>77</v>
      </c>
      <c r="B136" s="152" t="s">
        <v>459</v>
      </c>
      <c r="C136" s="151" t="str">
        <f t="shared" si="8"/>
        <v>C</v>
      </c>
      <c r="D136" s="158">
        <f t="shared" si="9"/>
        <v>12</v>
      </c>
      <c r="E136" s="152" t="s">
        <v>207</v>
      </c>
      <c r="F136" s="146" t="str">
        <f t="shared" si="10"/>
        <v>B</v>
      </c>
      <c r="G136" s="158">
        <f t="shared" si="11"/>
        <v>8</v>
      </c>
    </row>
    <row r="137" spans="1:7" ht="15" x14ac:dyDescent="0.25">
      <c r="A137" s="152" t="s">
        <v>497</v>
      </c>
      <c r="B137" s="152" t="s">
        <v>611</v>
      </c>
      <c r="C137" s="151" t="str">
        <f t="shared" si="8"/>
        <v>D</v>
      </c>
      <c r="D137" s="158">
        <f t="shared" si="9"/>
        <v>16</v>
      </c>
      <c r="E137" s="152" t="s">
        <v>611</v>
      </c>
      <c r="F137" s="146" t="str">
        <f t="shared" si="10"/>
        <v>D</v>
      </c>
      <c r="G137" s="158">
        <f t="shared" si="11"/>
        <v>16</v>
      </c>
    </row>
    <row r="138" spans="1:7" ht="15" x14ac:dyDescent="0.25">
      <c r="A138" s="152" t="s">
        <v>50</v>
      </c>
      <c r="B138" s="152" t="s">
        <v>612</v>
      </c>
      <c r="C138" s="151" t="str">
        <f t="shared" si="8"/>
        <v>A1</v>
      </c>
      <c r="D138" s="158">
        <f t="shared" si="9"/>
        <v>1</v>
      </c>
      <c r="E138" s="152" t="s">
        <v>612</v>
      </c>
      <c r="F138" s="146" t="str">
        <f t="shared" si="10"/>
        <v>A1</v>
      </c>
      <c r="G138" s="158">
        <f t="shared" si="11"/>
        <v>1</v>
      </c>
    </row>
    <row r="139" spans="1:7" ht="15" x14ac:dyDescent="0.25">
      <c r="A139" s="152" t="s">
        <v>51</v>
      </c>
      <c r="B139" s="152" t="s">
        <v>612</v>
      </c>
      <c r="C139" s="151" t="str">
        <f t="shared" si="8"/>
        <v>A1</v>
      </c>
      <c r="D139" s="158">
        <f t="shared" si="9"/>
        <v>1</v>
      </c>
      <c r="E139" s="152" t="s">
        <v>612</v>
      </c>
      <c r="F139" s="146" t="str">
        <f t="shared" si="10"/>
        <v>A1</v>
      </c>
      <c r="G139" s="158">
        <f t="shared" si="11"/>
        <v>1</v>
      </c>
    </row>
    <row r="140" spans="1:7" ht="15" x14ac:dyDescent="0.25">
      <c r="A140" s="152" t="s">
        <v>412</v>
      </c>
      <c r="B140" s="152" t="s">
        <v>625</v>
      </c>
      <c r="C140" s="151" t="str">
        <f t="shared" si="8"/>
        <v xml:space="preserve">C </v>
      </c>
      <c r="D140" s="158">
        <v>12</v>
      </c>
      <c r="E140" s="152" t="s">
        <v>459</v>
      </c>
      <c r="F140" s="146" t="str">
        <f t="shared" si="10"/>
        <v>C</v>
      </c>
      <c r="G140" s="158">
        <f t="shared" si="11"/>
        <v>12</v>
      </c>
    </row>
    <row r="141" spans="1:7" ht="15" x14ac:dyDescent="0.25">
      <c r="A141" s="152" t="s">
        <v>7</v>
      </c>
      <c r="B141" s="152" t="s">
        <v>612</v>
      </c>
      <c r="C141" s="151" t="str">
        <f t="shared" si="8"/>
        <v>A1</v>
      </c>
      <c r="D141" s="158">
        <f t="shared" si="9"/>
        <v>1</v>
      </c>
      <c r="E141" s="152" t="s">
        <v>613</v>
      </c>
      <c r="F141" s="146" t="str">
        <f t="shared" si="10"/>
        <v>A2</v>
      </c>
      <c r="G141" s="158">
        <f t="shared" si="11"/>
        <v>2</v>
      </c>
    </row>
    <row r="142" spans="1:7" ht="15" x14ac:dyDescent="0.25">
      <c r="A142" s="152" t="s">
        <v>414</v>
      </c>
      <c r="B142" s="152" t="s">
        <v>611</v>
      </c>
      <c r="C142" s="151" t="str">
        <f t="shared" si="8"/>
        <v>D</v>
      </c>
      <c r="D142" s="158">
        <f t="shared" si="9"/>
        <v>16</v>
      </c>
      <c r="E142" s="152" t="s">
        <v>611</v>
      </c>
      <c r="F142" s="146" t="str">
        <f t="shared" si="10"/>
        <v>D</v>
      </c>
      <c r="G142" s="158">
        <f t="shared" si="11"/>
        <v>16</v>
      </c>
    </row>
    <row r="143" spans="1:7" ht="15" x14ac:dyDescent="0.25">
      <c r="A143" s="152" t="s">
        <v>415</v>
      </c>
      <c r="B143" s="152" t="s">
        <v>207</v>
      </c>
      <c r="C143" s="151" t="str">
        <f t="shared" si="8"/>
        <v>B</v>
      </c>
      <c r="D143" s="158">
        <f t="shared" si="9"/>
        <v>8</v>
      </c>
      <c r="E143" s="152" t="s">
        <v>459</v>
      </c>
      <c r="F143" s="146" t="str">
        <f t="shared" si="10"/>
        <v>C</v>
      </c>
      <c r="G143" s="158">
        <f t="shared" si="11"/>
        <v>12</v>
      </c>
    </row>
    <row r="144" spans="1:7" ht="15" x14ac:dyDescent="0.25">
      <c r="A144" s="152" t="s">
        <v>8</v>
      </c>
      <c r="B144" s="152" t="s">
        <v>624</v>
      </c>
      <c r="C144" s="151" t="str">
        <f t="shared" si="8"/>
        <v>A3</v>
      </c>
      <c r="D144" s="158">
        <f t="shared" si="9"/>
        <v>3</v>
      </c>
      <c r="E144" s="152" t="s">
        <v>615</v>
      </c>
      <c r="F144" s="146" t="str">
        <f t="shared" si="10"/>
        <v>A3</v>
      </c>
      <c r="G144" s="158">
        <f t="shared" si="11"/>
        <v>3</v>
      </c>
    </row>
    <row r="145" spans="1:7" ht="15" x14ac:dyDescent="0.25">
      <c r="A145" s="152" t="s">
        <v>501</v>
      </c>
      <c r="B145" s="152" t="s">
        <v>459</v>
      </c>
      <c r="C145" s="151" t="str">
        <f t="shared" si="8"/>
        <v>C</v>
      </c>
      <c r="D145" s="158">
        <f t="shared" si="9"/>
        <v>12</v>
      </c>
      <c r="E145" s="152" t="s">
        <v>611</v>
      </c>
      <c r="F145" s="146" t="str">
        <f t="shared" si="10"/>
        <v>D</v>
      </c>
      <c r="G145" s="158">
        <f t="shared" si="11"/>
        <v>16</v>
      </c>
    </row>
    <row r="146" spans="1:7" ht="15" x14ac:dyDescent="0.25">
      <c r="A146" s="152" t="s">
        <v>417</v>
      </c>
      <c r="B146" s="152" t="s">
        <v>615</v>
      </c>
      <c r="C146" s="151" t="str">
        <f t="shared" si="8"/>
        <v>A3</v>
      </c>
      <c r="D146" s="158">
        <f t="shared" si="9"/>
        <v>3</v>
      </c>
      <c r="E146" s="152" t="s">
        <v>614</v>
      </c>
      <c r="F146" s="146" t="str">
        <f t="shared" si="10"/>
        <v>A4</v>
      </c>
      <c r="G146" s="158">
        <f t="shared" si="11"/>
        <v>4</v>
      </c>
    </row>
    <row r="147" spans="1:7" ht="15" x14ac:dyDescent="0.25">
      <c r="A147" s="152" t="s">
        <v>346</v>
      </c>
      <c r="B147" s="152" t="s">
        <v>620</v>
      </c>
      <c r="C147" s="151" t="str">
        <f t="shared" si="8"/>
        <v>A4</v>
      </c>
      <c r="D147" s="158">
        <f t="shared" si="9"/>
        <v>4</v>
      </c>
      <c r="E147" s="152" t="s">
        <v>614</v>
      </c>
      <c r="F147" s="146" t="str">
        <f t="shared" si="10"/>
        <v>A4</v>
      </c>
      <c r="G147" s="158">
        <f t="shared" si="11"/>
        <v>4</v>
      </c>
    </row>
    <row r="148" spans="1:7" ht="15" x14ac:dyDescent="0.25">
      <c r="A148" s="152" t="s">
        <v>14</v>
      </c>
      <c r="B148" s="152" t="s">
        <v>614</v>
      </c>
      <c r="C148" s="151" t="str">
        <f t="shared" si="8"/>
        <v>A4</v>
      </c>
      <c r="D148" s="158">
        <f t="shared" si="9"/>
        <v>4</v>
      </c>
      <c r="E148" s="152" t="s">
        <v>614</v>
      </c>
      <c r="F148" s="146" t="str">
        <f t="shared" si="10"/>
        <v>A4</v>
      </c>
      <c r="G148" s="158">
        <f t="shared" si="11"/>
        <v>4</v>
      </c>
    </row>
    <row r="149" spans="1:7" ht="15" x14ac:dyDescent="0.25">
      <c r="A149" s="152" t="s">
        <v>596</v>
      </c>
      <c r="B149" s="152" t="s">
        <v>611</v>
      </c>
      <c r="C149" s="151" t="str">
        <f t="shared" si="8"/>
        <v>D</v>
      </c>
      <c r="D149" s="158">
        <f t="shared" si="9"/>
        <v>16</v>
      </c>
      <c r="E149" s="152" t="s">
        <v>611</v>
      </c>
      <c r="F149" s="146" t="str">
        <f t="shared" si="10"/>
        <v>D</v>
      </c>
      <c r="G149" s="158">
        <f t="shared" si="11"/>
        <v>16</v>
      </c>
    </row>
    <row r="150" spans="1:7" ht="15" x14ac:dyDescent="0.25">
      <c r="A150" s="152" t="s">
        <v>418</v>
      </c>
      <c r="B150" s="152" t="s">
        <v>459</v>
      </c>
      <c r="C150" s="151" t="str">
        <f t="shared" si="8"/>
        <v>C</v>
      </c>
      <c r="D150" s="158">
        <f t="shared" si="9"/>
        <v>12</v>
      </c>
      <c r="E150" s="152" t="s">
        <v>459</v>
      </c>
      <c r="F150" s="146" t="str">
        <f t="shared" si="10"/>
        <v>C</v>
      </c>
      <c r="G150" s="158">
        <f t="shared" si="11"/>
        <v>12</v>
      </c>
    </row>
    <row r="151" spans="1:7" ht="15" x14ac:dyDescent="0.25">
      <c r="A151" s="152" t="s">
        <v>58</v>
      </c>
      <c r="B151" s="152" t="s">
        <v>623</v>
      </c>
      <c r="C151" s="151" t="str">
        <f t="shared" si="8"/>
        <v xml:space="preserve">D </v>
      </c>
      <c r="D151" s="158">
        <v>16</v>
      </c>
      <c r="E151" s="152" t="s">
        <v>459</v>
      </c>
      <c r="F151" s="146" t="str">
        <f t="shared" si="10"/>
        <v>C</v>
      </c>
      <c r="G151" s="158">
        <f t="shared" si="11"/>
        <v>12</v>
      </c>
    </row>
    <row r="152" spans="1:7" ht="15" x14ac:dyDescent="0.25">
      <c r="A152" s="152" t="s">
        <v>419</v>
      </c>
      <c r="B152" s="152" t="s">
        <v>615</v>
      </c>
      <c r="C152" s="151" t="str">
        <f t="shared" si="8"/>
        <v>A3</v>
      </c>
      <c r="D152" s="158">
        <f t="shared" si="9"/>
        <v>3</v>
      </c>
      <c r="E152" s="152" t="s">
        <v>615</v>
      </c>
      <c r="F152" s="146" t="str">
        <f t="shared" si="10"/>
        <v>A3</v>
      </c>
      <c r="G152" s="158">
        <f t="shared" si="11"/>
        <v>3</v>
      </c>
    </row>
    <row r="153" spans="1:7" ht="15" x14ac:dyDescent="0.25">
      <c r="A153" s="152" t="s">
        <v>107</v>
      </c>
      <c r="B153" s="152" t="s">
        <v>615</v>
      </c>
      <c r="C153" s="151" t="str">
        <f t="shared" si="8"/>
        <v>A3</v>
      </c>
      <c r="D153" s="158">
        <f t="shared" si="9"/>
        <v>3</v>
      </c>
      <c r="E153" s="152" t="s">
        <v>612</v>
      </c>
      <c r="F153" s="146" t="str">
        <f t="shared" si="10"/>
        <v>A1</v>
      </c>
      <c r="G153" s="158">
        <f t="shared" si="11"/>
        <v>1</v>
      </c>
    </row>
    <row r="154" spans="1:7" ht="15" x14ac:dyDescent="0.25">
      <c r="A154" s="152" t="s">
        <v>104</v>
      </c>
      <c r="B154" s="152" t="s">
        <v>617</v>
      </c>
      <c r="C154" s="151" t="str">
        <f t="shared" si="8"/>
        <v>A2</v>
      </c>
      <c r="D154" s="158">
        <f t="shared" si="9"/>
        <v>2</v>
      </c>
      <c r="E154" s="152" t="s">
        <v>612</v>
      </c>
      <c r="F154" s="146" t="str">
        <f t="shared" si="10"/>
        <v>A1</v>
      </c>
      <c r="G154" s="158">
        <f t="shared" si="11"/>
        <v>1</v>
      </c>
    </row>
    <row r="155" spans="1:7" ht="15" x14ac:dyDescent="0.25">
      <c r="A155" s="152" t="s">
        <v>72</v>
      </c>
      <c r="B155" s="152" t="s">
        <v>614</v>
      </c>
      <c r="C155" s="151" t="str">
        <f t="shared" si="8"/>
        <v>A4</v>
      </c>
      <c r="D155" s="158">
        <f t="shared" si="9"/>
        <v>4</v>
      </c>
      <c r="E155" s="152" t="s">
        <v>614</v>
      </c>
      <c r="F155" s="146" t="str">
        <f t="shared" si="10"/>
        <v>A4</v>
      </c>
      <c r="G155" s="158">
        <f t="shared" si="11"/>
        <v>4</v>
      </c>
    </row>
    <row r="156" spans="1:7" ht="15" x14ac:dyDescent="0.25">
      <c r="A156" s="152" t="s">
        <v>496</v>
      </c>
      <c r="B156" s="152" t="s">
        <v>611</v>
      </c>
      <c r="C156" s="151" t="str">
        <f t="shared" si="8"/>
        <v>D</v>
      </c>
      <c r="D156" s="158">
        <f t="shared" si="9"/>
        <v>16</v>
      </c>
      <c r="E156" s="152" t="s">
        <v>611</v>
      </c>
      <c r="F156" s="146" t="str">
        <f t="shared" si="10"/>
        <v>D</v>
      </c>
      <c r="G156" s="158">
        <f t="shared" si="11"/>
        <v>16</v>
      </c>
    </row>
    <row r="157" spans="1:7" ht="15" x14ac:dyDescent="0.25">
      <c r="A157" s="152" t="s">
        <v>12</v>
      </c>
      <c r="B157" s="152" t="s">
        <v>625</v>
      </c>
      <c r="C157" s="151" t="str">
        <f t="shared" si="8"/>
        <v xml:space="preserve">C </v>
      </c>
      <c r="D157" s="158">
        <v>12</v>
      </c>
      <c r="E157" s="152" t="s">
        <v>459</v>
      </c>
      <c r="F157" s="146" t="str">
        <f t="shared" si="10"/>
        <v>C</v>
      </c>
      <c r="G157" s="158">
        <f t="shared" si="11"/>
        <v>12</v>
      </c>
    </row>
    <row r="158" spans="1:7" ht="15" x14ac:dyDescent="0.25">
      <c r="A158" s="152" t="s">
        <v>457</v>
      </c>
      <c r="B158" s="152" t="s">
        <v>459</v>
      </c>
      <c r="C158" s="151" t="str">
        <f t="shared" si="8"/>
        <v>C</v>
      </c>
      <c r="D158" s="158">
        <f t="shared" si="9"/>
        <v>12</v>
      </c>
      <c r="E158" s="152" t="s">
        <v>459</v>
      </c>
      <c r="F158" s="146" t="str">
        <f t="shared" si="10"/>
        <v>C</v>
      </c>
      <c r="G158" s="158">
        <f t="shared" si="11"/>
        <v>12</v>
      </c>
    </row>
    <row r="159" spans="1:7" ht="15" x14ac:dyDescent="0.25">
      <c r="A159" s="152" t="s">
        <v>434</v>
      </c>
      <c r="B159" s="152" t="s">
        <v>611</v>
      </c>
      <c r="C159" s="151" t="str">
        <f t="shared" si="8"/>
        <v>D</v>
      </c>
      <c r="D159" s="158">
        <f t="shared" si="9"/>
        <v>16</v>
      </c>
      <c r="E159" s="152" t="s">
        <v>611</v>
      </c>
      <c r="F159" s="146" t="str">
        <f t="shared" si="10"/>
        <v>D</v>
      </c>
      <c r="G159" s="158">
        <f t="shared" si="11"/>
        <v>16</v>
      </c>
    </row>
    <row r="160" spans="1:7" ht="15" x14ac:dyDescent="0.25">
      <c r="A160" s="152" t="s">
        <v>420</v>
      </c>
      <c r="B160" s="152" t="s">
        <v>459</v>
      </c>
      <c r="C160" s="151" t="str">
        <f t="shared" si="8"/>
        <v>C</v>
      </c>
      <c r="D160" s="158">
        <f t="shared" si="9"/>
        <v>12</v>
      </c>
      <c r="E160" s="152" t="s">
        <v>459</v>
      </c>
      <c r="F160" s="146" t="str">
        <f t="shared" si="10"/>
        <v>C</v>
      </c>
      <c r="G160" s="158">
        <f t="shared" si="11"/>
        <v>12</v>
      </c>
    </row>
    <row r="161" spans="1:7" ht="15" x14ac:dyDescent="0.25">
      <c r="A161" s="152" t="s">
        <v>421</v>
      </c>
      <c r="B161" s="152" t="s">
        <v>611</v>
      </c>
      <c r="C161" s="151" t="str">
        <f t="shared" si="8"/>
        <v>D</v>
      </c>
      <c r="D161" s="158">
        <f t="shared" si="9"/>
        <v>16</v>
      </c>
      <c r="E161" s="152" t="s">
        <v>611</v>
      </c>
      <c r="F161" s="146" t="str">
        <f t="shared" si="10"/>
        <v>D</v>
      </c>
      <c r="G161" s="158">
        <f t="shared" si="11"/>
        <v>16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C000"/>
  </sheetPr>
  <dimension ref="A1:H35"/>
  <sheetViews>
    <sheetView workbookViewId="0">
      <selection activeCell="B23" sqref="B23"/>
    </sheetView>
  </sheetViews>
  <sheetFormatPr defaultRowHeight="12.75" x14ac:dyDescent="0.2"/>
  <cols>
    <col min="1" max="1" width="13.140625" customWidth="1"/>
    <col min="2" max="2" width="23.7109375" bestFit="1" customWidth="1"/>
    <col min="3" max="3" width="23.28515625" bestFit="1" customWidth="1"/>
  </cols>
  <sheetData>
    <row r="1" spans="1:3" x14ac:dyDescent="0.2">
      <c r="A1" s="107" t="s">
        <v>437</v>
      </c>
      <c r="B1" s="105"/>
      <c r="C1" s="105"/>
    </row>
    <row r="2" spans="1:3" x14ac:dyDescent="0.2">
      <c r="A2" s="107"/>
      <c r="B2" s="107" t="s">
        <v>439</v>
      </c>
      <c r="C2" s="107" t="s">
        <v>311</v>
      </c>
    </row>
    <row r="3" spans="1:3" x14ac:dyDescent="0.2">
      <c r="A3" s="105" t="s">
        <v>10</v>
      </c>
      <c r="B3" s="79">
        <f>VLOOKUP(A3,Competitiveness!$A$5:$H$43,8,FALSE)</f>
        <v>-0.50982568265251049</v>
      </c>
      <c r="C3" s="79">
        <f>VLOOKUP(A3,'Stripped Spread'!$C$18:$E$60,3,FALSE)</f>
        <v>1.4255405250063531</v>
      </c>
    </row>
    <row r="4" spans="1:3" x14ac:dyDescent="0.2">
      <c r="A4" s="105" t="s">
        <v>9</v>
      </c>
      <c r="B4" s="79">
        <f>VLOOKUP(A4,Competitiveness!$A$5:$H$43,8,FALSE)</f>
        <v>0.43569074751316811</v>
      </c>
      <c r="C4" s="79">
        <f>VLOOKUP(A4,'Stripped Spread'!$C$18:$E$60,3,FALSE)</f>
        <v>-0.49043451301485325</v>
      </c>
    </row>
    <row r="5" spans="1:3" x14ac:dyDescent="0.2">
      <c r="A5" s="105" t="s">
        <v>246</v>
      </c>
      <c r="B5" s="79">
        <f>VLOOKUP(A5,Competitiveness!$A$5:$H$43,8,FALSE)</f>
        <v>-2.2464695487391533E-2</v>
      </c>
      <c r="C5" s="79">
        <f>VLOOKUP(A5,'Stripped Spread'!$C$18:$E$60,3,FALSE)</f>
        <v>-0.16621307800406349</v>
      </c>
    </row>
    <row r="6" spans="1:3" x14ac:dyDescent="0.2">
      <c r="A6" s="105" t="s">
        <v>36</v>
      </c>
      <c r="B6" s="79">
        <f>VLOOKUP(A6,Competitiveness!$A$5:$H$43,8,FALSE)</f>
        <v>1.5471837245282076</v>
      </c>
      <c r="C6" s="79">
        <f>VLOOKUP(A6,'Stripped Spread'!$C$18:$E$60,3,FALSE)</f>
        <v>-0.6767951584626779</v>
      </c>
    </row>
    <row r="7" spans="1:3" x14ac:dyDescent="0.2">
      <c r="A7" s="105" t="s">
        <v>0</v>
      </c>
      <c r="B7" s="79">
        <f>VLOOKUP(A7,Competitiveness!$A$5:$H$43,8,FALSE)</f>
        <v>2.1122131552295027</v>
      </c>
      <c r="C7" s="79">
        <f>VLOOKUP(A7,'Stripped Spread'!$C$18:$E$60,3,FALSE)</f>
        <v>-0.36041566053529961</v>
      </c>
    </row>
    <row r="8" spans="1:3" x14ac:dyDescent="0.2">
      <c r="A8" s="105" t="s">
        <v>37</v>
      </c>
      <c r="B8" s="79">
        <f>VLOOKUP(A8,Competitiveness!$A$5:$H$43,8,FALSE)</f>
        <v>9.4947243264282583E-2</v>
      </c>
      <c r="C8" s="79">
        <f>VLOOKUP(A8,'Stripped Spread'!$C$18:$E$60,3,FALSE)</f>
        <v>-0.58302567466255073</v>
      </c>
    </row>
    <row r="9" spans="1:3" x14ac:dyDescent="0.2">
      <c r="A9" s="105" t="s">
        <v>251</v>
      </c>
      <c r="B9" s="79">
        <f>VLOOKUP(A9,Competitiveness!$A$5:$H$43,8,FALSE)</f>
        <v>-0.25710358698714469</v>
      </c>
      <c r="C9" s="79">
        <f>VLOOKUP(A9,'Stripped Spread'!$C$18:$E$60,3,FALSE)</f>
        <v>0.52258007005995533</v>
      </c>
    </row>
    <row r="10" spans="1:3" x14ac:dyDescent="0.2">
      <c r="A10" s="105" t="s">
        <v>253</v>
      </c>
      <c r="B10" s="79">
        <f>VLOOKUP(A10,Competitiveness!$A$5:$H$43,8,FALSE)</f>
        <v>-1.2885119493852457</v>
      </c>
      <c r="C10" s="79">
        <f>VLOOKUP(A10,'Stripped Spread'!$C$18:$E$60,3,FALSE)</f>
        <v>0.4698109730760216</v>
      </c>
    </row>
    <row r="11" spans="1:3" x14ac:dyDescent="0.2">
      <c r="A11" s="105" t="s">
        <v>39</v>
      </c>
      <c r="B11" s="79">
        <f>VLOOKUP(A11,Competitiveness!$A$5:$H$43,8,FALSE)</f>
        <v>-1.0082524294479007</v>
      </c>
      <c r="C11" s="79">
        <f>VLOOKUP(A11,'Stripped Spread'!$C$18:$E$60,3,FALSE)</f>
        <v>1.4223422220211868</v>
      </c>
    </row>
    <row r="12" spans="1:3" x14ac:dyDescent="0.2">
      <c r="A12" s="105" t="s">
        <v>65</v>
      </c>
      <c r="B12" s="79">
        <f>VLOOKUP(A12,Competitiveness!$A$5:$H$43,8,FALSE)</f>
        <v>-0.84512060974394565</v>
      </c>
      <c r="C12" s="79">
        <f>VLOOKUP(A12,'Stripped Spread'!$C$18:$E$60,3,FALSE)</f>
        <v>5.2153815465916083E-2</v>
      </c>
    </row>
    <row r="13" spans="1:3" x14ac:dyDescent="0.2">
      <c r="A13" s="105" t="s">
        <v>257</v>
      </c>
      <c r="B13" s="79">
        <f>VLOOKUP(A13,Competitiveness!$A$5:$H$43,8,FALSE)</f>
        <v>-0.81619953902606479</v>
      </c>
      <c r="C13" s="79">
        <f>VLOOKUP(A13,'Stripped Spread'!$C$18:$E$60,3,FALSE)</f>
        <v>0.23785564532605222</v>
      </c>
    </row>
    <row r="14" spans="1:3" x14ac:dyDescent="0.2">
      <c r="A14" s="105" t="s">
        <v>261</v>
      </c>
      <c r="B14" s="79">
        <f>VLOOKUP(A14,Competitiveness!$A$5:$H$43,8,FALSE)</f>
        <v>-0.63314259316459331</v>
      </c>
      <c r="C14" s="79">
        <f>VLOOKUP(A14,'Stripped Spread'!$C$18:$E$60,3,FALSE)</f>
        <v>0.2308989009926187</v>
      </c>
    </row>
    <row r="15" spans="1:3" x14ac:dyDescent="0.2">
      <c r="A15" s="105" t="s">
        <v>43</v>
      </c>
      <c r="B15" s="79">
        <f>VLOOKUP(A15,Competitiveness!$A$5:$H$43,8,FALSE)</f>
        <v>0.55660132760786607</v>
      </c>
      <c r="C15" s="79">
        <f>VLOOKUP(A15,'Stripped Spread'!$C$18:$E$60,3,FALSE)</f>
        <v>0.23579793496626733</v>
      </c>
    </row>
    <row r="16" spans="1:3" x14ac:dyDescent="0.2">
      <c r="A16" s="105" t="s">
        <v>2</v>
      </c>
      <c r="B16" s="79">
        <f>VLOOKUP(A16,Competitiveness!$A$5:$H$43,8,FALSE)</f>
        <v>0.59985117827995904</v>
      </c>
      <c r="C16" s="79">
        <f>VLOOKUP(A16,'Stripped Spread'!$C$18:$E$60,3,FALSE)</f>
        <v>-0.35838987515994025</v>
      </c>
    </row>
    <row r="17" spans="1:8" x14ac:dyDescent="0.2">
      <c r="A17" s="105" t="s">
        <v>269</v>
      </c>
      <c r="B17" s="79">
        <f>VLOOKUP(A17,Competitiveness!$A$5:$H$43,8,FALSE)</f>
        <v>-1.1865365294022181</v>
      </c>
      <c r="C17" s="79">
        <f>VLOOKUP(A17,'Stripped Spread'!$C$18:$E$60,3,FALSE)</f>
        <v>0.59372054444507161</v>
      </c>
    </row>
    <row r="18" spans="1:8" ht="13.5" thickBot="1" x14ac:dyDescent="0.25">
      <c r="A18" s="105" t="s">
        <v>45</v>
      </c>
      <c r="B18" s="79">
        <f>VLOOKUP(A18,Competitiveness!$A$5:$H$43,8,FALSE)</f>
        <v>4.2366654091568819E-2</v>
      </c>
      <c r="C18" s="79">
        <f>VLOOKUP(A18,'Stripped Spread'!$C$18:$E$60,3,FALSE)</f>
        <v>0.12883472578450098</v>
      </c>
      <c r="D18" s="105"/>
      <c r="E18" s="105"/>
      <c r="F18" s="105"/>
      <c r="G18" s="105"/>
      <c r="H18" s="105"/>
    </row>
    <row r="19" spans="1:8" ht="13.5" thickBot="1" x14ac:dyDescent="0.25">
      <c r="A19" s="105" t="s">
        <v>274</v>
      </c>
      <c r="B19" s="79">
        <f>VLOOKUP(A19,Competitiveness!$A$5:$H$43,8,FALSE)</f>
        <v>0.69230082069766241</v>
      </c>
      <c r="C19" s="79">
        <f>VLOOKUP(A19,'Stripped Spread'!$C$18:$E$60,3,FALSE)</f>
        <v>0.10189874574336752</v>
      </c>
      <c r="D19" s="105"/>
      <c r="E19" s="113" t="s">
        <v>438</v>
      </c>
      <c r="F19" s="114" t="s">
        <v>263</v>
      </c>
      <c r="G19" s="115">
        <v>-1.9089010555788191</v>
      </c>
      <c r="H19" s="116">
        <v>0.61025913602517845</v>
      </c>
    </row>
    <row r="20" spans="1:8" x14ac:dyDescent="0.2">
      <c r="A20" s="105" t="s">
        <v>3</v>
      </c>
      <c r="B20" s="79">
        <f>VLOOKUP(A20,Competitiveness!$A$5:$H$43,8,FALSE)</f>
        <v>2.6536271810873528</v>
      </c>
      <c r="C20" s="79">
        <f>VLOOKUP(A20,'Stripped Spread'!$C$18:$E$60,3,FALSE)</f>
        <v>-0.61809672118954739</v>
      </c>
      <c r="D20" s="105"/>
      <c r="E20" s="105"/>
      <c r="F20" s="105"/>
      <c r="G20" s="105"/>
      <c r="H20" s="105"/>
    </row>
    <row r="21" spans="1:8" ht="13.5" thickBot="1" x14ac:dyDescent="0.25">
      <c r="A21" s="105" t="s">
        <v>11</v>
      </c>
      <c r="B21" s="79">
        <f>VLOOKUP(A21,Competitiveness!$A$5:$H$43,8,FALSE)</f>
        <v>0.36037297204250407</v>
      </c>
      <c r="C21" s="79">
        <f>VLOOKUP(A21,'Stripped Spread'!$C$18:$E$60,3,FALSE)</f>
        <v>-0.48422075013713889</v>
      </c>
      <c r="D21" s="105"/>
      <c r="E21" s="105"/>
      <c r="F21" s="105"/>
      <c r="G21" s="105"/>
      <c r="H21" s="105"/>
    </row>
    <row r="22" spans="1:8" x14ac:dyDescent="0.2">
      <c r="A22" s="105" t="s">
        <v>70</v>
      </c>
      <c r="B22" s="79">
        <f>VLOOKUP(A22,Competitiveness!$A$5:$H$43,8,FALSE)</f>
        <v>-1.7168409308486474</v>
      </c>
      <c r="C22" s="79">
        <f>VLOOKUP(A22,'Stripped Spread'!$C$18:$E$60,3,FALSE)</f>
        <v>2.1692475485534328</v>
      </c>
      <c r="D22" s="111" t="s">
        <v>709</v>
      </c>
      <c r="E22" s="109">
        <f>LINEST(C3:C35,B3:B35)</f>
        <v>-0.6168030030358066</v>
      </c>
      <c r="F22" s="105"/>
      <c r="G22" s="105"/>
      <c r="H22" s="105"/>
    </row>
    <row r="23" spans="1:8" ht="13.5" thickBot="1" x14ac:dyDescent="0.25">
      <c r="A23" s="105" t="s">
        <v>71</v>
      </c>
      <c r="B23" s="79">
        <f>VLOOKUP(A23,Competitiveness!$A$5:$H$43,8,FALSE)</f>
        <v>0.52982512516031777</v>
      </c>
      <c r="C23" s="79">
        <f>VLOOKUP(A23,'Stripped Spread'!$C$18:$E$60,3,FALSE)</f>
        <v>-0.55505648603455771</v>
      </c>
      <c r="D23" s="112" t="s">
        <v>315</v>
      </c>
      <c r="E23" s="110">
        <f>INTERCEPT(C3:C35,B3:B35)</f>
        <v>0.19816276049694945</v>
      </c>
      <c r="F23" s="105"/>
      <c r="G23" s="105"/>
      <c r="H23" s="105"/>
    </row>
    <row r="24" spans="1:8" x14ac:dyDescent="0.2">
      <c r="A24" s="105" t="s">
        <v>47</v>
      </c>
      <c r="B24" s="79">
        <f>VLOOKUP(A24,Competitiveness!$A$5:$H$43,8,FALSE)</f>
        <v>0.121388667735152</v>
      </c>
      <c r="C24" s="79">
        <f>VLOOKUP(A24,'Stripped Spread'!$C$18:$E$60,3,FALSE)</f>
        <v>-0.50718932529558414</v>
      </c>
      <c r="D24" s="105"/>
      <c r="E24" s="105"/>
      <c r="F24" s="105"/>
      <c r="G24" s="105"/>
      <c r="H24" s="105"/>
    </row>
    <row r="25" spans="1:8" x14ac:dyDescent="0.2">
      <c r="A25" s="105" t="s">
        <v>4</v>
      </c>
      <c r="B25" s="79">
        <f>VLOOKUP(A25,Competitiveness!$A$5:$H$43,8,FALSE)</f>
        <v>-0.25334623637212272</v>
      </c>
      <c r="C25" s="79">
        <f>VLOOKUP(A25,'Stripped Spread'!$C$18:$E$60,3,FALSE)</f>
        <v>-0.46284842419996541</v>
      </c>
      <c r="D25" s="105"/>
      <c r="E25" s="105"/>
      <c r="F25" s="105"/>
      <c r="G25" s="105"/>
      <c r="H25" s="105"/>
    </row>
    <row r="26" spans="1:8" x14ac:dyDescent="0.2">
      <c r="A26" s="105" t="s">
        <v>48</v>
      </c>
      <c r="B26" s="79">
        <f>VLOOKUP(A26,Competitiveness!$A$5:$H$43,8,FALSE)</f>
        <v>0.8465492303042107</v>
      </c>
      <c r="C26" s="79">
        <f>VLOOKUP(A26,'Stripped Spread'!$C$18:$E$60,3,FALSE)</f>
        <v>-0.36315540465326435</v>
      </c>
      <c r="D26" s="105"/>
      <c r="E26" s="105"/>
      <c r="F26" s="105"/>
      <c r="G26" s="105"/>
      <c r="H26" s="105"/>
    </row>
    <row r="27" spans="1:8" x14ac:dyDescent="0.2">
      <c r="A27" s="105" t="s">
        <v>345</v>
      </c>
      <c r="B27" s="79">
        <f>VLOOKUP(A27,Competitiveness!$A$5:$H$43,8,FALSE)</f>
        <v>0.12985249300900778</v>
      </c>
      <c r="C27" s="79">
        <f>VLOOKUP(LEFT(A27,6),'Stripped Spread'!$C$18:$E$60,3,FALSE)</f>
        <v>-0.16466036285246269</v>
      </c>
      <c r="D27" s="105"/>
      <c r="E27" s="105"/>
      <c r="F27" s="105"/>
      <c r="G27" s="105"/>
      <c r="H27" s="105"/>
    </row>
    <row r="28" spans="1:8" x14ac:dyDescent="0.2">
      <c r="A28" s="105" t="s">
        <v>284</v>
      </c>
      <c r="B28" s="79">
        <f>VLOOKUP(A28,Competitiveness!$A$5:$H$43,8,FALSE)</f>
        <v>-0.85141806657001107</v>
      </c>
      <c r="C28" s="79">
        <f>VLOOKUP(A28,'Stripped Spread'!$C$18:$E$60,3,FALSE)</f>
        <v>0.49002529275994527</v>
      </c>
      <c r="D28" s="105"/>
      <c r="E28" s="105"/>
      <c r="F28" s="105"/>
      <c r="G28" s="105"/>
      <c r="H28" s="105"/>
    </row>
    <row r="29" spans="1:8" x14ac:dyDescent="0.2">
      <c r="A29" s="105" t="s">
        <v>23</v>
      </c>
      <c r="B29" s="79">
        <f>VLOOKUP(A29,Competitiveness!$A$5:$H$43,8,FALSE)</f>
        <v>0.49891160964599601</v>
      </c>
      <c r="C29" s="79">
        <f>VLOOKUP(A29,'Stripped Spread'!$C$18:$E$60,3,FALSE)</f>
        <v>-0.49266345738201095</v>
      </c>
      <c r="D29" s="105"/>
      <c r="E29" s="105"/>
      <c r="F29" s="105"/>
      <c r="G29" s="105"/>
      <c r="H29" s="105"/>
    </row>
    <row r="30" spans="1:8" x14ac:dyDescent="0.2">
      <c r="A30" s="105" t="s">
        <v>77</v>
      </c>
      <c r="B30" s="79">
        <f>VLOOKUP(A30,Competitiveness!$A$5:$H$43,8,FALSE)</f>
        <v>0.45587896743495632</v>
      </c>
      <c r="C30" s="79">
        <f>VLOOKUP(A30,'Stripped Spread'!$C$18:$E$60,3,FALSE)</f>
        <v>0.16739140015649304</v>
      </c>
      <c r="D30" s="105"/>
      <c r="E30" s="105"/>
      <c r="F30" s="105"/>
      <c r="G30" s="105"/>
      <c r="H30" s="105"/>
    </row>
    <row r="31" spans="1:8" x14ac:dyDescent="0.2">
      <c r="A31" s="105" t="s">
        <v>14</v>
      </c>
      <c r="B31" s="79">
        <f>VLOOKUP(A31,Competitiveness!$A$5:$H$43,8,FALSE)</f>
        <v>0.32060255447826819</v>
      </c>
      <c r="C31" s="79">
        <f>VLOOKUP(A31,'Stripped Spread'!$C$18:$E$60,3,FALSE)</f>
        <v>-0.24455989205539388</v>
      </c>
      <c r="D31" s="105"/>
      <c r="E31" s="105"/>
      <c r="F31" s="105"/>
      <c r="G31" s="105"/>
      <c r="H31" s="105"/>
    </row>
    <row r="32" spans="1:8" x14ac:dyDescent="0.2">
      <c r="A32" s="105" t="s">
        <v>58</v>
      </c>
      <c r="B32" s="79">
        <f>VLOOKUP(A32,Competitiveness!$A$5:$H$43,8,FALSE)</f>
        <v>-0.49410978913987891</v>
      </c>
      <c r="C32" s="79">
        <f>VLOOKUP(A32,'Stripped Spread'!$C$18:$E$60,3,FALSE)</f>
        <v>1.5328752249159792</v>
      </c>
      <c r="D32" s="105"/>
      <c r="E32" s="105"/>
      <c r="F32" s="105"/>
      <c r="G32" s="105"/>
      <c r="H32" s="105"/>
    </row>
    <row r="33" spans="1:3" x14ac:dyDescent="0.2">
      <c r="A33" s="105" t="s">
        <v>72</v>
      </c>
      <c r="B33" s="79">
        <f>VLOOKUP(A33,Competitiveness!$A$5:$H$43,8,FALSE)</f>
        <v>0.23468824072872999</v>
      </c>
      <c r="C33" s="79">
        <f>VLOOKUP(A33,'Stripped Spread'!$C$18:$E$60,3,FALSE)</f>
        <v>-0.34765727585037098</v>
      </c>
    </row>
    <row r="34" spans="1:3" x14ac:dyDescent="0.2">
      <c r="A34" s="105" t="s">
        <v>12</v>
      </c>
      <c r="B34" s="79">
        <f>VLOOKUP(A34,Competitiveness!$A$5:$H$43,8,FALSE)</f>
        <v>-1.9225417326460792</v>
      </c>
      <c r="C34" s="79">
        <f>VLOOKUP(A34,'Stripped Spread'!$C$18:$E$60,3,FALSE)</f>
        <v>2.7898082980863612</v>
      </c>
    </row>
    <row r="35" spans="1:3" x14ac:dyDescent="0.2">
      <c r="A35" s="105" t="s">
        <v>64</v>
      </c>
      <c r="B35" s="79">
        <f>VLOOKUP(A35,Competitiveness!$A$5:$H$43,8,FALSE)</f>
        <v>0.20068295687681542</v>
      </c>
      <c r="C35" s="79">
        <f>VLOOKUP(A35,'Stripped Spread'!$C$18:$E$60,3,FALSE)</f>
        <v>0.45654469091159733</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C000"/>
  </sheetPr>
  <dimension ref="A1:M152"/>
  <sheetViews>
    <sheetView workbookViewId="0">
      <pane ySplit="4" topLeftCell="A5" activePane="bottomLeft" state="frozen"/>
      <selection pane="bottomLeft" activeCell="H5" sqref="H5"/>
    </sheetView>
  </sheetViews>
  <sheetFormatPr defaultRowHeight="12.75" x14ac:dyDescent="0.2"/>
  <cols>
    <col min="1" max="1" width="16.5703125" customWidth="1"/>
    <col min="8" max="9" width="21.5703125" bestFit="1" customWidth="1"/>
  </cols>
  <sheetData>
    <row r="1" spans="1:13" x14ac:dyDescent="0.2">
      <c r="A1" s="317" t="s">
        <v>337</v>
      </c>
      <c r="B1" s="317"/>
      <c r="C1" s="317"/>
      <c r="D1" s="317"/>
      <c r="E1" s="317"/>
      <c r="F1" s="317"/>
      <c r="G1" s="317"/>
      <c r="H1" s="317"/>
      <c r="I1" s="317"/>
      <c r="J1" s="63"/>
      <c r="K1" s="63"/>
      <c r="L1" s="63"/>
      <c r="M1" s="63"/>
    </row>
    <row r="2" spans="1:13" x14ac:dyDescent="0.2">
      <c r="A2" s="66" t="s">
        <v>338</v>
      </c>
      <c r="B2" s="63"/>
      <c r="C2" s="63"/>
      <c r="D2" s="63"/>
      <c r="E2" s="63"/>
      <c r="F2" s="63"/>
      <c r="G2" s="63"/>
      <c r="H2" s="77"/>
      <c r="I2" s="63"/>
      <c r="J2" s="63"/>
      <c r="K2" s="63"/>
      <c r="L2" s="63"/>
      <c r="M2" s="78"/>
    </row>
    <row r="3" spans="1:13" x14ac:dyDescent="0.2">
      <c r="A3" s="63"/>
      <c r="B3" s="318" t="s">
        <v>339</v>
      </c>
      <c r="C3" s="318"/>
      <c r="D3" s="64"/>
      <c r="E3" s="67" t="s">
        <v>340</v>
      </c>
      <c r="F3" s="63"/>
      <c r="G3" s="63"/>
      <c r="H3" s="77"/>
      <c r="I3" s="63"/>
      <c r="J3" s="63"/>
      <c r="K3" s="63"/>
      <c r="L3" s="63"/>
      <c r="M3" s="78"/>
    </row>
    <row r="4" spans="1:13" x14ac:dyDescent="0.2">
      <c r="A4" s="68" t="s">
        <v>341</v>
      </c>
      <c r="B4" s="69" t="s">
        <v>342</v>
      </c>
      <c r="C4" s="76" t="s">
        <v>343</v>
      </c>
      <c r="D4" s="70"/>
      <c r="E4" s="69" t="s">
        <v>344</v>
      </c>
      <c r="F4" s="63"/>
      <c r="G4" s="63"/>
      <c r="H4" s="107" t="s">
        <v>440</v>
      </c>
      <c r="I4" s="107"/>
      <c r="J4" s="63"/>
      <c r="K4" s="63"/>
      <c r="L4" s="63"/>
      <c r="M4" s="63"/>
    </row>
    <row r="5" spans="1:13" x14ac:dyDescent="0.2">
      <c r="A5" s="66" t="s">
        <v>10</v>
      </c>
      <c r="B5" s="64">
        <v>85</v>
      </c>
      <c r="C5" s="75">
        <v>3.9945822170492189</v>
      </c>
      <c r="D5" s="63"/>
      <c r="E5" s="64">
        <v>87</v>
      </c>
      <c r="F5" s="66" t="s">
        <v>141</v>
      </c>
      <c r="G5" s="63"/>
      <c r="H5" s="117">
        <f>(C5-$C$45)/$C$46</f>
        <v>-0.50982568265251049</v>
      </c>
      <c r="I5" s="117"/>
      <c r="J5" s="63"/>
      <c r="K5" s="63"/>
      <c r="L5" s="73"/>
      <c r="M5" s="73"/>
    </row>
    <row r="6" spans="1:13" x14ac:dyDescent="0.2">
      <c r="A6" s="63"/>
      <c r="B6" s="63"/>
      <c r="C6" s="75"/>
      <c r="D6" s="63"/>
      <c r="E6" s="63"/>
      <c r="F6" s="63"/>
      <c r="G6" s="63"/>
      <c r="H6" s="117"/>
      <c r="I6" s="117"/>
      <c r="J6" s="63"/>
      <c r="K6" s="63"/>
      <c r="L6" s="73"/>
      <c r="M6" s="73"/>
    </row>
    <row r="7" spans="1:13" x14ac:dyDescent="0.2">
      <c r="A7" s="66" t="s">
        <v>9</v>
      </c>
      <c r="B7" s="64">
        <v>53</v>
      </c>
      <c r="C7" s="75">
        <v>4.3202817984145794</v>
      </c>
      <c r="D7" s="63"/>
      <c r="E7" s="64">
        <v>58</v>
      </c>
      <c r="F7" s="66" t="s">
        <v>141</v>
      </c>
      <c r="G7" s="63"/>
      <c r="H7" s="117">
        <f t="shared" ref="H7:H16" si="0">(C7-$C$45)/$C$46</f>
        <v>0.43569074751316811</v>
      </c>
      <c r="I7" s="117"/>
      <c r="J7" s="63"/>
      <c r="K7" s="63"/>
      <c r="L7" s="73"/>
      <c r="M7" s="73"/>
    </row>
    <row r="8" spans="1:13" x14ac:dyDescent="0.2">
      <c r="A8" s="66" t="s">
        <v>246</v>
      </c>
      <c r="B8" s="64">
        <v>74</v>
      </c>
      <c r="C8" s="75">
        <v>4.162462186586791</v>
      </c>
      <c r="D8" s="63"/>
      <c r="E8" s="64">
        <v>71</v>
      </c>
      <c r="F8" s="66" t="s">
        <v>141</v>
      </c>
      <c r="G8" s="63"/>
      <c r="H8" s="117">
        <f t="shared" si="0"/>
        <v>-2.2464695487391533E-2</v>
      </c>
      <c r="I8" s="117"/>
      <c r="J8" s="63"/>
      <c r="K8" s="63"/>
      <c r="L8" s="73"/>
      <c r="M8" s="73"/>
    </row>
    <row r="9" spans="1:13" x14ac:dyDescent="0.2">
      <c r="A9" s="66" t="s">
        <v>36</v>
      </c>
      <c r="B9" s="64">
        <v>31</v>
      </c>
      <c r="C9" s="75">
        <v>4.7031548884579779</v>
      </c>
      <c r="D9" s="63"/>
      <c r="E9" s="64">
        <v>30</v>
      </c>
      <c r="F9" s="66" t="s">
        <v>141</v>
      </c>
      <c r="G9" s="63"/>
      <c r="H9" s="117">
        <f t="shared" si="0"/>
        <v>1.5471837245282076</v>
      </c>
      <c r="I9" s="117"/>
      <c r="J9" s="63"/>
      <c r="K9" s="63"/>
      <c r="L9" s="73"/>
      <c r="M9" s="73"/>
    </row>
    <row r="10" spans="1:13" x14ac:dyDescent="0.2">
      <c r="A10" s="66" t="s">
        <v>0</v>
      </c>
      <c r="B10" s="64">
        <v>26</v>
      </c>
      <c r="C10" s="75">
        <v>4.8977891043925155</v>
      </c>
      <c r="D10" s="63"/>
      <c r="E10" s="64">
        <v>27</v>
      </c>
      <c r="F10" s="66" t="s">
        <v>141</v>
      </c>
      <c r="G10" s="63"/>
      <c r="H10" s="117">
        <f t="shared" si="0"/>
        <v>2.1122131552295027</v>
      </c>
      <c r="I10" s="117"/>
      <c r="J10" s="63"/>
      <c r="K10" s="63"/>
      <c r="L10" s="73"/>
      <c r="M10" s="73"/>
    </row>
    <row r="11" spans="1:13" x14ac:dyDescent="0.2">
      <c r="A11" s="66" t="s">
        <v>37</v>
      </c>
      <c r="B11" s="64">
        <v>68</v>
      </c>
      <c r="C11" s="75">
        <v>4.2029067712377577</v>
      </c>
      <c r="D11" s="63"/>
      <c r="E11" s="64">
        <v>68</v>
      </c>
      <c r="F11" s="66" t="s">
        <v>141</v>
      </c>
      <c r="G11" s="63"/>
      <c r="H11" s="117">
        <f t="shared" si="0"/>
        <v>9.4947243264282583E-2</v>
      </c>
      <c r="I11" s="117"/>
      <c r="J11" s="63"/>
      <c r="K11" s="63"/>
      <c r="L11" s="73"/>
      <c r="M11" s="73"/>
    </row>
    <row r="12" spans="1:13" x14ac:dyDescent="0.2">
      <c r="A12" s="71" t="s">
        <v>251</v>
      </c>
      <c r="B12" s="64">
        <v>76</v>
      </c>
      <c r="C12" s="75">
        <v>4.081636738931576</v>
      </c>
      <c r="D12" s="72"/>
      <c r="E12" s="64">
        <v>77</v>
      </c>
      <c r="F12" s="66" t="s">
        <v>141</v>
      </c>
      <c r="G12" s="63"/>
      <c r="H12" s="117">
        <f t="shared" si="0"/>
        <v>-0.25710358698714469</v>
      </c>
      <c r="I12" s="117"/>
      <c r="J12" s="63"/>
      <c r="K12" s="63"/>
      <c r="L12" s="73"/>
      <c r="M12" s="73"/>
    </row>
    <row r="13" spans="1:13" x14ac:dyDescent="0.2">
      <c r="A13" s="66" t="s">
        <v>253</v>
      </c>
      <c r="B13" s="64">
        <v>110</v>
      </c>
      <c r="C13" s="75">
        <v>3.726350187442534</v>
      </c>
      <c r="D13" s="63"/>
      <c r="E13" s="64">
        <v>101</v>
      </c>
      <c r="F13" s="66" t="s">
        <v>141</v>
      </c>
      <c r="G13" s="63"/>
      <c r="H13" s="117">
        <f t="shared" si="0"/>
        <v>-1.2885119493852457</v>
      </c>
      <c r="I13" s="117"/>
      <c r="J13" s="63"/>
      <c r="K13" s="63"/>
      <c r="L13" s="73"/>
      <c r="M13" s="73"/>
    </row>
    <row r="14" spans="1:13" x14ac:dyDescent="0.2">
      <c r="A14" s="66" t="s">
        <v>39</v>
      </c>
      <c r="B14" s="64">
        <v>101</v>
      </c>
      <c r="C14" s="75">
        <v>3.822890454121195</v>
      </c>
      <c r="D14" s="63"/>
      <c r="E14" s="64">
        <v>105</v>
      </c>
      <c r="F14" s="66" t="s">
        <v>141</v>
      </c>
      <c r="G14" s="63"/>
      <c r="H14" s="117">
        <f t="shared" si="0"/>
        <v>-1.0082524294479007</v>
      </c>
      <c r="I14" s="117"/>
      <c r="J14" s="63"/>
      <c r="K14" s="63"/>
      <c r="L14" s="73"/>
      <c r="M14" s="73"/>
    </row>
    <row r="15" spans="1:13" x14ac:dyDescent="0.2">
      <c r="A15" s="71" t="s">
        <v>65</v>
      </c>
      <c r="B15" s="64">
        <v>94</v>
      </c>
      <c r="C15" s="75">
        <v>3.8790840470507622</v>
      </c>
      <c r="D15" s="72"/>
      <c r="E15" s="64">
        <v>81</v>
      </c>
      <c r="F15" s="66" t="s">
        <v>141</v>
      </c>
      <c r="G15" s="63"/>
      <c r="H15" s="117">
        <f t="shared" si="0"/>
        <v>-0.84512060974394565</v>
      </c>
      <c r="I15" s="117"/>
      <c r="J15" s="63"/>
      <c r="K15" s="63"/>
      <c r="L15" s="73"/>
      <c r="M15" s="73"/>
    </row>
    <row r="16" spans="1:13" x14ac:dyDescent="0.2">
      <c r="A16" s="66" t="s">
        <v>257</v>
      </c>
      <c r="B16" s="64">
        <v>91</v>
      </c>
      <c r="C16" s="75">
        <v>3.8890464129335012</v>
      </c>
      <c r="D16" s="63"/>
      <c r="E16" s="64">
        <v>82</v>
      </c>
      <c r="F16" s="66" t="s">
        <v>141</v>
      </c>
      <c r="G16" s="63"/>
      <c r="H16" s="117">
        <f t="shared" si="0"/>
        <v>-0.81619953902606479</v>
      </c>
      <c r="I16" s="117"/>
      <c r="J16" s="63"/>
      <c r="K16" s="63"/>
      <c r="L16" s="73"/>
      <c r="M16" s="73"/>
    </row>
    <row r="17" spans="1:13" x14ac:dyDescent="0.2">
      <c r="A17" s="63"/>
      <c r="B17" s="63"/>
      <c r="C17" s="75"/>
      <c r="D17" s="63"/>
      <c r="E17" s="63"/>
      <c r="F17" s="63"/>
      <c r="G17" s="63"/>
      <c r="H17" s="117"/>
      <c r="I17" s="117"/>
      <c r="J17" s="63"/>
      <c r="K17" s="63"/>
      <c r="L17" s="73"/>
      <c r="M17" s="73"/>
    </row>
    <row r="18" spans="1:13" x14ac:dyDescent="0.2">
      <c r="A18" s="66" t="s">
        <v>261</v>
      </c>
      <c r="B18" s="64">
        <v>88</v>
      </c>
      <c r="C18" s="75">
        <v>3.9521035621600413</v>
      </c>
      <c r="D18" s="63"/>
      <c r="E18" s="64">
        <v>93</v>
      </c>
      <c r="F18" s="66" t="s">
        <v>141</v>
      </c>
      <c r="G18" s="63"/>
      <c r="H18" s="117">
        <f t="shared" ref="H18:H21" si="1">(C18-$C$45)/$C$46</f>
        <v>-0.63314259316459331</v>
      </c>
      <c r="I18" s="117"/>
      <c r="J18" s="63"/>
      <c r="K18" s="63"/>
      <c r="L18" s="73"/>
      <c r="M18" s="73"/>
    </row>
    <row r="19" spans="1:13" x14ac:dyDescent="0.2">
      <c r="A19" s="66" t="s">
        <v>263</v>
      </c>
      <c r="B19" s="64">
        <v>114</v>
      </c>
      <c r="C19" s="75">
        <v>3.649154330218908</v>
      </c>
      <c r="D19" s="63"/>
      <c r="E19" s="64">
        <v>114</v>
      </c>
      <c r="F19" s="66" t="s">
        <v>141</v>
      </c>
      <c r="G19" s="63"/>
      <c r="H19" s="117">
        <f t="shared" si="1"/>
        <v>-1.5126140223436515</v>
      </c>
      <c r="I19" s="117"/>
      <c r="J19" s="63"/>
      <c r="K19" s="63"/>
      <c r="L19" s="73"/>
      <c r="M19" s="73"/>
    </row>
    <row r="20" spans="1:13" x14ac:dyDescent="0.2">
      <c r="A20" s="66" t="s">
        <v>43</v>
      </c>
      <c r="B20" s="64">
        <v>48</v>
      </c>
      <c r="C20" s="75">
        <v>4.3619315509340417</v>
      </c>
      <c r="D20" s="63"/>
      <c r="E20" s="64">
        <v>52</v>
      </c>
      <c r="F20" s="66" t="s">
        <v>141</v>
      </c>
      <c r="G20" s="63"/>
      <c r="H20" s="117">
        <f t="shared" si="1"/>
        <v>0.55660132760786607</v>
      </c>
      <c r="I20" s="117"/>
      <c r="J20" s="63"/>
      <c r="K20" s="63"/>
      <c r="L20" s="73"/>
      <c r="M20" s="73"/>
    </row>
    <row r="21" spans="1:13" x14ac:dyDescent="0.2">
      <c r="A21" s="66" t="s">
        <v>2</v>
      </c>
      <c r="B21" s="64">
        <v>46</v>
      </c>
      <c r="C21" s="75">
        <v>4.3768297143171431</v>
      </c>
      <c r="D21" s="63"/>
      <c r="E21" s="64">
        <v>44</v>
      </c>
      <c r="F21" s="66" t="s">
        <v>141</v>
      </c>
      <c r="G21" s="63"/>
      <c r="H21" s="117">
        <f t="shared" si="1"/>
        <v>0.59985117827995904</v>
      </c>
      <c r="I21" s="117"/>
      <c r="J21" s="63"/>
      <c r="K21" s="63"/>
      <c r="L21" s="73"/>
      <c r="M21" s="73"/>
    </row>
    <row r="22" spans="1:13" x14ac:dyDescent="0.2">
      <c r="A22" s="63"/>
      <c r="B22" s="63"/>
      <c r="C22" s="75"/>
      <c r="D22" s="63"/>
      <c r="E22" s="63"/>
      <c r="F22" s="63"/>
      <c r="G22" s="63"/>
      <c r="H22" s="117"/>
      <c r="I22" s="117"/>
      <c r="J22" s="63"/>
      <c r="K22" s="63"/>
      <c r="L22" s="73"/>
      <c r="M22" s="73"/>
    </row>
    <row r="23" spans="1:13" x14ac:dyDescent="0.2">
      <c r="A23" s="66" t="s">
        <v>269</v>
      </c>
      <c r="B23" s="64">
        <v>107</v>
      </c>
      <c r="C23" s="75">
        <v>3.7614773946896984</v>
      </c>
      <c r="D23" s="63"/>
      <c r="E23" s="64">
        <v>95</v>
      </c>
      <c r="F23" s="66" t="s">
        <v>141</v>
      </c>
      <c r="G23" s="63"/>
      <c r="H23" s="117">
        <f t="shared" ref="H23:H24" si="2">(C23-$C$45)/$C$46</f>
        <v>-1.1865365294022181</v>
      </c>
      <c r="I23" s="117"/>
      <c r="J23" s="63"/>
      <c r="K23" s="63"/>
      <c r="L23" s="73"/>
      <c r="M23" s="73"/>
    </row>
    <row r="24" spans="1:13" x14ac:dyDescent="0.2">
      <c r="A24" s="66" t="s">
        <v>45</v>
      </c>
      <c r="B24" s="64">
        <v>72</v>
      </c>
      <c r="C24" s="75">
        <v>4.1847944726725217</v>
      </c>
      <c r="D24" s="63"/>
      <c r="E24" s="64">
        <v>72</v>
      </c>
      <c r="F24" s="66" t="s">
        <v>141</v>
      </c>
      <c r="G24" s="63"/>
      <c r="H24" s="117">
        <f t="shared" si="2"/>
        <v>4.2366654091568819E-2</v>
      </c>
      <c r="I24" s="117"/>
      <c r="J24" s="63"/>
      <c r="K24" s="63"/>
      <c r="L24" s="73"/>
      <c r="M24" s="73"/>
    </row>
    <row r="25" spans="1:13" x14ac:dyDescent="0.2">
      <c r="A25" s="63"/>
      <c r="B25" s="63"/>
      <c r="C25" s="75"/>
      <c r="D25" s="63"/>
      <c r="E25" s="63"/>
      <c r="F25" s="63"/>
      <c r="G25" s="63"/>
      <c r="H25" s="117"/>
      <c r="I25" s="117"/>
      <c r="J25" s="63"/>
      <c r="K25" s="63"/>
      <c r="L25" s="73"/>
      <c r="M25" s="73"/>
    </row>
    <row r="26" spans="1:13" x14ac:dyDescent="0.2">
      <c r="A26" s="66" t="s">
        <v>274</v>
      </c>
      <c r="B26" s="64">
        <v>44</v>
      </c>
      <c r="C26" s="75">
        <v>4.4086756017836857</v>
      </c>
      <c r="D26" s="63"/>
      <c r="E26" s="64">
        <v>47</v>
      </c>
      <c r="F26" s="66" t="s">
        <v>141</v>
      </c>
      <c r="G26" s="63"/>
      <c r="H26" s="117">
        <f t="shared" ref="H26:H43" si="3">(C26-$C$45)/$C$46</f>
        <v>0.69230082069766241</v>
      </c>
      <c r="I26" s="117"/>
      <c r="J26" s="63"/>
      <c r="K26" s="63"/>
      <c r="L26" s="73"/>
      <c r="M26" s="73"/>
    </row>
    <row r="27" spans="1:13" x14ac:dyDescent="0.2">
      <c r="A27" s="66" t="s">
        <v>3</v>
      </c>
      <c r="B27" s="64">
        <v>21</v>
      </c>
      <c r="C27" s="75">
        <v>5.0842885833453426</v>
      </c>
      <c r="D27" s="63"/>
      <c r="E27" s="64">
        <v>26</v>
      </c>
      <c r="F27" s="66" t="s">
        <v>141</v>
      </c>
      <c r="G27" s="63"/>
      <c r="H27" s="117">
        <f t="shared" si="3"/>
        <v>2.6536271810873528</v>
      </c>
      <c r="I27" s="117"/>
      <c r="J27" s="63"/>
      <c r="K27" s="63"/>
      <c r="L27" s="73"/>
      <c r="M27" s="73"/>
    </row>
    <row r="28" spans="1:13" x14ac:dyDescent="0.2">
      <c r="A28" s="66" t="s">
        <v>11</v>
      </c>
      <c r="B28" s="64">
        <v>58</v>
      </c>
      <c r="C28" s="75">
        <v>4.2943372805219955</v>
      </c>
      <c r="D28" s="63"/>
      <c r="E28" s="64">
        <v>66</v>
      </c>
      <c r="F28" s="66" t="s">
        <v>141</v>
      </c>
      <c r="G28" s="63"/>
      <c r="H28" s="117">
        <f t="shared" si="3"/>
        <v>0.36037297204250407</v>
      </c>
      <c r="I28" s="117"/>
      <c r="J28" s="63"/>
      <c r="K28" s="63"/>
      <c r="L28" s="73"/>
      <c r="M28" s="73"/>
    </row>
    <row r="29" spans="1:13" x14ac:dyDescent="0.2">
      <c r="A29" s="66" t="s">
        <v>70</v>
      </c>
      <c r="B29" s="64">
        <v>118</v>
      </c>
      <c r="C29" s="75">
        <v>3.5788048191142057</v>
      </c>
      <c r="D29" s="63"/>
      <c r="E29" s="64">
        <v>123</v>
      </c>
      <c r="F29" s="66" t="s">
        <v>141</v>
      </c>
      <c r="G29" s="63"/>
      <c r="H29" s="117">
        <f t="shared" si="3"/>
        <v>-1.7168409308486474</v>
      </c>
      <c r="I29" s="117"/>
      <c r="J29" s="63"/>
      <c r="K29" s="63"/>
      <c r="L29" s="73"/>
      <c r="M29" s="73"/>
    </row>
    <row r="30" spans="1:13" x14ac:dyDescent="0.2">
      <c r="A30" s="66" t="s">
        <v>71</v>
      </c>
      <c r="B30" s="64">
        <v>49</v>
      </c>
      <c r="C30" s="75">
        <v>4.3527080222364045</v>
      </c>
      <c r="D30" s="63"/>
      <c r="E30" s="64">
        <v>53</v>
      </c>
      <c r="F30" s="66" t="s">
        <v>141</v>
      </c>
      <c r="G30" s="63"/>
      <c r="H30" s="117">
        <f t="shared" si="3"/>
        <v>0.52982512516031777</v>
      </c>
      <c r="I30" s="117"/>
      <c r="J30" s="63"/>
      <c r="K30" s="63"/>
      <c r="L30" s="73"/>
      <c r="M30" s="73"/>
    </row>
    <row r="31" spans="1:13" x14ac:dyDescent="0.2">
      <c r="A31" s="66" t="s">
        <v>47</v>
      </c>
      <c r="B31" s="64">
        <v>67</v>
      </c>
      <c r="C31" s="75">
        <v>4.2120149798379583</v>
      </c>
      <c r="D31" s="63"/>
      <c r="E31" s="64">
        <v>73</v>
      </c>
      <c r="F31" s="66" t="s">
        <v>141</v>
      </c>
      <c r="G31" s="63"/>
      <c r="H31" s="117">
        <f t="shared" si="3"/>
        <v>0.121388667735152</v>
      </c>
      <c r="I31" s="117"/>
      <c r="J31" s="63"/>
      <c r="K31" s="63"/>
      <c r="L31" s="73"/>
      <c r="M31" s="73"/>
    </row>
    <row r="32" spans="1:13" x14ac:dyDescent="0.2">
      <c r="A32" s="66" t="s">
        <v>4</v>
      </c>
      <c r="B32" s="64">
        <v>75</v>
      </c>
      <c r="C32" s="75">
        <v>4.0829310237089871</v>
      </c>
      <c r="D32" s="63"/>
      <c r="E32" s="64">
        <v>85</v>
      </c>
      <c r="F32" s="66" t="s">
        <v>141</v>
      </c>
      <c r="G32" s="63"/>
      <c r="H32" s="117">
        <f t="shared" si="3"/>
        <v>-0.25334623637212272</v>
      </c>
      <c r="I32" s="117"/>
      <c r="J32" s="63"/>
      <c r="K32" s="63"/>
      <c r="L32" s="73"/>
      <c r="M32" s="73"/>
    </row>
    <row r="33" spans="1:13" x14ac:dyDescent="0.2">
      <c r="A33" s="66" t="s">
        <v>48</v>
      </c>
      <c r="B33" s="64">
        <v>41</v>
      </c>
      <c r="C33" s="75">
        <v>4.4618091495807581</v>
      </c>
      <c r="D33" s="63"/>
      <c r="E33" s="64">
        <v>39</v>
      </c>
      <c r="F33" s="66" t="s">
        <v>141</v>
      </c>
      <c r="G33" s="63"/>
      <c r="H33" s="117">
        <f t="shared" si="3"/>
        <v>0.8465492303042107</v>
      </c>
      <c r="I33" s="117"/>
      <c r="J33" s="63"/>
      <c r="K33" s="63"/>
      <c r="L33" s="73"/>
      <c r="M33" s="73"/>
    </row>
    <row r="34" spans="1:13" x14ac:dyDescent="0.2">
      <c r="A34" s="66" t="s">
        <v>345</v>
      </c>
      <c r="B34" s="64">
        <v>66</v>
      </c>
      <c r="C34" s="75">
        <v>4.2149304916794197</v>
      </c>
      <c r="D34" s="63"/>
      <c r="E34" s="64">
        <v>63</v>
      </c>
      <c r="F34" s="66" t="s">
        <v>141</v>
      </c>
      <c r="G34" s="63"/>
      <c r="H34" s="117">
        <f t="shared" si="3"/>
        <v>0.12985249300900778</v>
      </c>
      <c r="I34" s="117"/>
      <c r="J34" s="63"/>
      <c r="K34" s="63"/>
      <c r="L34" s="73"/>
      <c r="M34" s="73"/>
    </row>
    <row r="35" spans="1:13" x14ac:dyDescent="0.2">
      <c r="A35" s="66" t="s">
        <v>284</v>
      </c>
      <c r="B35" s="64">
        <v>95</v>
      </c>
      <c r="C35" s="75">
        <v>3.8769147785045175</v>
      </c>
      <c r="D35" s="63"/>
      <c r="E35" s="64">
        <v>96</v>
      </c>
      <c r="F35" s="66" t="s">
        <v>141</v>
      </c>
      <c r="G35" s="63"/>
      <c r="H35" s="117">
        <f t="shared" si="3"/>
        <v>-0.85141806657001107</v>
      </c>
      <c r="I35" s="117"/>
      <c r="J35" s="63"/>
      <c r="K35" s="63"/>
      <c r="L35" s="73"/>
      <c r="M35" s="73"/>
    </row>
    <row r="36" spans="1:13" x14ac:dyDescent="0.2">
      <c r="A36" s="66" t="s">
        <v>23</v>
      </c>
      <c r="B36" s="64">
        <v>50</v>
      </c>
      <c r="C36" s="75">
        <v>4.3420593240855094</v>
      </c>
      <c r="D36" s="63"/>
      <c r="E36" s="64">
        <v>54</v>
      </c>
      <c r="F36" s="66" t="s">
        <v>141</v>
      </c>
      <c r="G36" s="63"/>
      <c r="H36" s="117">
        <f t="shared" si="3"/>
        <v>0.49891160964599601</v>
      </c>
      <c r="I36" s="117"/>
      <c r="J36" s="63"/>
      <c r="K36" s="63"/>
      <c r="L36" s="73"/>
      <c r="M36" s="73"/>
    </row>
    <row r="37" spans="1:13" x14ac:dyDescent="0.2">
      <c r="A37" s="66" t="s">
        <v>77</v>
      </c>
      <c r="B37" s="64">
        <v>52</v>
      </c>
      <c r="C37" s="75">
        <v>4.3272359819350985</v>
      </c>
      <c r="D37" s="63"/>
      <c r="E37" s="64">
        <v>62</v>
      </c>
      <c r="F37" s="66" t="s">
        <v>141</v>
      </c>
      <c r="G37" s="63"/>
      <c r="H37" s="117">
        <f t="shared" si="3"/>
        <v>0.45587896743495632</v>
      </c>
      <c r="I37" s="117"/>
      <c r="J37" s="63"/>
      <c r="K37" s="63"/>
      <c r="L37" s="73"/>
      <c r="M37" s="73"/>
    </row>
    <row r="38" spans="1:13" x14ac:dyDescent="0.2">
      <c r="A38" s="66" t="s">
        <v>346</v>
      </c>
      <c r="B38" s="64">
        <v>40</v>
      </c>
      <c r="C38" s="75">
        <v>4.4748797282924677</v>
      </c>
      <c r="D38" s="63"/>
      <c r="E38" s="64">
        <v>32</v>
      </c>
      <c r="F38" s="66" t="s">
        <v>141</v>
      </c>
      <c r="G38" s="63"/>
      <c r="H38" s="117">
        <f t="shared" si="3"/>
        <v>0.88449354350193565</v>
      </c>
      <c r="I38" s="117"/>
      <c r="J38" s="63"/>
      <c r="K38" s="63"/>
      <c r="L38" s="73"/>
      <c r="M38" s="73"/>
    </row>
    <row r="39" spans="1:13" x14ac:dyDescent="0.2">
      <c r="A39" s="66" t="s">
        <v>14</v>
      </c>
      <c r="B39" s="64">
        <v>59</v>
      </c>
      <c r="C39" s="75">
        <v>4.2806376683966647</v>
      </c>
      <c r="D39" s="63"/>
      <c r="E39" s="64">
        <v>61</v>
      </c>
      <c r="F39" s="66" t="s">
        <v>141</v>
      </c>
      <c r="G39" s="63"/>
      <c r="H39" s="117">
        <f t="shared" si="3"/>
        <v>0.32060255447826819</v>
      </c>
      <c r="I39" s="117"/>
      <c r="J39" s="63"/>
      <c r="K39" s="63"/>
      <c r="L39" s="73"/>
      <c r="M39" s="73"/>
    </row>
    <row r="40" spans="1:13" x14ac:dyDescent="0.2">
      <c r="A40" s="66" t="s">
        <v>58</v>
      </c>
      <c r="B40" s="64">
        <v>82</v>
      </c>
      <c r="C40" s="75">
        <v>3.9999958299432326</v>
      </c>
      <c r="D40" s="63"/>
      <c r="E40" s="64">
        <v>89</v>
      </c>
      <c r="F40" s="66" t="s">
        <v>141</v>
      </c>
      <c r="G40" s="63"/>
      <c r="H40" s="117">
        <f t="shared" si="3"/>
        <v>-0.49410978913987891</v>
      </c>
      <c r="I40" s="117"/>
      <c r="J40" s="63"/>
      <c r="K40" s="63"/>
      <c r="L40" s="73"/>
      <c r="M40" s="73"/>
    </row>
    <row r="41" spans="1:13" x14ac:dyDescent="0.2">
      <c r="A41" s="66" t="s">
        <v>72</v>
      </c>
      <c r="B41" s="64">
        <v>63</v>
      </c>
      <c r="C41" s="75">
        <v>4.2510429885700924</v>
      </c>
      <c r="D41" s="63"/>
      <c r="E41" s="64">
        <v>64</v>
      </c>
      <c r="F41" s="66" t="s">
        <v>141</v>
      </c>
      <c r="G41" s="63"/>
      <c r="H41" s="117">
        <f t="shared" si="3"/>
        <v>0.23468824072872999</v>
      </c>
      <c r="I41" s="117"/>
      <c r="J41" s="63"/>
      <c r="K41" s="63"/>
      <c r="L41" s="73"/>
      <c r="M41" s="73"/>
    </row>
    <row r="42" spans="1:13" x14ac:dyDescent="0.2">
      <c r="A42" s="66" t="s">
        <v>12</v>
      </c>
      <c r="B42" s="64">
        <v>124</v>
      </c>
      <c r="C42" s="75">
        <v>3.5079475998269607</v>
      </c>
      <c r="D42" s="63"/>
      <c r="E42" s="64">
        <v>122</v>
      </c>
      <c r="F42" s="66" t="s">
        <v>141</v>
      </c>
      <c r="G42" s="63"/>
      <c r="H42" s="117">
        <f t="shared" si="3"/>
        <v>-1.9225417326460792</v>
      </c>
      <c r="I42" s="117"/>
      <c r="J42" s="63"/>
      <c r="K42" s="63"/>
      <c r="L42" s="73"/>
      <c r="M42" s="73"/>
    </row>
    <row r="43" spans="1:13" x14ac:dyDescent="0.2">
      <c r="A43" s="66" t="s">
        <v>64</v>
      </c>
      <c r="B43" s="64">
        <v>65</v>
      </c>
      <c r="C43" s="75">
        <v>4.239329277034865</v>
      </c>
      <c r="D43" s="63"/>
      <c r="E43" s="64">
        <v>59</v>
      </c>
      <c r="F43" s="66" t="s">
        <v>141</v>
      </c>
      <c r="G43" s="63"/>
      <c r="H43" s="117">
        <f t="shared" si="3"/>
        <v>0.20068295687681542</v>
      </c>
      <c r="I43" s="117"/>
      <c r="J43" s="63"/>
      <c r="K43" s="63"/>
      <c r="L43" s="73"/>
      <c r="M43" s="73"/>
    </row>
    <row r="44" spans="1:13" x14ac:dyDescent="0.2">
      <c r="A44" s="63"/>
      <c r="B44" s="63"/>
      <c r="C44" s="63"/>
      <c r="D44" s="63"/>
      <c r="E44" s="63"/>
      <c r="F44" s="63"/>
      <c r="G44" s="63"/>
      <c r="H44" s="65"/>
      <c r="I44" s="63"/>
      <c r="J44" s="63"/>
      <c r="K44" s="63"/>
      <c r="L44" s="73"/>
      <c r="M44" s="73"/>
    </row>
    <row r="45" spans="1:13" x14ac:dyDescent="0.2">
      <c r="A45" s="74" t="s">
        <v>347</v>
      </c>
      <c r="B45" s="63"/>
      <c r="C45" s="106">
        <f>AVERAGE(C5:C43)</f>
        <v>4.1702005417145402</v>
      </c>
      <c r="D45" s="63"/>
      <c r="E45" s="64"/>
      <c r="F45" s="63"/>
      <c r="G45" s="63"/>
      <c r="H45" s="65"/>
      <c r="I45" s="63"/>
      <c r="J45" s="63"/>
      <c r="K45" s="63"/>
      <c r="L45" s="73"/>
      <c r="M45" s="64"/>
    </row>
    <row r="46" spans="1:13" x14ac:dyDescent="0.2">
      <c r="A46" s="74" t="s">
        <v>348</v>
      </c>
      <c r="B46" s="63"/>
      <c r="C46" s="106">
        <f>STDEV(C5:C43)</f>
        <v>0.3444673947213055</v>
      </c>
      <c r="D46" s="63"/>
      <c r="E46" s="64"/>
      <c r="F46" s="63"/>
      <c r="G46" s="63"/>
      <c r="H46" s="65"/>
      <c r="I46" s="63"/>
      <c r="J46" s="63"/>
      <c r="K46" s="63"/>
      <c r="L46" s="73"/>
      <c r="M46" s="64"/>
    </row>
    <row r="47" spans="1:13" x14ac:dyDescent="0.2">
      <c r="A47" s="63"/>
      <c r="B47" s="63"/>
      <c r="C47" s="63"/>
      <c r="D47" s="63"/>
      <c r="E47" s="63"/>
      <c r="F47" s="63"/>
      <c r="G47" s="63"/>
      <c r="H47" s="65"/>
      <c r="I47" s="63"/>
      <c r="J47" s="63"/>
      <c r="K47" s="63"/>
      <c r="L47" s="73"/>
      <c r="M47" s="73"/>
    </row>
    <row r="48" spans="1:13" x14ac:dyDescent="0.2">
      <c r="A48" s="63"/>
      <c r="B48" s="63"/>
      <c r="C48" s="63"/>
      <c r="D48" s="63"/>
      <c r="E48" s="63"/>
      <c r="F48" s="63"/>
      <c r="G48" s="63"/>
      <c r="H48" s="65"/>
      <c r="I48" s="63"/>
      <c r="J48" s="63"/>
      <c r="K48" s="63"/>
      <c r="L48" s="73"/>
      <c r="M48" s="73"/>
    </row>
    <row r="49" spans="1:13" x14ac:dyDescent="0.2">
      <c r="A49" s="63"/>
      <c r="B49" s="63"/>
      <c r="C49" s="63"/>
      <c r="D49" s="63"/>
      <c r="E49" s="63"/>
      <c r="F49" s="63"/>
      <c r="G49" s="63"/>
      <c r="H49" s="65"/>
      <c r="I49" s="63"/>
      <c r="J49" s="63"/>
      <c r="K49" s="63"/>
      <c r="L49" s="73"/>
      <c r="M49" s="73"/>
    </row>
    <row r="50" spans="1:13" hidden="1" x14ac:dyDescent="0.2">
      <c r="A50" s="66" t="s">
        <v>349</v>
      </c>
      <c r="B50" s="64">
        <v>78</v>
      </c>
      <c r="C50" s="75">
        <v>4.0637764501425906</v>
      </c>
      <c r="D50" s="63"/>
      <c r="E50" s="64">
        <v>88</v>
      </c>
      <c r="F50" s="63"/>
      <c r="G50" s="63"/>
      <c r="H50" s="63"/>
      <c r="I50" s="63"/>
      <c r="J50" s="63"/>
      <c r="K50" s="63"/>
      <c r="L50" s="63"/>
      <c r="M50" s="63"/>
    </row>
    <row r="51" spans="1:13" hidden="1" x14ac:dyDescent="0.2">
      <c r="A51" s="66" t="s">
        <v>350</v>
      </c>
      <c r="B51" s="64">
        <v>87</v>
      </c>
      <c r="C51" s="75">
        <v>3.9584222369830595</v>
      </c>
      <c r="D51" s="63"/>
      <c r="E51" s="64">
        <v>86</v>
      </c>
      <c r="F51" s="63"/>
      <c r="G51" s="63"/>
      <c r="H51" s="63"/>
      <c r="I51" s="63"/>
      <c r="J51" s="63"/>
      <c r="K51" s="63"/>
      <c r="L51" s="63"/>
      <c r="M51" s="63"/>
    </row>
    <row r="52" spans="1:13" hidden="1" x14ac:dyDescent="0.2">
      <c r="A52" s="66" t="s">
        <v>351</v>
      </c>
      <c r="B52" s="64">
        <v>92</v>
      </c>
      <c r="C52" s="75">
        <v>3.8877522793285051</v>
      </c>
      <c r="D52" s="63"/>
      <c r="E52" s="64">
        <v>98</v>
      </c>
      <c r="F52" s="63"/>
      <c r="G52" s="63"/>
      <c r="H52" s="63"/>
      <c r="I52" s="63"/>
      <c r="J52" s="63"/>
      <c r="K52" s="63"/>
      <c r="L52" s="63"/>
      <c r="M52" s="63"/>
    </row>
    <row r="53" spans="1:13" hidden="1" x14ac:dyDescent="0.2">
      <c r="A53" s="66" t="s">
        <v>34</v>
      </c>
      <c r="B53" s="64">
        <v>20</v>
      </c>
      <c r="C53" s="75">
        <v>5.1102448100306983</v>
      </c>
      <c r="D53" s="63"/>
      <c r="E53" s="64">
        <v>16</v>
      </c>
      <c r="F53" s="63"/>
      <c r="G53" s="63"/>
      <c r="H53" s="63"/>
      <c r="I53" s="63"/>
      <c r="J53" s="63"/>
      <c r="K53" s="63"/>
      <c r="L53" s="63"/>
      <c r="M53" s="63"/>
    </row>
    <row r="54" spans="1:13" hidden="1" x14ac:dyDescent="0.2">
      <c r="A54" s="66" t="s">
        <v>352</v>
      </c>
      <c r="B54" s="64">
        <v>19</v>
      </c>
      <c r="C54" s="75">
        <v>5.1384261459476672</v>
      </c>
      <c r="D54" s="63"/>
      <c r="E54" s="64">
        <v>18</v>
      </c>
      <c r="F54" s="63"/>
      <c r="G54" s="63"/>
      <c r="H54" s="63"/>
      <c r="I54" s="63"/>
      <c r="J54" s="63"/>
      <c r="K54" s="63"/>
      <c r="L54" s="63"/>
      <c r="M54" s="63"/>
    </row>
    <row r="55" spans="1:13" hidden="1" x14ac:dyDescent="0.2">
      <c r="A55" s="66" t="s">
        <v>353</v>
      </c>
      <c r="B55" s="64">
        <v>55</v>
      </c>
      <c r="C55" s="75">
        <v>4.3137571317382619</v>
      </c>
      <c r="D55" s="63"/>
      <c r="E55" s="64">
        <v>57</v>
      </c>
      <c r="F55" s="63"/>
      <c r="G55" s="63"/>
      <c r="H55" s="63"/>
      <c r="I55" s="63"/>
      <c r="J55" s="63"/>
      <c r="K55" s="63"/>
      <c r="L55" s="63"/>
      <c r="M55" s="63"/>
    </row>
    <row r="56" spans="1:13" hidden="1" x14ac:dyDescent="0.2">
      <c r="A56" s="66" t="s">
        <v>354</v>
      </c>
      <c r="B56" s="64">
        <v>37</v>
      </c>
      <c r="C56" s="75">
        <v>4.5363549047374168</v>
      </c>
      <c r="D56" s="63"/>
      <c r="E56" s="64">
        <v>37</v>
      </c>
      <c r="F56" s="63"/>
      <c r="G56" s="63"/>
      <c r="H56" s="63"/>
      <c r="I56" s="63"/>
      <c r="J56" s="63"/>
      <c r="K56" s="63"/>
      <c r="L56" s="63"/>
      <c r="M56" s="63"/>
    </row>
    <row r="57" spans="1:13" hidden="1" x14ac:dyDescent="0.2">
      <c r="A57" s="66" t="s">
        <v>69</v>
      </c>
      <c r="B57" s="64">
        <v>108</v>
      </c>
      <c r="C57" s="75">
        <v>3.7308962304601319</v>
      </c>
      <c r="D57" s="63"/>
      <c r="E57" s="64">
        <v>107</v>
      </c>
      <c r="F57" s="63"/>
      <c r="G57" s="63"/>
      <c r="H57" s="63"/>
      <c r="I57" s="63"/>
      <c r="J57" s="63"/>
      <c r="K57" s="63"/>
      <c r="L57" s="63"/>
      <c r="M57" s="63"/>
    </row>
    <row r="58" spans="1:13" hidden="1" x14ac:dyDescent="0.2">
      <c r="A58" s="66" t="s">
        <v>355</v>
      </c>
      <c r="B58" s="64">
        <v>42</v>
      </c>
      <c r="C58" s="75">
        <v>4.438508740799235</v>
      </c>
      <c r="D58" s="63"/>
      <c r="E58" s="64">
        <v>43</v>
      </c>
      <c r="F58" s="63"/>
      <c r="G58" s="63"/>
      <c r="H58" s="63"/>
      <c r="I58" s="63"/>
      <c r="J58" s="63"/>
      <c r="K58" s="63"/>
      <c r="L58" s="63"/>
      <c r="M58" s="63"/>
    </row>
    <row r="59" spans="1:13" hidden="1" x14ac:dyDescent="0.2">
      <c r="A59" s="66" t="s">
        <v>356</v>
      </c>
      <c r="B59" s="64">
        <v>15</v>
      </c>
      <c r="C59" s="75">
        <v>5.2000688887363022</v>
      </c>
      <c r="D59" s="63"/>
      <c r="E59" s="64">
        <v>19</v>
      </c>
      <c r="F59" s="63"/>
      <c r="G59" s="63"/>
      <c r="H59" s="63"/>
      <c r="I59" s="63"/>
      <c r="J59" s="63"/>
      <c r="K59" s="63"/>
      <c r="L59" s="63"/>
      <c r="M59" s="63"/>
    </row>
    <row r="60" spans="1:13" hidden="1" x14ac:dyDescent="0.2">
      <c r="A60" s="66" t="s">
        <v>357</v>
      </c>
      <c r="B60" s="64">
        <v>104</v>
      </c>
      <c r="C60" s="75">
        <v>3.7766936712076631</v>
      </c>
      <c r="D60" s="63"/>
      <c r="E60" s="64">
        <v>103</v>
      </c>
      <c r="F60" s="63"/>
      <c r="G60" s="63"/>
      <c r="H60" s="63"/>
      <c r="I60" s="63"/>
      <c r="J60" s="63"/>
      <c r="K60" s="63"/>
      <c r="L60" s="63"/>
      <c r="M60" s="63"/>
    </row>
    <row r="61" spans="1:13" hidden="1" x14ac:dyDescent="0.2">
      <c r="A61" s="66" t="s">
        <v>358</v>
      </c>
      <c r="B61" s="64">
        <v>103</v>
      </c>
      <c r="C61" s="75">
        <v>3.8158868152152952</v>
      </c>
      <c r="D61" s="63"/>
      <c r="E61" s="64">
        <v>108</v>
      </c>
      <c r="F61" s="63"/>
      <c r="G61" s="63"/>
      <c r="H61" s="63"/>
      <c r="I61" s="63"/>
      <c r="J61" s="63"/>
      <c r="K61" s="63"/>
      <c r="L61" s="63"/>
      <c r="M61" s="63"/>
    </row>
    <row r="62" spans="1:13" hidden="1" x14ac:dyDescent="0.2">
      <c r="A62" s="66" t="s">
        <v>359</v>
      </c>
      <c r="B62" s="64">
        <v>100</v>
      </c>
      <c r="C62" s="75">
        <v>3.8277313929082748</v>
      </c>
      <c r="D62" s="63"/>
      <c r="E62" s="64">
        <v>102</v>
      </c>
      <c r="F62" s="63"/>
      <c r="G62" s="63"/>
      <c r="H62" s="63"/>
      <c r="I62" s="63"/>
      <c r="J62" s="63"/>
      <c r="K62" s="63"/>
      <c r="L62" s="63"/>
      <c r="M62" s="63"/>
    </row>
    <row r="63" spans="1:13" hidden="1" x14ac:dyDescent="0.2">
      <c r="A63" s="66" t="s">
        <v>360</v>
      </c>
      <c r="B63" s="64">
        <v>80</v>
      </c>
      <c r="C63" s="75">
        <v>4.0470745374554626</v>
      </c>
      <c r="D63" s="63"/>
      <c r="E63" s="64">
        <v>76</v>
      </c>
      <c r="F63" s="63"/>
      <c r="G63" s="63"/>
      <c r="H63" s="63"/>
      <c r="I63" s="63"/>
      <c r="J63" s="63"/>
      <c r="K63" s="63"/>
      <c r="L63" s="63"/>
      <c r="M63" s="63"/>
    </row>
    <row r="64" spans="1:13" hidden="1" x14ac:dyDescent="0.2">
      <c r="A64" s="66" t="s">
        <v>361</v>
      </c>
      <c r="B64" s="64">
        <v>28</v>
      </c>
      <c r="C64" s="75">
        <v>4.7794034295165826</v>
      </c>
      <c r="D64" s="63"/>
      <c r="E64" s="64">
        <v>28</v>
      </c>
      <c r="F64" s="63"/>
      <c r="G64" s="63"/>
      <c r="H64" s="63"/>
      <c r="I64" s="63"/>
      <c r="J64" s="63"/>
      <c r="K64" s="63"/>
      <c r="L64" s="63"/>
      <c r="M64" s="63"/>
    </row>
    <row r="65" spans="1:5" hidden="1" x14ac:dyDescent="0.2">
      <c r="A65" s="66" t="s">
        <v>362</v>
      </c>
      <c r="B65" s="64">
        <v>136</v>
      </c>
      <c r="C65" s="75">
        <v>3.2529643903848298</v>
      </c>
      <c r="D65" s="63"/>
      <c r="E65" s="64">
        <v>134</v>
      </c>
    </row>
    <row r="66" spans="1:5" hidden="1" x14ac:dyDescent="0.2">
      <c r="A66" s="66" t="s">
        <v>363</v>
      </c>
      <c r="B66" s="64">
        <v>140</v>
      </c>
      <c r="C66" s="75">
        <v>2.9499682138092496</v>
      </c>
      <c r="D66" s="63"/>
      <c r="E66" s="64">
        <v>137</v>
      </c>
    </row>
    <row r="67" spans="1:5" hidden="1" x14ac:dyDescent="0.2">
      <c r="A67" s="66" t="s">
        <v>364</v>
      </c>
      <c r="B67" s="64">
        <v>97</v>
      </c>
      <c r="C67" s="75">
        <v>3.8531476401652118</v>
      </c>
      <c r="D67" s="63"/>
      <c r="E67" s="64">
        <v>109</v>
      </c>
    </row>
    <row r="68" spans="1:5" hidden="1" x14ac:dyDescent="0.2">
      <c r="A68" s="66" t="s">
        <v>365</v>
      </c>
      <c r="B68" s="64">
        <v>116</v>
      </c>
      <c r="C68" s="75">
        <v>3.6068584749438526</v>
      </c>
      <c r="D68" s="63"/>
      <c r="E68" s="64">
        <v>111</v>
      </c>
    </row>
    <row r="69" spans="1:5" hidden="1" x14ac:dyDescent="0.2">
      <c r="A69" s="66" t="s">
        <v>35</v>
      </c>
      <c r="B69" s="64">
        <v>12</v>
      </c>
      <c r="C69" s="75">
        <v>5.3324315455592544</v>
      </c>
      <c r="D69" s="63"/>
      <c r="E69" s="64">
        <v>10</v>
      </c>
    </row>
    <row r="70" spans="1:5" hidden="1" x14ac:dyDescent="0.2">
      <c r="A70" s="66" t="s">
        <v>366</v>
      </c>
      <c r="B70" s="64">
        <v>142</v>
      </c>
      <c r="C70" s="75">
        <v>2.8697780454510173</v>
      </c>
      <c r="D70" s="63"/>
      <c r="E70" s="64">
        <v>139</v>
      </c>
    </row>
    <row r="71" spans="1:5" hidden="1" x14ac:dyDescent="0.2">
      <c r="A71" s="66" t="s">
        <v>367</v>
      </c>
      <c r="B71" s="64">
        <v>61</v>
      </c>
      <c r="C71" s="75">
        <v>4.2652197020016036</v>
      </c>
      <c r="D71" s="63"/>
      <c r="E71" s="64">
        <v>56</v>
      </c>
    </row>
    <row r="72" spans="1:5" hidden="1" x14ac:dyDescent="0.2">
      <c r="A72" s="66" t="s">
        <v>368</v>
      </c>
      <c r="B72" s="64">
        <v>129</v>
      </c>
      <c r="C72" s="75">
        <v>3.3715416611404256</v>
      </c>
      <c r="D72" s="63"/>
      <c r="E72" s="64">
        <v>129</v>
      </c>
    </row>
    <row r="73" spans="1:5" hidden="1" x14ac:dyDescent="0.2">
      <c r="A73" s="66" t="s">
        <v>369</v>
      </c>
      <c r="B73" s="64">
        <v>47</v>
      </c>
      <c r="C73" s="75">
        <v>4.3643874482659681</v>
      </c>
      <c r="D73" s="63"/>
      <c r="E73" s="64">
        <v>40</v>
      </c>
    </row>
    <row r="74" spans="1:5" hidden="1" x14ac:dyDescent="0.2">
      <c r="A74" s="66" t="s">
        <v>66</v>
      </c>
      <c r="B74" s="64">
        <v>38</v>
      </c>
      <c r="C74" s="75">
        <v>4.5213538805349849</v>
      </c>
      <c r="D74" s="63"/>
      <c r="E74" s="64">
        <v>36</v>
      </c>
    </row>
    <row r="75" spans="1:5" hidden="1" x14ac:dyDescent="0.2">
      <c r="A75" s="66" t="s">
        <v>38</v>
      </c>
      <c r="B75" s="64">
        <v>8</v>
      </c>
      <c r="C75" s="75">
        <v>5.4012105019556875</v>
      </c>
      <c r="D75" s="63"/>
      <c r="E75" s="64">
        <v>9</v>
      </c>
    </row>
    <row r="76" spans="1:5" hidden="1" x14ac:dyDescent="0.2">
      <c r="A76" s="66" t="s">
        <v>370</v>
      </c>
      <c r="B76" s="64">
        <v>33</v>
      </c>
      <c r="C76" s="75">
        <v>4.6174581781054957</v>
      </c>
      <c r="D76" s="63"/>
      <c r="E76" s="64">
        <v>33</v>
      </c>
    </row>
    <row r="77" spans="1:5" hidden="1" x14ac:dyDescent="0.2">
      <c r="A77" s="66" t="s">
        <v>371</v>
      </c>
      <c r="B77" s="64">
        <v>106</v>
      </c>
      <c r="C77" s="75">
        <v>3.7640201382686174</v>
      </c>
      <c r="D77" s="63"/>
      <c r="E77" s="64">
        <v>119</v>
      </c>
    </row>
    <row r="78" spans="1:5" hidden="1" x14ac:dyDescent="0.2">
      <c r="A78" s="66" t="s">
        <v>372</v>
      </c>
      <c r="B78" s="64">
        <v>4</v>
      </c>
      <c r="C78" s="75">
        <v>5.4677609672500802</v>
      </c>
      <c r="D78" s="63"/>
      <c r="E78" s="64">
        <v>7</v>
      </c>
    </row>
    <row r="79" spans="1:5" hidden="1" x14ac:dyDescent="0.2">
      <c r="A79" s="66" t="s">
        <v>41</v>
      </c>
      <c r="B79" s="64">
        <v>18</v>
      </c>
      <c r="C79" s="75">
        <v>5.1397064260756586</v>
      </c>
      <c r="D79" s="63"/>
      <c r="E79" s="64">
        <v>15</v>
      </c>
    </row>
    <row r="80" spans="1:5" hidden="1" x14ac:dyDescent="0.2">
      <c r="A80" s="66" t="s">
        <v>373</v>
      </c>
      <c r="B80" s="64">
        <v>99</v>
      </c>
      <c r="C80" s="75">
        <v>3.8421687517759531</v>
      </c>
      <c r="D80" s="63"/>
      <c r="E80" s="64">
        <v>90</v>
      </c>
    </row>
    <row r="81" spans="1:5" hidden="1" x14ac:dyDescent="0.2">
      <c r="A81" s="66" t="s">
        <v>42</v>
      </c>
      <c r="B81" s="64">
        <v>6</v>
      </c>
      <c r="C81" s="75">
        <v>5.4131614280128115</v>
      </c>
      <c r="D81" s="63"/>
      <c r="E81" s="64">
        <v>5</v>
      </c>
    </row>
    <row r="82" spans="1:5" hidden="1" x14ac:dyDescent="0.2">
      <c r="A82" s="71" t="s">
        <v>374</v>
      </c>
      <c r="B82" s="64">
        <v>90</v>
      </c>
      <c r="C82" s="75">
        <v>3.91546299004081</v>
      </c>
      <c r="D82" s="63"/>
      <c r="E82" s="64">
        <v>83</v>
      </c>
    </row>
    <row r="83" spans="1:5" hidden="1" x14ac:dyDescent="0.2">
      <c r="A83" s="66" t="s">
        <v>375</v>
      </c>
      <c r="B83" s="64">
        <v>84</v>
      </c>
      <c r="C83" s="75">
        <v>3.997117492073039</v>
      </c>
      <c r="D83" s="63"/>
      <c r="E83" s="64">
        <v>78</v>
      </c>
    </row>
    <row r="84" spans="1:5" hidden="1" x14ac:dyDescent="0.2">
      <c r="A84" s="66" t="s">
        <v>376</v>
      </c>
      <c r="B84" s="64">
        <v>109</v>
      </c>
      <c r="C84" s="75">
        <v>3.7303217310693735</v>
      </c>
      <c r="D84" s="63"/>
      <c r="E84" s="64">
        <v>110</v>
      </c>
    </row>
    <row r="85" spans="1:5" hidden="1" x14ac:dyDescent="0.2">
      <c r="A85" s="66" t="s">
        <v>377</v>
      </c>
      <c r="B85" s="64">
        <v>86</v>
      </c>
      <c r="C85" s="75">
        <v>3.9768608182241576</v>
      </c>
      <c r="D85" s="63"/>
      <c r="E85" s="64">
        <v>91</v>
      </c>
    </row>
    <row r="86" spans="1:5" hidden="1" x14ac:dyDescent="0.2">
      <c r="A86" s="66" t="s">
        <v>378</v>
      </c>
      <c r="B86" s="64">
        <v>11</v>
      </c>
      <c r="C86" s="75">
        <v>5.3565043278972446</v>
      </c>
      <c r="D86" s="63"/>
      <c r="E86" s="64">
        <v>11</v>
      </c>
    </row>
    <row r="87" spans="1:5" hidden="1" x14ac:dyDescent="0.2">
      <c r="A87" s="66" t="s">
        <v>379</v>
      </c>
      <c r="B87" s="64">
        <v>30</v>
      </c>
      <c r="C87" s="75">
        <v>4.7470512324571636</v>
      </c>
      <c r="D87" s="63"/>
      <c r="E87" s="64">
        <v>31</v>
      </c>
    </row>
    <row r="88" spans="1:5" hidden="1" x14ac:dyDescent="0.2">
      <c r="A88" s="66" t="s">
        <v>1</v>
      </c>
      <c r="B88" s="64">
        <v>56</v>
      </c>
      <c r="C88" s="75">
        <v>4.3049783617362518</v>
      </c>
      <c r="D88" s="63"/>
      <c r="E88" s="64">
        <v>51</v>
      </c>
    </row>
    <row r="89" spans="1:5" hidden="1" x14ac:dyDescent="0.2">
      <c r="A89" s="66" t="s">
        <v>380</v>
      </c>
      <c r="B89" s="64">
        <v>29</v>
      </c>
      <c r="C89" s="75">
        <v>4.772074781196646</v>
      </c>
      <c r="D89" s="63"/>
      <c r="E89" s="64">
        <v>29</v>
      </c>
    </row>
    <row r="90" spans="1:5" hidden="1" x14ac:dyDescent="0.2">
      <c r="A90" s="66" t="s">
        <v>61</v>
      </c>
      <c r="B90" s="64">
        <v>22</v>
      </c>
      <c r="C90" s="75">
        <v>5.0726161434871226</v>
      </c>
      <c r="D90" s="63"/>
      <c r="E90" s="64">
        <v>24</v>
      </c>
    </row>
    <row r="91" spans="1:5" hidden="1" x14ac:dyDescent="0.2">
      <c r="A91" s="66" t="s">
        <v>44</v>
      </c>
      <c r="B91" s="64">
        <v>43</v>
      </c>
      <c r="C91" s="75">
        <v>4.4267415052018109</v>
      </c>
      <c r="D91" s="63"/>
      <c r="E91" s="64">
        <v>48</v>
      </c>
    </row>
    <row r="92" spans="1:5" hidden="1" x14ac:dyDescent="0.2">
      <c r="A92" s="66" t="s">
        <v>17</v>
      </c>
      <c r="B92" s="64">
        <v>9</v>
      </c>
      <c r="C92" s="75">
        <v>5.3962107562005723</v>
      </c>
      <c r="D92" s="63"/>
      <c r="E92" s="64">
        <v>6</v>
      </c>
    </row>
    <row r="93" spans="1:5" hidden="1" x14ac:dyDescent="0.2">
      <c r="A93" s="66" t="s">
        <v>304</v>
      </c>
      <c r="B93" s="64">
        <v>71</v>
      </c>
      <c r="C93" s="75">
        <v>4.1869537333572104</v>
      </c>
      <c r="D93" s="63"/>
      <c r="E93" s="64">
        <v>65</v>
      </c>
    </row>
    <row r="94" spans="1:5" hidden="1" x14ac:dyDescent="0.2">
      <c r="A94" s="66" t="s">
        <v>381</v>
      </c>
      <c r="B94" s="64">
        <v>102</v>
      </c>
      <c r="C94" s="75">
        <v>3.8215291341818656</v>
      </c>
      <c r="D94" s="63"/>
      <c r="E94" s="64">
        <v>106</v>
      </c>
    </row>
    <row r="95" spans="1:5" hidden="1" x14ac:dyDescent="0.2">
      <c r="A95" s="66" t="s">
        <v>382</v>
      </c>
      <c r="B95" s="64">
        <v>24</v>
      </c>
      <c r="C95" s="75">
        <v>5.0207902864651057</v>
      </c>
      <c r="D95" s="63"/>
      <c r="E95" s="64">
        <v>22</v>
      </c>
    </row>
    <row r="96" spans="1:5" hidden="1" x14ac:dyDescent="0.2">
      <c r="A96" s="66" t="s">
        <v>383</v>
      </c>
      <c r="B96" s="64">
        <v>34</v>
      </c>
      <c r="C96" s="75">
        <v>4.6160410288262401</v>
      </c>
      <c r="D96" s="63"/>
      <c r="E96" s="64">
        <v>35</v>
      </c>
    </row>
    <row r="97" spans="1:5" hidden="1" x14ac:dyDescent="0.2">
      <c r="A97" s="66" t="s">
        <v>384</v>
      </c>
      <c r="B97" s="64">
        <v>126</v>
      </c>
      <c r="C97" s="75">
        <v>3.4472698279212461</v>
      </c>
      <c r="D97" s="63"/>
      <c r="E97" s="64">
        <v>121</v>
      </c>
    </row>
    <row r="98" spans="1:5" hidden="1" x14ac:dyDescent="0.2">
      <c r="A98" s="66" t="s">
        <v>385</v>
      </c>
      <c r="B98" s="64">
        <v>64</v>
      </c>
      <c r="C98" s="75">
        <v>4.2441664474275811</v>
      </c>
      <c r="D98" s="63"/>
      <c r="E98" s="64">
        <v>70</v>
      </c>
    </row>
    <row r="99" spans="1:5" hidden="1" x14ac:dyDescent="0.2">
      <c r="A99" s="66" t="s">
        <v>386</v>
      </c>
      <c r="B99" s="64">
        <v>135</v>
      </c>
      <c r="C99" s="75">
        <v>3.2634153031983475</v>
      </c>
      <c r="D99" s="63"/>
      <c r="E99" s="64">
        <v>128</v>
      </c>
    </row>
    <row r="100" spans="1:5" hidden="1" x14ac:dyDescent="0.2">
      <c r="A100" s="66" t="s">
        <v>387</v>
      </c>
      <c r="B100" s="64" t="e">
        <v>#N/A</v>
      </c>
      <c r="C100" s="75" t="e">
        <v>#N/A</v>
      </c>
      <c r="D100" s="63"/>
      <c r="E100" s="64" t="e">
        <v>#N/A</v>
      </c>
    </row>
    <row r="101" spans="1:5" hidden="1" x14ac:dyDescent="0.2">
      <c r="A101" s="66" t="s">
        <v>388</v>
      </c>
      <c r="B101" s="64">
        <v>23</v>
      </c>
      <c r="C101" s="75">
        <v>5.0336274708782867</v>
      </c>
      <c r="D101" s="63"/>
      <c r="E101" s="64">
        <v>20</v>
      </c>
    </row>
    <row r="102" spans="1:5" hidden="1" x14ac:dyDescent="0.2">
      <c r="A102" s="66" t="s">
        <v>389</v>
      </c>
      <c r="B102" s="64">
        <v>79</v>
      </c>
      <c r="C102" s="75">
        <v>4.0500424729887694</v>
      </c>
      <c r="D102" s="63"/>
      <c r="E102" s="64">
        <v>79</v>
      </c>
    </row>
    <row r="103" spans="1:5" hidden="1" x14ac:dyDescent="0.2">
      <c r="A103" s="66" t="s">
        <v>390</v>
      </c>
      <c r="B103" s="64">
        <v>130</v>
      </c>
      <c r="C103" s="75">
        <v>3.3633945189083931</v>
      </c>
      <c r="D103" s="63"/>
      <c r="E103" s="64">
        <v>124</v>
      </c>
    </row>
    <row r="104" spans="1:5" hidden="1" x14ac:dyDescent="0.2">
      <c r="A104" s="66" t="s">
        <v>391</v>
      </c>
      <c r="B104" s="64">
        <v>117</v>
      </c>
      <c r="C104" s="75">
        <v>3.5804550440481786</v>
      </c>
      <c r="D104" s="63"/>
      <c r="E104" s="64">
        <v>125</v>
      </c>
    </row>
    <row r="105" spans="1:5" hidden="1" x14ac:dyDescent="0.2">
      <c r="A105" s="66" t="s">
        <v>392</v>
      </c>
      <c r="B105" s="64">
        <v>128</v>
      </c>
      <c r="C105" s="75">
        <v>3.3870860547971477</v>
      </c>
      <c r="D105" s="63"/>
      <c r="E105" s="64">
        <v>132</v>
      </c>
    </row>
    <row r="106" spans="1:5" hidden="1" x14ac:dyDescent="0.2">
      <c r="A106" s="66" t="s">
        <v>393</v>
      </c>
      <c r="B106" s="64">
        <v>51</v>
      </c>
      <c r="C106" s="75">
        <v>4.3325707337893062</v>
      </c>
      <c r="D106" s="63"/>
      <c r="E106" s="64">
        <v>50</v>
      </c>
    </row>
    <row r="107" spans="1:5" hidden="1" x14ac:dyDescent="0.2">
      <c r="A107" s="66" t="s">
        <v>394</v>
      </c>
      <c r="B107" s="64">
        <v>137</v>
      </c>
      <c r="C107" s="75">
        <v>3.200694251964622</v>
      </c>
      <c r="D107" s="63"/>
      <c r="E107" s="64">
        <v>135</v>
      </c>
    </row>
    <row r="108" spans="1:5" hidden="1" x14ac:dyDescent="0.2">
      <c r="A108" s="66" t="s">
        <v>395</v>
      </c>
      <c r="B108" s="64">
        <v>54</v>
      </c>
      <c r="C108" s="75">
        <v>4.3146707912712641</v>
      </c>
      <c r="D108" s="63"/>
      <c r="E108" s="64">
        <v>55</v>
      </c>
    </row>
    <row r="109" spans="1:5" hidden="1" x14ac:dyDescent="0.2">
      <c r="A109" s="66" t="s">
        <v>396</v>
      </c>
      <c r="B109" s="64">
        <v>96</v>
      </c>
      <c r="C109" s="75">
        <v>3.8590678597188441</v>
      </c>
      <c r="D109" s="63"/>
      <c r="E109" s="64">
        <v>99</v>
      </c>
    </row>
    <row r="110" spans="1:5" hidden="1" x14ac:dyDescent="0.2">
      <c r="A110" s="66" t="s">
        <v>397</v>
      </c>
      <c r="B110" s="64">
        <v>60</v>
      </c>
      <c r="C110" s="75">
        <v>4.2727560241579345</v>
      </c>
      <c r="D110" s="63"/>
      <c r="E110" s="64">
        <v>49</v>
      </c>
    </row>
    <row r="111" spans="1:5" hidden="1" x14ac:dyDescent="0.2">
      <c r="A111" s="71" t="s">
        <v>398</v>
      </c>
      <c r="B111" s="64">
        <v>73</v>
      </c>
      <c r="C111" s="75">
        <v>4.1648434377066526</v>
      </c>
      <c r="D111" s="63"/>
      <c r="E111" s="64">
        <v>75</v>
      </c>
    </row>
    <row r="112" spans="1:5" hidden="1" x14ac:dyDescent="0.2">
      <c r="A112" s="66" t="s">
        <v>399</v>
      </c>
      <c r="B112" s="64">
        <v>133</v>
      </c>
      <c r="C112" s="75">
        <v>3.3110222166317467</v>
      </c>
      <c r="D112" s="63"/>
      <c r="E112" s="64">
        <v>131</v>
      </c>
    </row>
    <row r="113" spans="1:5" hidden="1" x14ac:dyDescent="0.2">
      <c r="A113" s="71" t="s">
        <v>400</v>
      </c>
      <c r="B113" s="64">
        <v>83</v>
      </c>
      <c r="C113" s="75">
        <v>3.9982167327172267</v>
      </c>
      <c r="D113" s="63"/>
      <c r="E113" s="64">
        <v>74</v>
      </c>
    </row>
    <row r="114" spans="1:5" hidden="1" x14ac:dyDescent="0.2">
      <c r="A114" s="66" t="s">
        <v>401</v>
      </c>
      <c r="B114" s="64">
        <v>125</v>
      </c>
      <c r="C114" s="75">
        <v>3.4670156357877402</v>
      </c>
      <c r="D114" s="63"/>
      <c r="E114" s="64">
        <v>130</v>
      </c>
    </row>
    <row r="115" spans="1:5" hidden="1" x14ac:dyDescent="0.2">
      <c r="A115" s="66" t="s">
        <v>46</v>
      </c>
      <c r="B115" s="64">
        <v>7</v>
      </c>
      <c r="C115" s="75">
        <v>5.4129146294321089</v>
      </c>
      <c r="D115" s="63"/>
      <c r="E115" s="64">
        <v>8</v>
      </c>
    </row>
    <row r="116" spans="1:5" hidden="1" x14ac:dyDescent="0.2">
      <c r="A116" s="66" t="s">
        <v>59</v>
      </c>
      <c r="B116" s="64">
        <v>25</v>
      </c>
      <c r="C116" s="75">
        <v>4.9271663748755952</v>
      </c>
      <c r="D116" s="63"/>
      <c r="E116" s="64">
        <v>23</v>
      </c>
    </row>
    <row r="117" spans="1:5" hidden="1" x14ac:dyDescent="0.2">
      <c r="A117" s="66" t="s">
        <v>402</v>
      </c>
      <c r="B117" s="64">
        <v>115</v>
      </c>
      <c r="C117" s="75">
        <v>3.6115660827532032</v>
      </c>
      <c r="D117" s="63"/>
      <c r="E117" s="64">
        <v>112</v>
      </c>
    </row>
    <row r="118" spans="1:5" hidden="1" x14ac:dyDescent="0.2">
      <c r="A118" s="66" t="s">
        <v>62</v>
      </c>
      <c r="B118" s="64">
        <v>127</v>
      </c>
      <c r="C118" s="75">
        <v>3.445574145129962</v>
      </c>
      <c r="D118" s="63"/>
      <c r="E118" s="64">
        <v>127</v>
      </c>
    </row>
    <row r="119" spans="1:5" hidden="1" x14ac:dyDescent="0.2">
      <c r="A119" s="66" t="s">
        <v>63</v>
      </c>
      <c r="B119" s="64">
        <v>16</v>
      </c>
      <c r="C119" s="75">
        <v>5.1821815771087474</v>
      </c>
      <c r="D119" s="63"/>
      <c r="E119" s="64">
        <v>14</v>
      </c>
    </row>
    <row r="120" spans="1:5" hidden="1" x14ac:dyDescent="0.2">
      <c r="A120" s="66" t="s">
        <v>403</v>
      </c>
      <c r="B120" s="64">
        <v>32</v>
      </c>
      <c r="C120" s="75">
        <v>4.6386499011130287</v>
      </c>
      <c r="D120" s="63"/>
      <c r="E120" s="64">
        <v>34</v>
      </c>
    </row>
    <row r="121" spans="1:5" hidden="1" x14ac:dyDescent="0.2">
      <c r="A121" s="66" t="s">
        <v>404</v>
      </c>
      <c r="B121" s="64">
        <v>122</v>
      </c>
      <c r="C121" s="75">
        <v>3.5310283841780681</v>
      </c>
      <c r="D121" s="63"/>
      <c r="E121" s="64">
        <v>120</v>
      </c>
    </row>
    <row r="122" spans="1:5" hidden="1" x14ac:dyDescent="0.2">
      <c r="A122" s="66" t="s">
        <v>405</v>
      </c>
      <c r="B122" s="64">
        <v>45</v>
      </c>
      <c r="C122" s="75">
        <v>4.4039769189722282</v>
      </c>
      <c r="D122" s="63"/>
      <c r="E122" s="64">
        <v>46</v>
      </c>
    </row>
    <row r="123" spans="1:5" hidden="1" x14ac:dyDescent="0.2">
      <c r="A123" s="66" t="s">
        <v>406</v>
      </c>
      <c r="B123" s="64">
        <v>35</v>
      </c>
      <c r="C123" s="75">
        <v>4.5777152314691598</v>
      </c>
      <c r="D123" s="63"/>
      <c r="E123" s="64">
        <v>41</v>
      </c>
    </row>
    <row r="124" spans="1:5" hidden="1" x14ac:dyDescent="0.2">
      <c r="A124" s="66" t="s">
        <v>407</v>
      </c>
      <c r="B124" s="64">
        <v>14</v>
      </c>
      <c r="C124" s="75">
        <v>5.2429612260606344</v>
      </c>
      <c r="D124" s="63"/>
      <c r="E124" s="64">
        <v>17</v>
      </c>
    </row>
    <row r="125" spans="1:5" hidden="1" x14ac:dyDescent="0.2">
      <c r="A125" s="66" t="s">
        <v>73</v>
      </c>
      <c r="B125" s="64">
        <v>77</v>
      </c>
      <c r="C125" s="75">
        <v>4.0756827496638559</v>
      </c>
      <c r="D125" s="63"/>
      <c r="E125" s="64">
        <v>67</v>
      </c>
    </row>
    <row r="126" spans="1:5" hidden="1" x14ac:dyDescent="0.2">
      <c r="A126" s="66" t="s">
        <v>84</v>
      </c>
      <c r="B126" s="64">
        <v>17</v>
      </c>
      <c r="C126" s="75">
        <v>5.1682461988665445</v>
      </c>
      <c r="D126" s="63"/>
      <c r="E126" s="64">
        <v>21</v>
      </c>
    </row>
    <row r="127" spans="1:5" hidden="1" x14ac:dyDescent="0.2">
      <c r="A127" s="66" t="s">
        <v>307</v>
      </c>
      <c r="B127" s="64">
        <v>111</v>
      </c>
      <c r="C127" s="75">
        <v>3.6969522268613897</v>
      </c>
      <c r="D127" s="63"/>
      <c r="E127" s="64">
        <v>104</v>
      </c>
    </row>
    <row r="128" spans="1:5" hidden="1" x14ac:dyDescent="0.2">
      <c r="A128" s="66" t="s">
        <v>5</v>
      </c>
      <c r="B128" s="64">
        <v>2</v>
      </c>
      <c r="C128" s="75">
        <v>5.6257050055219233</v>
      </c>
      <c r="D128" s="63"/>
      <c r="E128" s="64">
        <v>3</v>
      </c>
    </row>
    <row r="129" spans="1:5" hidden="1" x14ac:dyDescent="0.2">
      <c r="A129" s="66" t="s">
        <v>408</v>
      </c>
      <c r="B129" s="64">
        <v>69</v>
      </c>
      <c r="C129" s="75">
        <v>4.1882560070432326</v>
      </c>
      <c r="D129" s="63"/>
      <c r="E129" s="64">
        <v>60</v>
      </c>
    </row>
    <row r="130" spans="1:5" hidden="1" x14ac:dyDescent="0.2">
      <c r="A130" s="66" t="s">
        <v>409</v>
      </c>
      <c r="B130" s="64">
        <v>57</v>
      </c>
      <c r="C130" s="75">
        <v>4.2998984704982748</v>
      </c>
      <c r="D130" s="63"/>
      <c r="E130" s="64">
        <v>45</v>
      </c>
    </row>
    <row r="131" spans="1:5" hidden="1" x14ac:dyDescent="0.2">
      <c r="A131" s="66" t="s">
        <v>49</v>
      </c>
      <c r="B131" s="64">
        <v>36</v>
      </c>
      <c r="C131" s="75">
        <v>4.5382046743575462</v>
      </c>
      <c r="D131" s="63"/>
      <c r="E131" s="64">
        <v>42</v>
      </c>
    </row>
    <row r="132" spans="1:5" hidden="1" x14ac:dyDescent="0.2">
      <c r="A132" s="66" t="s">
        <v>410</v>
      </c>
      <c r="B132" s="64">
        <v>112</v>
      </c>
      <c r="C132" s="75">
        <v>3.6743269512715817</v>
      </c>
      <c r="D132" s="63"/>
      <c r="E132" s="64" t="s">
        <v>411</v>
      </c>
    </row>
    <row r="133" spans="1:5" hidden="1" x14ac:dyDescent="0.2">
      <c r="A133" s="66" t="s">
        <v>50</v>
      </c>
      <c r="B133" s="64">
        <v>3</v>
      </c>
      <c r="C133" s="75">
        <v>5.6122616819434494</v>
      </c>
      <c r="D133" s="63"/>
      <c r="E133" s="64">
        <v>2</v>
      </c>
    </row>
    <row r="134" spans="1:5" hidden="1" x14ac:dyDescent="0.2">
      <c r="A134" s="66" t="s">
        <v>51</v>
      </c>
      <c r="B134" s="64">
        <v>1</v>
      </c>
      <c r="C134" s="75">
        <v>5.7374740424197306</v>
      </c>
      <c r="D134" s="63"/>
      <c r="E134" s="64">
        <v>1</v>
      </c>
    </row>
    <row r="135" spans="1:5" hidden="1" x14ac:dyDescent="0.2">
      <c r="A135" s="66" t="s">
        <v>412</v>
      </c>
      <c r="B135" s="64">
        <v>98</v>
      </c>
      <c r="C135" s="75">
        <v>3.8497056485466414</v>
      </c>
      <c r="D135" s="63"/>
      <c r="E135" s="64">
        <v>97</v>
      </c>
    </row>
    <row r="136" spans="1:5" hidden="1" x14ac:dyDescent="0.2">
      <c r="A136" s="66" t="s">
        <v>413</v>
      </c>
      <c r="B136" s="64">
        <v>13</v>
      </c>
      <c r="C136" s="75">
        <v>5.2641804951819129</v>
      </c>
      <c r="D136" s="63"/>
      <c r="E136" s="64">
        <v>13</v>
      </c>
    </row>
    <row r="137" spans="1:5" hidden="1" x14ac:dyDescent="0.2">
      <c r="A137" s="66" t="s">
        <v>414</v>
      </c>
      <c r="B137" s="64">
        <v>105</v>
      </c>
      <c r="C137" s="75">
        <v>3.7743644380144943</v>
      </c>
      <c r="D137" s="63"/>
      <c r="E137" s="64">
        <v>116</v>
      </c>
    </row>
    <row r="138" spans="1:5" hidden="1" x14ac:dyDescent="0.2">
      <c r="A138" s="66" t="s">
        <v>415</v>
      </c>
      <c r="B138" s="64">
        <v>120</v>
      </c>
      <c r="C138" s="75">
        <v>3.5632456104772858</v>
      </c>
      <c r="D138" s="63"/>
      <c r="E138" s="64">
        <v>113</v>
      </c>
    </row>
    <row r="139" spans="1:5" hidden="1" x14ac:dyDescent="0.2">
      <c r="A139" s="66" t="s">
        <v>8</v>
      </c>
      <c r="B139" s="64">
        <v>39</v>
      </c>
      <c r="C139" s="75">
        <v>4.5185916632847611</v>
      </c>
      <c r="D139" s="63"/>
      <c r="E139" s="64">
        <v>38</v>
      </c>
    </row>
    <row r="140" spans="1:5" hidden="1" x14ac:dyDescent="0.2">
      <c r="A140" s="66" t="s">
        <v>416</v>
      </c>
      <c r="B140" s="64">
        <v>131</v>
      </c>
      <c r="C140" s="75">
        <v>3.3531633796545655</v>
      </c>
      <c r="D140" s="63"/>
      <c r="E140" s="64">
        <v>133</v>
      </c>
    </row>
    <row r="141" spans="1:5" hidden="1" x14ac:dyDescent="0.2">
      <c r="A141" s="66" t="s">
        <v>417</v>
      </c>
      <c r="B141" s="64">
        <v>81</v>
      </c>
      <c r="C141" s="75">
        <v>4.0042823468081963</v>
      </c>
      <c r="D141" s="63"/>
      <c r="E141" s="64">
        <v>84</v>
      </c>
    </row>
    <row r="142" spans="1:5" hidden="1" x14ac:dyDescent="0.2">
      <c r="A142" s="66" t="s">
        <v>418</v>
      </c>
      <c r="B142" s="64">
        <v>121</v>
      </c>
      <c r="C142" s="75">
        <v>3.559189422543791</v>
      </c>
      <c r="D142" s="63"/>
      <c r="E142" s="64">
        <v>118</v>
      </c>
    </row>
    <row r="143" spans="1:5" hidden="1" x14ac:dyDescent="0.2">
      <c r="A143" s="66" t="s">
        <v>419</v>
      </c>
      <c r="B143" s="64">
        <v>27</v>
      </c>
      <c r="C143" s="75">
        <v>4.8909630210833939</v>
      </c>
      <c r="D143" s="63"/>
      <c r="E143" s="64">
        <v>25</v>
      </c>
    </row>
    <row r="144" spans="1:5" hidden="1" x14ac:dyDescent="0.2">
      <c r="A144" s="66" t="s">
        <v>107</v>
      </c>
      <c r="B144" s="64">
        <v>10</v>
      </c>
      <c r="C144" s="75">
        <v>5.3880779212721652</v>
      </c>
      <c r="D144" s="63"/>
      <c r="E144" s="64">
        <v>12</v>
      </c>
    </row>
    <row r="145" spans="1:5" hidden="1" x14ac:dyDescent="0.2">
      <c r="A145" s="66" t="s">
        <v>104</v>
      </c>
      <c r="B145" s="64">
        <v>5</v>
      </c>
      <c r="C145" s="75">
        <v>5.4270378154788386</v>
      </c>
      <c r="D145" s="63"/>
      <c r="E145" s="64">
        <v>4</v>
      </c>
    </row>
    <row r="146" spans="1:5" hidden="1" x14ac:dyDescent="0.2">
      <c r="A146" s="66" t="s">
        <v>420</v>
      </c>
      <c r="B146" s="64">
        <v>113</v>
      </c>
      <c r="C146" s="75">
        <v>3.6695830578712028</v>
      </c>
      <c r="D146" s="63"/>
      <c r="E146" s="64">
        <v>115</v>
      </c>
    </row>
    <row r="147" spans="1:5" hidden="1" x14ac:dyDescent="0.2">
      <c r="A147" s="66" t="s">
        <v>421</v>
      </c>
      <c r="B147" s="64">
        <v>132</v>
      </c>
      <c r="C147" s="75">
        <v>3.3267397614594176</v>
      </c>
      <c r="D147" s="63"/>
      <c r="E147" s="64">
        <v>136</v>
      </c>
    </row>
    <row r="148" spans="1:5" hidden="1" x14ac:dyDescent="0.2"/>
    <row r="149" spans="1:5" hidden="1" x14ac:dyDescent="0.2"/>
    <row r="150" spans="1:5" hidden="1" x14ac:dyDescent="0.2"/>
    <row r="151" spans="1:5" hidden="1" x14ac:dyDescent="0.2">
      <c r="A151" s="66" t="s">
        <v>422</v>
      </c>
      <c r="B151" s="63"/>
      <c r="C151" s="63"/>
      <c r="D151" s="63"/>
      <c r="E151" s="63"/>
    </row>
    <row r="152" spans="1:5" hidden="1" x14ac:dyDescent="0.2">
      <c r="A152" s="66" t="s">
        <v>423</v>
      </c>
      <c r="B152" s="63"/>
      <c r="C152" s="63"/>
      <c r="D152" s="63"/>
      <c r="E152" s="63"/>
    </row>
  </sheetData>
  <mergeCells count="2">
    <mergeCell ref="A1:I1"/>
    <mergeCell ref="B3:C3"/>
  </mergeCells>
  <phoneticPr fontId="3" type="noConversion"/>
  <pageMargins left="0.75" right="0.75" top="1" bottom="1" header="0.5" footer="0.5"/>
  <headerFooter alignWithMargins="0"/>
  <drawing r:id="rId1"/>
  <legacyDrawing r:id="rId2"/>
  <mc:AlternateContent xmlns:mc="http://schemas.openxmlformats.org/markup-compatibility/2006">
    <mc:Choice Requires="x14">
      <oleObjects>
        <mc:AlternateContent xmlns:mc="http://schemas.openxmlformats.org/markup-compatibility/2006">
          <mc:Choice Requires="x14">
            <oleObject shapeId="347137">
              <objectPr defaultSize="0" autoPict="0" r:id="rId3">
                <anchor moveWithCells="1">
                  <from>
                    <xdr:col>15</xdr:col>
                    <xdr:colOff>0</xdr:colOff>
                    <xdr:row>43</xdr:row>
                    <xdr:rowOff>123825</xdr:rowOff>
                  </from>
                  <to>
                    <xdr:col>15</xdr:col>
                    <xdr:colOff>419100</xdr:colOff>
                    <xdr:row>44</xdr:row>
                    <xdr:rowOff>9525</xdr:rowOff>
                  </to>
                </anchor>
              </objectPr>
            </oleObject>
          </mc:Choice>
        </mc:AlternateContent>
      </oleObject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C000"/>
  </sheetPr>
  <dimension ref="A1:E146"/>
  <sheetViews>
    <sheetView workbookViewId="0">
      <selection activeCell="A6" sqref="A6"/>
    </sheetView>
  </sheetViews>
  <sheetFormatPr defaultRowHeight="12.75" x14ac:dyDescent="0.2"/>
  <sheetData>
    <row r="1" spans="1:5" ht="15.75" x14ac:dyDescent="0.25">
      <c r="A1" s="319" t="s">
        <v>424</v>
      </c>
      <c r="B1" s="319"/>
      <c r="C1" s="319"/>
      <c r="D1" s="319"/>
      <c r="E1" s="319"/>
    </row>
    <row r="2" spans="1:5" x14ac:dyDescent="0.2">
      <c r="A2" s="83" t="s">
        <v>425</v>
      </c>
      <c r="B2" s="81"/>
      <c r="C2" s="82"/>
      <c r="D2" s="81"/>
      <c r="E2" s="80"/>
    </row>
    <row r="3" spans="1:5" ht="22.5" x14ac:dyDescent="0.2">
      <c r="A3" s="84"/>
      <c r="B3" s="320" t="s">
        <v>426</v>
      </c>
      <c r="C3" s="320"/>
      <c r="D3" s="85" t="s">
        <v>427</v>
      </c>
      <c r="E3" s="85"/>
    </row>
    <row r="4" spans="1:5" ht="23.25" thickBot="1" x14ac:dyDescent="0.25">
      <c r="A4" s="86" t="s">
        <v>341</v>
      </c>
      <c r="B4" s="86" t="s">
        <v>342</v>
      </c>
      <c r="C4" s="86" t="s">
        <v>343</v>
      </c>
      <c r="D4" s="86" t="s">
        <v>342</v>
      </c>
      <c r="E4" s="86" t="s">
        <v>428</v>
      </c>
    </row>
    <row r="5" spans="1:5" ht="13.5" thickTop="1" x14ac:dyDescent="0.2">
      <c r="A5" s="87" t="s">
        <v>51</v>
      </c>
      <c r="B5" s="88">
        <v>1</v>
      </c>
      <c r="C5" s="89">
        <v>5.7374740424197306</v>
      </c>
      <c r="D5" s="90">
        <v>1</v>
      </c>
      <c r="E5" s="91">
        <f>IF(D5="n/a","no change",D5-B5)</f>
        <v>0</v>
      </c>
    </row>
    <row r="6" spans="1:5" x14ac:dyDescent="0.2">
      <c r="A6" s="92" t="s">
        <v>5</v>
      </c>
      <c r="B6" s="93">
        <v>2</v>
      </c>
      <c r="C6" s="94">
        <v>5.6257050055219233</v>
      </c>
      <c r="D6" s="95">
        <v>3</v>
      </c>
      <c r="E6" s="108">
        <f t="shared" ref="E6:E69" si="0">IF(D6="n/a","no change",D6-B6)</f>
        <v>1</v>
      </c>
    </row>
    <row r="7" spans="1:5" x14ac:dyDescent="0.2">
      <c r="A7" s="87" t="s">
        <v>50</v>
      </c>
      <c r="B7" s="88">
        <v>3</v>
      </c>
      <c r="C7" s="89">
        <v>5.6122616819434494</v>
      </c>
      <c r="D7" s="90">
        <v>2</v>
      </c>
      <c r="E7" s="108">
        <f t="shared" si="0"/>
        <v>-1</v>
      </c>
    </row>
    <row r="8" spans="1:5" x14ac:dyDescent="0.2">
      <c r="A8" s="92" t="s">
        <v>372</v>
      </c>
      <c r="B8" s="93">
        <v>4</v>
      </c>
      <c r="C8" s="94">
        <v>5.4677609672500802</v>
      </c>
      <c r="D8" s="95">
        <v>7</v>
      </c>
      <c r="E8" s="108">
        <f t="shared" si="0"/>
        <v>3</v>
      </c>
    </row>
    <row r="9" spans="1:5" x14ac:dyDescent="0.2">
      <c r="A9" s="87" t="s">
        <v>104</v>
      </c>
      <c r="B9" s="88">
        <v>5</v>
      </c>
      <c r="C9" s="89">
        <v>5.4270378154788386</v>
      </c>
      <c r="D9" s="90">
        <v>4</v>
      </c>
      <c r="E9" s="108">
        <f t="shared" si="0"/>
        <v>-1</v>
      </c>
    </row>
    <row r="10" spans="1:5" x14ac:dyDescent="0.2">
      <c r="A10" s="92" t="s">
        <v>42</v>
      </c>
      <c r="B10" s="93">
        <v>6</v>
      </c>
      <c r="C10" s="94">
        <v>5.4131614280128115</v>
      </c>
      <c r="D10" s="95">
        <v>5</v>
      </c>
      <c r="E10" s="108">
        <f t="shared" si="0"/>
        <v>-1</v>
      </c>
    </row>
    <row r="11" spans="1:5" x14ac:dyDescent="0.2">
      <c r="A11" s="87" t="s">
        <v>46</v>
      </c>
      <c r="B11" s="88">
        <v>7</v>
      </c>
      <c r="C11" s="89">
        <v>5.4129146294321089</v>
      </c>
      <c r="D11" s="90">
        <v>8</v>
      </c>
      <c r="E11" s="108">
        <f t="shared" si="0"/>
        <v>1</v>
      </c>
    </row>
    <row r="12" spans="1:5" x14ac:dyDescent="0.2">
      <c r="A12" s="92" t="s">
        <v>38</v>
      </c>
      <c r="B12" s="93">
        <v>8</v>
      </c>
      <c r="C12" s="94">
        <v>5.4012105019556875</v>
      </c>
      <c r="D12" s="95">
        <v>9</v>
      </c>
      <c r="E12" s="108">
        <f t="shared" si="0"/>
        <v>1</v>
      </c>
    </row>
    <row r="13" spans="1:5" x14ac:dyDescent="0.2">
      <c r="A13" s="87" t="s">
        <v>17</v>
      </c>
      <c r="B13" s="88">
        <v>9</v>
      </c>
      <c r="C13" s="89">
        <v>5.3962107562005723</v>
      </c>
      <c r="D13" s="90">
        <v>6</v>
      </c>
      <c r="E13" s="108">
        <f t="shared" si="0"/>
        <v>-3</v>
      </c>
    </row>
    <row r="14" spans="1:5" x14ac:dyDescent="0.2">
      <c r="A14" s="92" t="s">
        <v>107</v>
      </c>
      <c r="B14" s="93">
        <v>10</v>
      </c>
      <c r="C14" s="94">
        <v>5.3880779212721652</v>
      </c>
      <c r="D14" s="95">
        <v>12</v>
      </c>
      <c r="E14" s="108">
        <f t="shared" si="0"/>
        <v>2</v>
      </c>
    </row>
    <row r="15" spans="1:5" x14ac:dyDescent="0.2">
      <c r="A15" s="87" t="s">
        <v>378</v>
      </c>
      <c r="B15" s="88">
        <v>11</v>
      </c>
      <c r="C15" s="89">
        <v>5.3565043278972446</v>
      </c>
      <c r="D15" s="90">
        <v>11</v>
      </c>
      <c r="E15" s="108">
        <f t="shared" si="0"/>
        <v>0</v>
      </c>
    </row>
    <row r="16" spans="1:5" x14ac:dyDescent="0.2">
      <c r="A16" s="92" t="s">
        <v>35</v>
      </c>
      <c r="B16" s="93">
        <v>12</v>
      </c>
      <c r="C16" s="94">
        <v>5.3324315455592544</v>
      </c>
      <c r="D16" s="95">
        <v>10</v>
      </c>
      <c r="E16" s="108">
        <f t="shared" si="0"/>
        <v>-2</v>
      </c>
    </row>
    <row r="17" spans="1:5" x14ac:dyDescent="0.2">
      <c r="A17" s="96" t="s">
        <v>413</v>
      </c>
      <c r="B17" s="97">
        <v>13</v>
      </c>
      <c r="C17" s="98">
        <v>5.2641804951819129</v>
      </c>
      <c r="D17" s="99">
        <v>13</v>
      </c>
      <c r="E17" s="108">
        <f t="shared" si="0"/>
        <v>0</v>
      </c>
    </row>
    <row r="18" spans="1:5" x14ac:dyDescent="0.2">
      <c r="A18" s="92" t="s">
        <v>407</v>
      </c>
      <c r="B18" s="93">
        <v>14</v>
      </c>
      <c r="C18" s="94">
        <v>5.2429612260606344</v>
      </c>
      <c r="D18" s="95">
        <v>17</v>
      </c>
      <c r="E18" s="108">
        <f t="shared" si="0"/>
        <v>3</v>
      </c>
    </row>
    <row r="19" spans="1:5" x14ac:dyDescent="0.2">
      <c r="A19" s="96" t="s">
        <v>356</v>
      </c>
      <c r="B19" s="97">
        <v>15</v>
      </c>
      <c r="C19" s="98">
        <v>5.2000688887363022</v>
      </c>
      <c r="D19" s="99">
        <v>19</v>
      </c>
      <c r="E19" s="108">
        <f t="shared" si="0"/>
        <v>4</v>
      </c>
    </row>
    <row r="20" spans="1:5" x14ac:dyDescent="0.2">
      <c r="A20" s="92" t="s">
        <v>63</v>
      </c>
      <c r="B20" s="93">
        <v>16</v>
      </c>
      <c r="C20" s="94">
        <v>5.1821815771087474</v>
      </c>
      <c r="D20" s="95">
        <v>14</v>
      </c>
      <c r="E20" s="108">
        <f t="shared" si="0"/>
        <v>-2</v>
      </c>
    </row>
    <row r="21" spans="1:5" x14ac:dyDescent="0.2">
      <c r="A21" s="96" t="s">
        <v>84</v>
      </c>
      <c r="B21" s="97">
        <v>17</v>
      </c>
      <c r="C21" s="98">
        <v>5.1682461988665445</v>
      </c>
      <c r="D21" s="99">
        <v>21</v>
      </c>
      <c r="E21" s="108">
        <f t="shared" si="0"/>
        <v>4</v>
      </c>
    </row>
    <row r="22" spans="1:5" x14ac:dyDescent="0.2">
      <c r="A22" s="92" t="s">
        <v>41</v>
      </c>
      <c r="B22" s="93">
        <v>18</v>
      </c>
      <c r="C22" s="94">
        <v>5.1397064260756586</v>
      </c>
      <c r="D22" s="95">
        <v>15</v>
      </c>
      <c r="E22" s="108">
        <f t="shared" si="0"/>
        <v>-3</v>
      </c>
    </row>
    <row r="23" spans="1:5" x14ac:dyDescent="0.2">
      <c r="A23" s="96" t="s">
        <v>352</v>
      </c>
      <c r="B23" s="97">
        <v>19</v>
      </c>
      <c r="C23" s="98">
        <v>5.1384261459476672</v>
      </c>
      <c r="D23" s="99">
        <v>18</v>
      </c>
      <c r="E23" s="108">
        <f t="shared" si="0"/>
        <v>-1</v>
      </c>
    </row>
    <row r="24" spans="1:5" x14ac:dyDescent="0.2">
      <c r="A24" s="92" t="s">
        <v>34</v>
      </c>
      <c r="B24" s="93">
        <v>20</v>
      </c>
      <c r="C24" s="94">
        <v>5.1102448100306983</v>
      </c>
      <c r="D24" s="95">
        <v>16</v>
      </c>
      <c r="E24" s="108">
        <f t="shared" si="0"/>
        <v>-4</v>
      </c>
    </row>
    <row r="25" spans="1:5" x14ac:dyDescent="0.2">
      <c r="A25" s="96" t="s">
        <v>3</v>
      </c>
      <c r="B25" s="97">
        <v>21</v>
      </c>
      <c r="C25" s="98">
        <v>5.0842885833453426</v>
      </c>
      <c r="D25" s="99">
        <v>26</v>
      </c>
      <c r="E25" s="108">
        <f t="shared" si="0"/>
        <v>5</v>
      </c>
    </row>
    <row r="26" spans="1:5" x14ac:dyDescent="0.2">
      <c r="A26" s="92" t="s">
        <v>61</v>
      </c>
      <c r="B26" s="93">
        <v>22</v>
      </c>
      <c r="C26" s="94">
        <v>5.0726161434871226</v>
      </c>
      <c r="D26" s="95">
        <v>24</v>
      </c>
      <c r="E26" s="108">
        <f t="shared" si="0"/>
        <v>2</v>
      </c>
    </row>
    <row r="27" spans="1:5" x14ac:dyDescent="0.2">
      <c r="A27" s="96" t="s">
        <v>388</v>
      </c>
      <c r="B27" s="97">
        <v>23</v>
      </c>
      <c r="C27" s="98">
        <v>5.0336274708782867</v>
      </c>
      <c r="D27" s="99">
        <v>20</v>
      </c>
      <c r="E27" s="108">
        <f t="shared" si="0"/>
        <v>-3</v>
      </c>
    </row>
    <row r="28" spans="1:5" x14ac:dyDescent="0.2">
      <c r="A28" s="92" t="s">
        <v>382</v>
      </c>
      <c r="B28" s="93">
        <v>24</v>
      </c>
      <c r="C28" s="94">
        <v>5.0207902864651057</v>
      </c>
      <c r="D28" s="95">
        <v>22</v>
      </c>
      <c r="E28" s="108">
        <f t="shared" si="0"/>
        <v>-2</v>
      </c>
    </row>
    <row r="29" spans="1:5" x14ac:dyDescent="0.2">
      <c r="A29" s="96" t="s">
        <v>59</v>
      </c>
      <c r="B29" s="97">
        <v>25</v>
      </c>
      <c r="C29" s="98">
        <v>4.9271663748755952</v>
      </c>
      <c r="D29" s="99">
        <v>23</v>
      </c>
      <c r="E29" s="108">
        <f t="shared" si="0"/>
        <v>-2</v>
      </c>
    </row>
    <row r="30" spans="1:5" x14ac:dyDescent="0.2">
      <c r="A30" s="92" t="s">
        <v>0</v>
      </c>
      <c r="B30" s="93">
        <v>26</v>
      </c>
      <c r="C30" s="94">
        <v>4.8977891043925155</v>
      </c>
      <c r="D30" s="95">
        <v>27</v>
      </c>
      <c r="E30" s="108">
        <f t="shared" si="0"/>
        <v>1</v>
      </c>
    </row>
    <row r="31" spans="1:5" x14ac:dyDescent="0.2">
      <c r="A31" s="96" t="s">
        <v>419</v>
      </c>
      <c r="B31" s="97">
        <v>27</v>
      </c>
      <c r="C31" s="98">
        <v>4.8909630210833939</v>
      </c>
      <c r="D31" s="99">
        <v>25</v>
      </c>
      <c r="E31" s="108">
        <f t="shared" si="0"/>
        <v>-2</v>
      </c>
    </row>
    <row r="32" spans="1:5" x14ac:dyDescent="0.2">
      <c r="A32" s="92" t="s">
        <v>361</v>
      </c>
      <c r="B32" s="93">
        <v>28</v>
      </c>
      <c r="C32" s="94">
        <v>4.7794034295165826</v>
      </c>
      <c r="D32" s="95">
        <v>28</v>
      </c>
      <c r="E32" s="108">
        <f t="shared" si="0"/>
        <v>0</v>
      </c>
    </row>
    <row r="33" spans="1:5" x14ac:dyDescent="0.2">
      <c r="A33" s="96" t="s">
        <v>380</v>
      </c>
      <c r="B33" s="97">
        <v>29</v>
      </c>
      <c r="C33" s="98">
        <v>4.772074781196646</v>
      </c>
      <c r="D33" s="99">
        <v>29</v>
      </c>
      <c r="E33" s="108">
        <f t="shared" si="0"/>
        <v>0</v>
      </c>
    </row>
    <row r="34" spans="1:5" x14ac:dyDescent="0.2">
      <c r="A34" s="92" t="s">
        <v>379</v>
      </c>
      <c r="B34" s="93">
        <v>30</v>
      </c>
      <c r="C34" s="94">
        <v>4.7470512324571636</v>
      </c>
      <c r="D34" s="95">
        <v>31</v>
      </c>
      <c r="E34" s="108">
        <f t="shared" si="0"/>
        <v>1</v>
      </c>
    </row>
    <row r="35" spans="1:5" x14ac:dyDescent="0.2">
      <c r="A35" s="96" t="s">
        <v>36</v>
      </c>
      <c r="B35" s="97">
        <v>31</v>
      </c>
      <c r="C35" s="98">
        <v>4.7031548884579779</v>
      </c>
      <c r="D35" s="99">
        <v>30</v>
      </c>
      <c r="E35" s="108">
        <f t="shared" si="0"/>
        <v>-1</v>
      </c>
    </row>
    <row r="36" spans="1:5" x14ac:dyDescent="0.2">
      <c r="A36" s="92" t="s">
        <v>403</v>
      </c>
      <c r="B36" s="93">
        <v>32</v>
      </c>
      <c r="C36" s="94">
        <v>4.6386499011130287</v>
      </c>
      <c r="D36" s="95">
        <v>34</v>
      </c>
      <c r="E36" s="108">
        <f t="shared" si="0"/>
        <v>2</v>
      </c>
    </row>
    <row r="37" spans="1:5" x14ac:dyDescent="0.2">
      <c r="A37" s="96" t="s">
        <v>370</v>
      </c>
      <c r="B37" s="97">
        <v>33</v>
      </c>
      <c r="C37" s="98">
        <v>4.6174581781054957</v>
      </c>
      <c r="D37" s="99">
        <v>33</v>
      </c>
      <c r="E37" s="108">
        <f t="shared" si="0"/>
        <v>0</v>
      </c>
    </row>
    <row r="38" spans="1:5" x14ac:dyDescent="0.2">
      <c r="A38" s="92" t="s">
        <v>383</v>
      </c>
      <c r="B38" s="93">
        <v>34</v>
      </c>
      <c r="C38" s="94">
        <v>4.6160410288262401</v>
      </c>
      <c r="D38" s="95">
        <v>35</v>
      </c>
      <c r="E38" s="108">
        <f t="shared" si="0"/>
        <v>1</v>
      </c>
    </row>
    <row r="39" spans="1:5" x14ac:dyDescent="0.2">
      <c r="A39" s="96" t="s">
        <v>406</v>
      </c>
      <c r="B39" s="97">
        <v>35</v>
      </c>
      <c r="C39" s="98">
        <v>4.5777152314691598</v>
      </c>
      <c r="D39" s="99">
        <v>41</v>
      </c>
      <c r="E39" s="108">
        <f t="shared" si="0"/>
        <v>6</v>
      </c>
    </row>
    <row r="40" spans="1:5" x14ac:dyDescent="0.2">
      <c r="A40" s="92" t="s">
        <v>49</v>
      </c>
      <c r="B40" s="93">
        <v>36</v>
      </c>
      <c r="C40" s="94">
        <v>4.5382046743575462</v>
      </c>
      <c r="D40" s="95">
        <v>42</v>
      </c>
      <c r="E40" s="108">
        <f t="shared" si="0"/>
        <v>6</v>
      </c>
    </row>
    <row r="41" spans="1:5" x14ac:dyDescent="0.2">
      <c r="A41" s="96" t="s">
        <v>354</v>
      </c>
      <c r="B41" s="97">
        <v>37</v>
      </c>
      <c r="C41" s="98">
        <v>4.5363549047374168</v>
      </c>
      <c r="D41" s="99">
        <v>37</v>
      </c>
      <c r="E41" s="108">
        <f t="shared" si="0"/>
        <v>0</v>
      </c>
    </row>
    <row r="42" spans="1:5" x14ac:dyDescent="0.2">
      <c r="A42" s="92" t="s">
        <v>66</v>
      </c>
      <c r="B42" s="93">
        <v>38</v>
      </c>
      <c r="C42" s="94">
        <v>4.5213538805349849</v>
      </c>
      <c r="D42" s="95">
        <v>36</v>
      </c>
      <c r="E42" s="108">
        <f t="shared" si="0"/>
        <v>-2</v>
      </c>
    </row>
    <row r="43" spans="1:5" x14ac:dyDescent="0.2">
      <c r="A43" s="96" t="s">
        <v>8</v>
      </c>
      <c r="B43" s="97">
        <v>39</v>
      </c>
      <c r="C43" s="98">
        <v>4.5185916632847611</v>
      </c>
      <c r="D43" s="99">
        <v>38</v>
      </c>
      <c r="E43" s="108">
        <f t="shared" si="0"/>
        <v>-1</v>
      </c>
    </row>
    <row r="44" spans="1:5" x14ac:dyDescent="0.2">
      <c r="A44" s="92" t="s">
        <v>346</v>
      </c>
      <c r="B44" s="93">
        <v>40</v>
      </c>
      <c r="C44" s="94">
        <v>4.4748797282924677</v>
      </c>
      <c r="D44" s="95">
        <v>32</v>
      </c>
      <c r="E44" s="108">
        <f t="shared" si="0"/>
        <v>-8</v>
      </c>
    </row>
    <row r="45" spans="1:5" x14ac:dyDescent="0.2">
      <c r="A45" s="96" t="s">
        <v>48</v>
      </c>
      <c r="B45" s="97">
        <v>41</v>
      </c>
      <c r="C45" s="98">
        <v>4.4618091495807581</v>
      </c>
      <c r="D45" s="99">
        <v>39</v>
      </c>
      <c r="E45" s="108">
        <f t="shared" si="0"/>
        <v>-2</v>
      </c>
    </row>
    <row r="46" spans="1:5" x14ac:dyDescent="0.2">
      <c r="A46" s="92" t="s">
        <v>355</v>
      </c>
      <c r="B46" s="93">
        <v>42</v>
      </c>
      <c r="C46" s="94">
        <v>4.438508740799235</v>
      </c>
      <c r="D46" s="95">
        <v>43</v>
      </c>
      <c r="E46" s="108">
        <f t="shared" si="0"/>
        <v>1</v>
      </c>
    </row>
    <row r="47" spans="1:5" x14ac:dyDescent="0.2">
      <c r="A47" s="96" t="s">
        <v>44</v>
      </c>
      <c r="B47" s="97">
        <v>43</v>
      </c>
      <c r="C47" s="98">
        <v>4.4267415052018109</v>
      </c>
      <c r="D47" s="99">
        <v>48</v>
      </c>
      <c r="E47" s="108">
        <f t="shared" si="0"/>
        <v>5</v>
      </c>
    </row>
    <row r="48" spans="1:5" x14ac:dyDescent="0.2">
      <c r="A48" s="92" t="s">
        <v>274</v>
      </c>
      <c r="B48" s="93">
        <v>44</v>
      </c>
      <c r="C48" s="94">
        <v>4.4086756017836857</v>
      </c>
      <c r="D48" s="95">
        <v>47</v>
      </c>
      <c r="E48" s="108">
        <f t="shared" si="0"/>
        <v>3</v>
      </c>
    </row>
    <row r="49" spans="1:5" x14ac:dyDescent="0.2">
      <c r="A49" s="96" t="s">
        <v>405</v>
      </c>
      <c r="B49" s="97">
        <v>45</v>
      </c>
      <c r="C49" s="98">
        <v>4.4039769189722282</v>
      </c>
      <c r="D49" s="99">
        <v>46</v>
      </c>
      <c r="E49" s="108">
        <f t="shared" si="0"/>
        <v>1</v>
      </c>
    </row>
    <row r="50" spans="1:5" x14ac:dyDescent="0.2">
      <c r="A50" s="92" t="s">
        <v>2</v>
      </c>
      <c r="B50" s="93">
        <v>46</v>
      </c>
      <c r="C50" s="94">
        <v>4.3768297143171431</v>
      </c>
      <c r="D50" s="95">
        <v>44</v>
      </c>
      <c r="E50" s="108">
        <f t="shared" si="0"/>
        <v>-2</v>
      </c>
    </row>
    <row r="51" spans="1:5" x14ac:dyDescent="0.2">
      <c r="A51" s="96" t="s">
        <v>369</v>
      </c>
      <c r="B51" s="97">
        <v>47</v>
      </c>
      <c r="C51" s="98">
        <v>4.3643874482659681</v>
      </c>
      <c r="D51" s="99">
        <v>40</v>
      </c>
      <c r="E51" s="108">
        <f t="shared" si="0"/>
        <v>-7</v>
      </c>
    </row>
    <row r="52" spans="1:5" x14ac:dyDescent="0.2">
      <c r="A52" s="92" t="s">
        <v>43</v>
      </c>
      <c r="B52" s="93">
        <v>48</v>
      </c>
      <c r="C52" s="94">
        <v>4.3619315509340417</v>
      </c>
      <c r="D52" s="95">
        <v>52</v>
      </c>
      <c r="E52" s="108">
        <f t="shared" si="0"/>
        <v>4</v>
      </c>
    </row>
    <row r="53" spans="1:5" x14ac:dyDescent="0.2">
      <c r="A53" s="96" t="s">
        <v>71</v>
      </c>
      <c r="B53" s="97">
        <v>49</v>
      </c>
      <c r="C53" s="98">
        <v>4.3527080222364045</v>
      </c>
      <c r="D53" s="99">
        <v>53</v>
      </c>
      <c r="E53" s="108">
        <f t="shared" si="0"/>
        <v>4</v>
      </c>
    </row>
    <row r="54" spans="1:5" x14ac:dyDescent="0.2">
      <c r="A54" s="92" t="s">
        <v>23</v>
      </c>
      <c r="B54" s="93">
        <v>50</v>
      </c>
      <c r="C54" s="94">
        <v>4.3420593240855094</v>
      </c>
      <c r="D54" s="95">
        <v>54</v>
      </c>
      <c r="E54" s="108">
        <f t="shared" si="0"/>
        <v>4</v>
      </c>
    </row>
    <row r="55" spans="1:5" x14ac:dyDescent="0.2">
      <c r="A55" s="96" t="s">
        <v>393</v>
      </c>
      <c r="B55" s="97">
        <v>51</v>
      </c>
      <c r="C55" s="98">
        <v>4.3325707337893062</v>
      </c>
      <c r="D55" s="99">
        <v>50</v>
      </c>
      <c r="E55" s="108">
        <f t="shared" si="0"/>
        <v>-1</v>
      </c>
    </row>
    <row r="56" spans="1:5" x14ac:dyDescent="0.2">
      <c r="A56" s="92" t="s">
        <v>77</v>
      </c>
      <c r="B56" s="93">
        <v>52</v>
      </c>
      <c r="C56" s="94">
        <v>4.3272359819350985</v>
      </c>
      <c r="D56" s="95">
        <v>62</v>
      </c>
      <c r="E56" s="108">
        <f t="shared" si="0"/>
        <v>10</v>
      </c>
    </row>
    <row r="57" spans="1:5" x14ac:dyDescent="0.2">
      <c r="A57" s="96" t="s">
        <v>9</v>
      </c>
      <c r="B57" s="97">
        <v>53</v>
      </c>
      <c r="C57" s="98">
        <v>4.3202817984145794</v>
      </c>
      <c r="D57" s="99">
        <v>58</v>
      </c>
      <c r="E57" s="108">
        <f t="shared" si="0"/>
        <v>5</v>
      </c>
    </row>
    <row r="58" spans="1:5" x14ac:dyDescent="0.2">
      <c r="A58" s="92" t="s">
        <v>395</v>
      </c>
      <c r="B58" s="93">
        <v>54</v>
      </c>
      <c r="C58" s="94">
        <v>4.3146707912712641</v>
      </c>
      <c r="D58" s="95">
        <v>55</v>
      </c>
      <c r="E58" s="108">
        <f t="shared" si="0"/>
        <v>1</v>
      </c>
    </row>
    <row r="59" spans="1:5" x14ac:dyDescent="0.2">
      <c r="A59" s="96" t="s">
        <v>353</v>
      </c>
      <c r="B59" s="97">
        <v>55</v>
      </c>
      <c r="C59" s="98">
        <v>4.3137571317382619</v>
      </c>
      <c r="D59" s="99">
        <v>57</v>
      </c>
      <c r="E59" s="108">
        <f t="shared" si="0"/>
        <v>2</v>
      </c>
    </row>
    <row r="60" spans="1:5" x14ac:dyDescent="0.2">
      <c r="A60" s="92" t="s">
        <v>1</v>
      </c>
      <c r="B60" s="93">
        <v>56</v>
      </c>
      <c r="C60" s="94">
        <v>4.3049783617362518</v>
      </c>
      <c r="D60" s="95">
        <v>51</v>
      </c>
      <c r="E60" s="108">
        <f t="shared" si="0"/>
        <v>-5</v>
      </c>
    </row>
    <row r="61" spans="1:5" x14ac:dyDescent="0.2">
      <c r="A61" s="96" t="s">
        <v>409</v>
      </c>
      <c r="B61" s="97">
        <v>57</v>
      </c>
      <c r="C61" s="98">
        <v>4.2998984704982748</v>
      </c>
      <c r="D61" s="99">
        <v>45</v>
      </c>
      <c r="E61" s="108">
        <f t="shared" si="0"/>
        <v>-12</v>
      </c>
    </row>
    <row r="62" spans="1:5" x14ac:dyDescent="0.2">
      <c r="A62" s="92" t="s">
        <v>11</v>
      </c>
      <c r="B62" s="93">
        <v>58</v>
      </c>
      <c r="C62" s="94">
        <v>4.2943372805219955</v>
      </c>
      <c r="D62" s="95">
        <v>66</v>
      </c>
      <c r="E62" s="108">
        <f t="shared" si="0"/>
        <v>8</v>
      </c>
    </row>
    <row r="63" spans="1:5" x14ac:dyDescent="0.2">
      <c r="A63" s="96" t="s">
        <v>14</v>
      </c>
      <c r="B63" s="97">
        <v>59</v>
      </c>
      <c r="C63" s="98">
        <v>4.2806376683966647</v>
      </c>
      <c r="D63" s="99">
        <v>61</v>
      </c>
      <c r="E63" s="108">
        <f t="shared" si="0"/>
        <v>2</v>
      </c>
    </row>
    <row r="64" spans="1:5" x14ac:dyDescent="0.2">
      <c r="A64" s="92" t="s">
        <v>397</v>
      </c>
      <c r="B64" s="93">
        <v>60</v>
      </c>
      <c r="C64" s="94">
        <v>4.2727560241579345</v>
      </c>
      <c r="D64" s="95">
        <v>49</v>
      </c>
      <c r="E64" s="108">
        <f t="shared" si="0"/>
        <v>-11</v>
      </c>
    </row>
    <row r="65" spans="1:5" x14ac:dyDescent="0.2">
      <c r="A65" s="96" t="s">
        <v>367</v>
      </c>
      <c r="B65" s="97">
        <v>61</v>
      </c>
      <c r="C65" s="98">
        <v>4.2652197020016036</v>
      </c>
      <c r="D65" s="99">
        <v>56</v>
      </c>
      <c r="E65" s="108">
        <f t="shared" si="0"/>
        <v>-5</v>
      </c>
    </row>
    <row r="66" spans="1:5" x14ac:dyDescent="0.2">
      <c r="A66" s="92" t="s">
        <v>429</v>
      </c>
      <c r="B66" s="93">
        <v>62</v>
      </c>
      <c r="C66" s="94">
        <v>4.257197595364147</v>
      </c>
      <c r="D66" s="95">
        <v>69</v>
      </c>
      <c r="E66" s="108">
        <f t="shared" si="0"/>
        <v>7</v>
      </c>
    </row>
    <row r="67" spans="1:5" x14ac:dyDescent="0.2">
      <c r="A67" s="96" t="s">
        <v>72</v>
      </c>
      <c r="B67" s="97">
        <v>63</v>
      </c>
      <c r="C67" s="98">
        <v>4.2510429885700924</v>
      </c>
      <c r="D67" s="99">
        <v>64</v>
      </c>
      <c r="E67" s="108">
        <f t="shared" si="0"/>
        <v>1</v>
      </c>
    </row>
    <row r="68" spans="1:5" x14ac:dyDescent="0.2">
      <c r="A68" s="92" t="s">
        <v>385</v>
      </c>
      <c r="B68" s="93">
        <v>64</v>
      </c>
      <c r="C68" s="94">
        <v>4.2441664474275811</v>
      </c>
      <c r="D68" s="95">
        <v>70</v>
      </c>
      <c r="E68" s="108">
        <f t="shared" si="0"/>
        <v>6</v>
      </c>
    </row>
    <row r="69" spans="1:5" x14ac:dyDescent="0.2">
      <c r="A69" s="96" t="s">
        <v>64</v>
      </c>
      <c r="B69" s="97">
        <v>65</v>
      </c>
      <c r="C69" s="98">
        <v>4.239329277034865</v>
      </c>
      <c r="D69" s="99">
        <v>59</v>
      </c>
      <c r="E69" s="108">
        <f t="shared" si="0"/>
        <v>-6</v>
      </c>
    </row>
    <row r="70" spans="1:5" x14ac:dyDescent="0.2">
      <c r="A70" s="92" t="s">
        <v>345</v>
      </c>
      <c r="B70" s="93">
        <v>66</v>
      </c>
      <c r="C70" s="94">
        <v>4.2149304916794197</v>
      </c>
      <c r="D70" s="95">
        <v>63</v>
      </c>
      <c r="E70" s="108">
        <f t="shared" ref="E70:E133" si="1">IF(D70="n/a","no change",D70-B70)</f>
        <v>-3</v>
      </c>
    </row>
    <row r="71" spans="1:5" x14ac:dyDescent="0.2">
      <c r="A71" s="96" t="s">
        <v>47</v>
      </c>
      <c r="B71" s="97">
        <v>67</v>
      </c>
      <c r="C71" s="98">
        <v>4.2120149798379583</v>
      </c>
      <c r="D71" s="99">
        <v>73</v>
      </c>
      <c r="E71" s="108">
        <f t="shared" si="1"/>
        <v>6</v>
      </c>
    </row>
    <row r="72" spans="1:5" x14ac:dyDescent="0.2">
      <c r="A72" s="92" t="s">
        <v>37</v>
      </c>
      <c r="B72" s="93">
        <v>68</v>
      </c>
      <c r="C72" s="94">
        <v>4.2029067712377577</v>
      </c>
      <c r="D72" s="95">
        <v>68</v>
      </c>
      <c r="E72" s="108">
        <f t="shared" si="1"/>
        <v>0</v>
      </c>
    </row>
    <row r="73" spans="1:5" x14ac:dyDescent="0.2">
      <c r="A73" s="96" t="s">
        <v>408</v>
      </c>
      <c r="B73" s="97">
        <v>69</v>
      </c>
      <c r="C73" s="98">
        <v>4.1882560070432326</v>
      </c>
      <c r="D73" s="99">
        <v>60</v>
      </c>
      <c r="E73" s="108">
        <f t="shared" si="1"/>
        <v>-9</v>
      </c>
    </row>
    <row r="74" spans="1:5" x14ac:dyDescent="0.2">
      <c r="A74" s="92" t="s">
        <v>430</v>
      </c>
      <c r="B74" s="93">
        <v>70</v>
      </c>
      <c r="C74" s="94">
        <v>4.1881738601087743</v>
      </c>
      <c r="D74" s="95">
        <v>80</v>
      </c>
      <c r="E74" s="108">
        <f t="shared" si="1"/>
        <v>10</v>
      </c>
    </row>
    <row r="75" spans="1:5" x14ac:dyDescent="0.2">
      <c r="A75" s="96" t="s">
        <v>304</v>
      </c>
      <c r="B75" s="97">
        <v>71</v>
      </c>
      <c r="C75" s="98">
        <v>4.1869537333572104</v>
      </c>
      <c r="D75" s="99">
        <v>65</v>
      </c>
      <c r="E75" s="108">
        <f t="shared" si="1"/>
        <v>-6</v>
      </c>
    </row>
    <row r="76" spans="1:5" x14ac:dyDescent="0.2">
      <c r="A76" s="92" t="s">
        <v>45</v>
      </c>
      <c r="B76" s="93">
        <v>72</v>
      </c>
      <c r="C76" s="94">
        <v>4.1847944726725217</v>
      </c>
      <c r="D76" s="95">
        <v>72</v>
      </c>
      <c r="E76" s="108">
        <f t="shared" si="1"/>
        <v>0</v>
      </c>
    </row>
    <row r="77" spans="1:5" x14ac:dyDescent="0.2">
      <c r="A77" s="96" t="s">
        <v>398</v>
      </c>
      <c r="B77" s="97">
        <v>73</v>
      </c>
      <c r="C77" s="98">
        <v>4.1648434377066526</v>
      </c>
      <c r="D77" s="99">
        <v>75</v>
      </c>
      <c r="E77" s="108">
        <f t="shared" si="1"/>
        <v>2</v>
      </c>
    </row>
    <row r="78" spans="1:5" x14ac:dyDescent="0.2">
      <c r="A78" s="92" t="s">
        <v>246</v>
      </c>
      <c r="B78" s="93">
        <v>74</v>
      </c>
      <c r="C78" s="94">
        <v>4.162462186586791</v>
      </c>
      <c r="D78" s="95">
        <v>71</v>
      </c>
      <c r="E78" s="108">
        <f t="shared" si="1"/>
        <v>-3</v>
      </c>
    </row>
    <row r="79" spans="1:5" x14ac:dyDescent="0.2">
      <c r="A79" s="96" t="s">
        <v>4</v>
      </c>
      <c r="B79" s="97">
        <v>75</v>
      </c>
      <c r="C79" s="98">
        <v>4.0829310237089871</v>
      </c>
      <c r="D79" s="99">
        <v>85</v>
      </c>
      <c r="E79" s="108">
        <f t="shared" si="1"/>
        <v>10</v>
      </c>
    </row>
    <row r="80" spans="1:5" x14ac:dyDescent="0.2">
      <c r="A80" s="92" t="s">
        <v>251</v>
      </c>
      <c r="B80" s="93">
        <v>76</v>
      </c>
      <c r="C80" s="94">
        <v>4.081636738931576</v>
      </c>
      <c r="D80" s="95">
        <v>77</v>
      </c>
      <c r="E80" s="108">
        <f t="shared" si="1"/>
        <v>1</v>
      </c>
    </row>
    <row r="81" spans="1:5" x14ac:dyDescent="0.2">
      <c r="A81" s="96" t="s">
        <v>73</v>
      </c>
      <c r="B81" s="97">
        <v>77</v>
      </c>
      <c r="C81" s="98">
        <v>4.0756827496638559</v>
      </c>
      <c r="D81" s="99">
        <v>67</v>
      </c>
      <c r="E81" s="108">
        <f t="shared" si="1"/>
        <v>-10</v>
      </c>
    </row>
    <row r="82" spans="1:5" x14ac:dyDescent="0.2">
      <c r="A82" s="92" t="s">
        <v>349</v>
      </c>
      <c r="B82" s="93">
        <v>78</v>
      </c>
      <c r="C82" s="94">
        <v>4.0637764501425906</v>
      </c>
      <c r="D82" s="95">
        <v>88</v>
      </c>
      <c r="E82" s="108">
        <f t="shared" si="1"/>
        <v>10</v>
      </c>
    </row>
    <row r="83" spans="1:5" x14ac:dyDescent="0.2">
      <c r="A83" s="96" t="s">
        <v>389</v>
      </c>
      <c r="B83" s="97">
        <v>79</v>
      </c>
      <c r="C83" s="98">
        <v>4.0500424729887694</v>
      </c>
      <c r="D83" s="99">
        <v>79</v>
      </c>
      <c r="E83" s="108">
        <f t="shared" si="1"/>
        <v>0</v>
      </c>
    </row>
    <row r="84" spans="1:5" x14ac:dyDescent="0.2">
      <c r="A84" s="92" t="s">
        <v>360</v>
      </c>
      <c r="B84" s="93">
        <v>80</v>
      </c>
      <c r="C84" s="94">
        <v>4.0470745374554626</v>
      </c>
      <c r="D84" s="95">
        <v>76</v>
      </c>
      <c r="E84" s="108">
        <f t="shared" si="1"/>
        <v>-4</v>
      </c>
    </row>
    <row r="85" spans="1:5" x14ac:dyDescent="0.2">
      <c r="A85" s="96" t="s">
        <v>417</v>
      </c>
      <c r="B85" s="97">
        <v>81</v>
      </c>
      <c r="C85" s="98">
        <v>4.0042823468081963</v>
      </c>
      <c r="D85" s="99">
        <v>84</v>
      </c>
      <c r="E85" s="108">
        <f t="shared" si="1"/>
        <v>3</v>
      </c>
    </row>
    <row r="86" spans="1:5" x14ac:dyDescent="0.2">
      <c r="A86" s="92" t="s">
        <v>58</v>
      </c>
      <c r="B86" s="93">
        <v>82</v>
      </c>
      <c r="C86" s="94">
        <v>3.9999958299432326</v>
      </c>
      <c r="D86" s="95">
        <v>89</v>
      </c>
      <c r="E86" s="108">
        <f t="shared" si="1"/>
        <v>7</v>
      </c>
    </row>
    <row r="87" spans="1:5" x14ac:dyDescent="0.2">
      <c r="A87" s="96" t="s">
        <v>400</v>
      </c>
      <c r="B87" s="97">
        <v>83</v>
      </c>
      <c r="C87" s="98">
        <v>3.9982167327172267</v>
      </c>
      <c r="D87" s="99">
        <v>74</v>
      </c>
      <c r="E87" s="108">
        <f t="shared" si="1"/>
        <v>-9</v>
      </c>
    </row>
    <row r="88" spans="1:5" x14ac:dyDescent="0.2">
      <c r="A88" s="92" t="s">
        <v>375</v>
      </c>
      <c r="B88" s="93">
        <v>84</v>
      </c>
      <c r="C88" s="94">
        <v>3.997117492073039</v>
      </c>
      <c r="D88" s="95">
        <v>78</v>
      </c>
      <c r="E88" s="108">
        <f t="shared" si="1"/>
        <v>-6</v>
      </c>
    </row>
    <row r="89" spans="1:5" x14ac:dyDescent="0.2">
      <c r="A89" s="96" t="s">
        <v>10</v>
      </c>
      <c r="B89" s="97">
        <v>85</v>
      </c>
      <c r="C89" s="98">
        <v>3.9945822170492189</v>
      </c>
      <c r="D89" s="99">
        <v>87</v>
      </c>
      <c r="E89" s="108">
        <f t="shared" si="1"/>
        <v>2</v>
      </c>
    </row>
    <row r="90" spans="1:5" x14ac:dyDescent="0.2">
      <c r="A90" s="92" t="s">
        <v>377</v>
      </c>
      <c r="B90" s="93">
        <v>86</v>
      </c>
      <c r="C90" s="94">
        <v>3.9768608182241576</v>
      </c>
      <c r="D90" s="95">
        <v>91</v>
      </c>
      <c r="E90" s="108">
        <f t="shared" si="1"/>
        <v>5</v>
      </c>
    </row>
    <row r="91" spans="1:5" x14ac:dyDescent="0.2">
      <c r="A91" s="96" t="s">
        <v>350</v>
      </c>
      <c r="B91" s="97">
        <v>87</v>
      </c>
      <c r="C91" s="98">
        <v>3.9584222369830595</v>
      </c>
      <c r="D91" s="99">
        <v>86</v>
      </c>
      <c r="E91" s="108">
        <f t="shared" si="1"/>
        <v>-1</v>
      </c>
    </row>
    <row r="92" spans="1:5" x14ac:dyDescent="0.2">
      <c r="A92" s="92" t="s">
        <v>261</v>
      </c>
      <c r="B92" s="93">
        <v>88</v>
      </c>
      <c r="C92" s="94">
        <v>3.9521035621600413</v>
      </c>
      <c r="D92" s="95">
        <v>93</v>
      </c>
      <c r="E92" s="108">
        <f t="shared" si="1"/>
        <v>5</v>
      </c>
    </row>
    <row r="93" spans="1:5" x14ac:dyDescent="0.2">
      <c r="A93" s="96" t="s">
        <v>272</v>
      </c>
      <c r="B93" s="97">
        <v>89</v>
      </c>
      <c r="C93" s="98">
        <v>3.9458384609219066</v>
      </c>
      <c r="D93" s="99">
        <v>92</v>
      </c>
      <c r="E93" s="108">
        <f t="shared" si="1"/>
        <v>3</v>
      </c>
    </row>
    <row r="94" spans="1:5" x14ac:dyDescent="0.2">
      <c r="A94" s="92" t="s">
        <v>374</v>
      </c>
      <c r="B94" s="93">
        <v>90</v>
      </c>
      <c r="C94" s="94">
        <v>3.91546299004081</v>
      </c>
      <c r="D94" s="95">
        <v>83</v>
      </c>
      <c r="E94" s="108">
        <f t="shared" si="1"/>
        <v>-7</v>
      </c>
    </row>
    <row r="95" spans="1:5" x14ac:dyDescent="0.2">
      <c r="A95" s="96" t="s">
        <v>257</v>
      </c>
      <c r="B95" s="97">
        <v>91</v>
      </c>
      <c r="C95" s="98">
        <v>3.8890464129335012</v>
      </c>
      <c r="D95" s="99">
        <v>82</v>
      </c>
      <c r="E95" s="108">
        <f t="shared" si="1"/>
        <v>-9</v>
      </c>
    </row>
    <row r="96" spans="1:5" x14ac:dyDescent="0.2">
      <c r="A96" s="92" t="s">
        <v>351</v>
      </c>
      <c r="B96" s="93">
        <v>92</v>
      </c>
      <c r="C96" s="94">
        <v>3.8877522793285051</v>
      </c>
      <c r="D96" s="95">
        <v>98</v>
      </c>
      <c r="E96" s="108">
        <f t="shared" si="1"/>
        <v>6</v>
      </c>
    </row>
    <row r="97" spans="1:5" x14ac:dyDescent="0.2">
      <c r="A97" s="96" t="s">
        <v>431</v>
      </c>
      <c r="B97" s="97">
        <v>93</v>
      </c>
      <c r="C97" s="98">
        <v>3.8862296609240383</v>
      </c>
      <c r="D97" s="99">
        <v>94</v>
      </c>
      <c r="E97" s="108">
        <f t="shared" si="1"/>
        <v>1</v>
      </c>
    </row>
    <row r="98" spans="1:5" x14ac:dyDescent="0.2">
      <c r="A98" s="92" t="s">
        <v>65</v>
      </c>
      <c r="B98" s="93">
        <v>94</v>
      </c>
      <c r="C98" s="94">
        <v>3.8790840470507622</v>
      </c>
      <c r="D98" s="95">
        <v>81</v>
      </c>
      <c r="E98" s="108">
        <f t="shared" si="1"/>
        <v>-13</v>
      </c>
    </row>
    <row r="99" spans="1:5" x14ac:dyDescent="0.2">
      <c r="A99" s="96" t="s">
        <v>284</v>
      </c>
      <c r="B99" s="97">
        <v>95</v>
      </c>
      <c r="C99" s="98">
        <v>3.8769147785045175</v>
      </c>
      <c r="D99" s="99">
        <v>96</v>
      </c>
      <c r="E99" s="108">
        <f t="shared" si="1"/>
        <v>1</v>
      </c>
    </row>
    <row r="100" spans="1:5" x14ac:dyDescent="0.2">
      <c r="A100" s="92" t="s">
        <v>396</v>
      </c>
      <c r="B100" s="93">
        <v>96</v>
      </c>
      <c r="C100" s="94">
        <v>3.8590678597188441</v>
      </c>
      <c r="D100" s="95">
        <v>99</v>
      </c>
      <c r="E100" s="108">
        <f t="shared" si="1"/>
        <v>3</v>
      </c>
    </row>
    <row r="101" spans="1:5" x14ac:dyDescent="0.2">
      <c r="A101" s="96" t="s">
        <v>364</v>
      </c>
      <c r="B101" s="97">
        <v>97</v>
      </c>
      <c r="C101" s="98">
        <v>3.8531476401652118</v>
      </c>
      <c r="D101" s="99">
        <v>109</v>
      </c>
      <c r="E101" s="108">
        <f t="shared" si="1"/>
        <v>12</v>
      </c>
    </row>
    <row r="102" spans="1:5" x14ac:dyDescent="0.2">
      <c r="A102" s="92" t="s">
        <v>412</v>
      </c>
      <c r="B102" s="93">
        <v>98</v>
      </c>
      <c r="C102" s="94">
        <v>3.8497056485466414</v>
      </c>
      <c r="D102" s="95">
        <v>97</v>
      </c>
      <c r="E102" s="108">
        <f t="shared" si="1"/>
        <v>-1</v>
      </c>
    </row>
    <row r="103" spans="1:5" x14ac:dyDescent="0.2">
      <c r="A103" s="96" t="s">
        <v>373</v>
      </c>
      <c r="B103" s="97">
        <v>99</v>
      </c>
      <c r="C103" s="98">
        <v>3.8421687517759531</v>
      </c>
      <c r="D103" s="99">
        <v>90</v>
      </c>
      <c r="E103" s="108">
        <f t="shared" si="1"/>
        <v>-9</v>
      </c>
    </row>
    <row r="104" spans="1:5" x14ac:dyDescent="0.2">
      <c r="A104" s="92" t="s">
        <v>359</v>
      </c>
      <c r="B104" s="93">
        <v>100</v>
      </c>
      <c r="C104" s="94">
        <v>3.8277313929082748</v>
      </c>
      <c r="D104" s="95">
        <v>102</v>
      </c>
      <c r="E104" s="108">
        <f t="shared" si="1"/>
        <v>2</v>
      </c>
    </row>
    <row r="105" spans="1:5" x14ac:dyDescent="0.2">
      <c r="A105" s="96" t="s">
        <v>39</v>
      </c>
      <c r="B105" s="97">
        <v>101</v>
      </c>
      <c r="C105" s="98">
        <v>3.822890454121195</v>
      </c>
      <c r="D105" s="99">
        <v>105</v>
      </c>
      <c r="E105" s="108">
        <f t="shared" si="1"/>
        <v>4</v>
      </c>
    </row>
    <row r="106" spans="1:5" x14ac:dyDescent="0.2">
      <c r="A106" s="92" t="s">
        <v>381</v>
      </c>
      <c r="B106" s="93">
        <v>102</v>
      </c>
      <c r="C106" s="94">
        <v>3.8215291341818656</v>
      </c>
      <c r="D106" s="95">
        <v>106</v>
      </c>
      <c r="E106" s="108">
        <f t="shared" si="1"/>
        <v>4</v>
      </c>
    </row>
    <row r="107" spans="1:5" x14ac:dyDescent="0.2">
      <c r="A107" s="96" t="s">
        <v>358</v>
      </c>
      <c r="B107" s="97">
        <v>103</v>
      </c>
      <c r="C107" s="98">
        <v>3.8158868152152952</v>
      </c>
      <c r="D107" s="99">
        <v>108</v>
      </c>
      <c r="E107" s="108">
        <f t="shared" si="1"/>
        <v>5</v>
      </c>
    </row>
    <row r="108" spans="1:5" x14ac:dyDescent="0.2">
      <c r="A108" s="92" t="s">
        <v>357</v>
      </c>
      <c r="B108" s="93">
        <v>104</v>
      </c>
      <c r="C108" s="94">
        <v>3.7766936712076631</v>
      </c>
      <c r="D108" s="95">
        <v>103</v>
      </c>
      <c r="E108" s="108">
        <f t="shared" si="1"/>
        <v>-1</v>
      </c>
    </row>
    <row r="109" spans="1:5" x14ac:dyDescent="0.2">
      <c r="A109" s="96" t="s">
        <v>414</v>
      </c>
      <c r="B109" s="97">
        <v>105</v>
      </c>
      <c r="C109" s="98">
        <v>3.7743644380144943</v>
      </c>
      <c r="D109" s="99">
        <v>116</v>
      </c>
      <c r="E109" s="108">
        <f t="shared" si="1"/>
        <v>11</v>
      </c>
    </row>
    <row r="110" spans="1:5" x14ac:dyDescent="0.2">
      <c r="A110" s="92" t="s">
        <v>371</v>
      </c>
      <c r="B110" s="93">
        <v>106</v>
      </c>
      <c r="C110" s="94">
        <v>3.7640201382686174</v>
      </c>
      <c r="D110" s="95">
        <v>119</v>
      </c>
      <c r="E110" s="108">
        <f t="shared" si="1"/>
        <v>13</v>
      </c>
    </row>
    <row r="111" spans="1:5" x14ac:dyDescent="0.2">
      <c r="A111" s="96" t="s">
        <v>269</v>
      </c>
      <c r="B111" s="97">
        <v>107</v>
      </c>
      <c r="C111" s="98">
        <v>3.7614773946896984</v>
      </c>
      <c r="D111" s="99">
        <v>95</v>
      </c>
      <c r="E111" s="108">
        <f t="shared" si="1"/>
        <v>-12</v>
      </c>
    </row>
    <row r="112" spans="1:5" x14ac:dyDescent="0.2">
      <c r="A112" s="92" t="s">
        <v>69</v>
      </c>
      <c r="B112" s="93">
        <v>108</v>
      </c>
      <c r="C112" s="94">
        <v>3.7308962304601319</v>
      </c>
      <c r="D112" s="95">
        <v>107</v>
      </c>
      <c r="E112" s="108">
        <f t="shared" si="1"/>
        <v>-1</v>
      </c>
    </row>
    <row r="113" spans="1:5" x14ac:dyDescent="0.2">
      <c r="A113" s="96" t="s">
        <v>376</v>
      </c>
      <c r="B113" s="97">
        <v>109</v>
      </c>
      <c r="C113" s="98">
        <v>3.7303217310693735</v>
      </c>
      <c r="D113" s="99">
        <v>110</v>
      </c>
      <c r="E113" s="108">
        <f t="shared" si="1"/>
        <v>1</v>
      </c>
    </row>
    <row r="114" spans="1:5" x14ac:dyDescent="0.2">
      <c r="A114" s="92" t="s">
        <v>253</v>
      </c>
      <c r="B114" s="93">
        <v>110</v>
      </c>
      <c r="C114" s="94">
        <v>3.726350187442534</v>
      </c>
      <c r="D114" s="95">
        <v>101</v>
      </c>
      <c r="E114" s="108">
        <f t="shared" si="1"/>
        <v>-9</v>
      </c>
    </row>
    <row r="115" spans="1:5" x14ac:dyDescent="0.2">
      <c r="A115" s="96" t="s">
        <v>307</v>
      </c>
      <c r="B115" s="97">
        <v>111</v>
      </c>
      <c r="C115" s="98">
        <v>3.6969522268613897</v>
      </c>
      <c r="D115" s="99">
        <v>104</v>
      </c>
      <c r="E115" s="108">
        <f t="shared" si="1"/>
        <v>-7</v>
      </c>
    </row>
    <row r="116" spans="1:5" x14ac:dyDescent="0.2">
      <c r="A116" s="92" t="s">
        <v>410</v>
      </c>
      <c r="B116" s="93">
        <v>112</v>
      </c>
      <c r="C116" s="94">
        <v>3.6743269512715817</v>
      </c>
      <c r="D116" s="95" t="s">
        <v>411</v>
      </c>
      <c r="E116" s="108" t="str">
        <f t="shared" si="1"/>
        <v>no change</v>
      </c>
    </row>
    <row r="117" spans="1:5" x14ac:dyDescent="0.2">
      <c r="A117" s="96" t="s">
        <v>420</v>
      </c>
      <c r="B117" s="97">
        <v>113</v>
      </c>
      <c r="C117" s="98">
        <v>3.6695830578712028</v>
      </c>
      <c r="D117" s="99">
        <v>115</v>
      </c>
      <c r="E117" s="108">
        <f t="shared" si="1"/>
        <v>2</v>
      </c>
    </row>
    <row r="118" spans="1:5" x14ac:dyDescent="0.2">
      <c r="A118" s="92" t="s">
        <v>263</v>
      </c>
      <c r="B118" s="93">
        <v>114</v>
      </c>
      <c r="C118" s="94">
        <v>3.649154330218908</v>
      </c>
      <c r="D118" s="95">
        <v>114</v>
      </c>
      <c r="E118" s="108">
        <f t="shared" si="1"/>
        <v>0</v>
      </c>
    </row>
    <row r="119" spans="1:5" x14ac:dyDescent="0.2">
      <c r="A119" s="96" t="s">
        <v>402</v>
      </c>
      <c r="B119" s="97">
        <v>115</v>
      </c>
      <c r="C119" s="98">
        <v>3.6115660827532032</v>
      </c>
      <c r="D119" s="99">
        <v>112</v>
      </c>
      <c r="E119" s="108">
        <f t="shared" si="1"/>
        <v>-3</v>
      </c>
    </row>
    <row r="120" spans="1:5" x14ac:dyDescent="0.2">
      <c r="A120" s="92" t="s">
        <v>365</v>
      </c>
      <c r="B120" s="93">
        <v>116</v>
      </c>
      <c r="C120" s="94">
        <v>3.6068584749438526</v>
      </c>
      <c r="D120" s="95">
        <v>111</v>
      </c>
      <c r="E120" s="108">
        <f t="shared" si="1"/>
        <v>-5</v>
      </c>
    </row>
    <row r="121" spans="1:5" x14ac:dyDescent="0.2">
      <c r="A121" s="96" t="s">
        <v>391</v>
      </c>
      <c r="B121" s="97">
        <v>117</v>
      </c>
      <c r="C121" s="98">
        <v>3.5804550440481786</v>
      </c>
      <c r="D121" s="99">
        <v>125</v>
      </c>
      <c r="E121" s="108">
        <f t="shared" si="1"/>
        <v>8</v>
      </c>
    </row>
    <row r="122" spans="1:5" x14ac:dyDescent="0.2">
      <c r="A122" s="92" t="s">
        <v>70</v>
      </c>
      <c r="B122" s="93">
        <v>118</v>
      </c>
      <c r="C122" s="94">
        <v>3.5788048191142057</v>
      </c>
      <c r="D122" s="95">
        <v>123</v>
      </c>
      <c r="E122" s="108">
        <f t="shared" si="1"/>
        <v>5</v>
      </c>
    </row>
    <row r="123" spans="1:5" x14ac:dyDescent="0.2">
      <c r="A123" s="96" t="s">
        <v>432</v>
      </c>
      <c r="B123" s="97">
        <v>119</v>
      </c>
      <c r="C123" s="98">
        <v>3.5768843615675801</v>
      </c>
      <c r="D123" s="99">
        <v>117</v>
      </c>
      <c r="E123" s="108">
        <f t="shared" si="1"/>
        <v>-2</v>
      </c>
    </row>
    <row r="124" spans="1:5" x14ac:dyDescent="0.2">
      <c r="A124" s="92" t="s">
        <v>415</v>
      </c>
      <c r="B124" s="93">
        <v>120</v>
      </c>
      <c r="C124" s="94">
        <v>3.5632456104772858</v>
      </c>
      <c r="D124" s="95">
        <v>113</v>
      </c>
      <c r="E124" s="108">
        <f t="shared" si="1"/>
        <v>-7</v>
      </c>
    </row>
    <row r="125" spans="1:5" x14ac:dyDescent="0.2">
      <c r="A125" s="96" t="s">
        <v>418</v>
      </c>
      <c r="B125" s="97">
        <v>121</v>
      </c>
      <c r="C125" s="98">
        <v>3.559189422543791</v>
      </c>
      <c r="D125" s="99">
        <v>118</v>
      </c>
      <c r="E125" s="108">
        <f t="shared" si="1"/>
        <v>-3</v>
      </c>
    </row>
    <row r="126" spans="1:5" x14ac:dyDescent="0.2">
      <c r="A126" s="92" t="s">
        <v>404</v>
      </c>
      <c r="B126" s="93">
        <v>122</v>
      </c>
      <c r="C126" s="94">
        <v>3.5310283841780681</v>
      </c>
      <c r="D126" s="95">
        <v>120</v>
      </c>
      <c r="E126" s="108">
        <f t="shared" si="1"/>
        <v>-2</v>
      </c>
    </row>
    <row r="127" spans="1:5" x14ac:dyDescent="0.2">
      <c r="A127" s="96" t="s">
        <v>243</v>
      </c>
      <c r="B127" s="97">
        <v>123</v>
      </c>
      <c r="C127" s="98">
        <v>3.5230326394491485</v>
      </c>
      <c r="D127" s="99" t="s">
        <v>411</v>
      </c>
      <c r="E127" s="108" t="str">
        <f t="shared" si="1"/>
        <v>no change</v>
      </c>
    </row>
    <row r="128" spans="1:5" x14ac:dyDescent="0.2">
      <c r="A128" s="92" t="s">
        <v>12</v>
      </c>
      <c r="B128" s="93">
        <v>124</v>
      </c>
      <c r="C128" s="94">
        <v>3.5079475998269607</v>
      </c>
      <c r="D128" s="95">
        <v>122</v>
      </c>
      <c r="E128" s="108">
        <f t="shared" si="1"/>
        <v>-2</v>
      </c>
    </row>
    <row r="129" spans="1:5" x14ac:dyDescent="0.2">
      <c r="A129" s="96" t="s">
        <v>401</v>
      </c>
      <c r="B129" s="97">
        <v>125</v>
      </c>
      <c r="C129" s="98">
        <v>3.4670156357877402</v>
      </c>
      <c r="D129" s="99">
        <v>130</v>
      </c>
      <c r="E129" s="108">
        <f t="shared" si="1"/>
        <v>5</v>
      </c>
    </row>
    <row r="130" spans="1:5" x14ac:dyDescent="0.2">
      <c r="A130" s="92" t="s">
        <v>384</v>
      </c>
      <c r="B130" s="93">
        <v>126</v>
      </c>
      <c r="C130" s="94">
        <v>3.4472698279212461</v>
      </c>
      <c r="D130" s="95">
        <v>121</v>
      </c>
      <c r="E130" s="108">
        <f t="shared" si="1"/>
        <v>-5</v>
      </c>
    </row>
    <row r="131" spans="1:5" x14ac:dyDescent="0.2">
      <c r="A131" s="96" t="s">
        <v>62</v>
      </c>
      <c r="B131" s="97">
        <v>127</v>
      </c>
      <c r="C131" s="98">
        <v>3.445574145129962</v>
      </c>
      <c r="D131" s="99">
        <v>127</v>
      </c>
      <c r="E131" s="108">
        <f t="shared" si="1"/>
        <v>0</v>
      </c>
    </row>
    <row r="132" spans="1:5" x14ac:dyDescent="0.2">
      <c r="A132" s="92" t="s">
        <v>392</v>
      </c>
      <c r="B132" s="93">
        <v>128</v>
      </c>
      <c r="C132" s="94">
        <v>3.3870860547971477</v>
      </c>
      <c r="D132" s="95">
        <v>132</v>
      </c>
      <c r="E132" s="108">
        <f t="shared" si="1"/>
        <v>4</v>
      </c>
    </row>
    <row r="133" spans="1:5" x14ac:dyDescent="0.2">
      <c r="A133" s="96" t="s">
        <v>368</v>
      </c>
      <c r="B133" s="97">
        <v>129</v>
      </c>
      <c r="C133" s="98">
        <v>3.3715416611404256</v>
      </c>
      <c r="D133" s="99">
        <v>129</v>
      </c>
      <c r="E133" s="108">
        <f t="shared" si="1"/>
        <v>0</v>
      </c>
    </row>
    <row r="134" spans="1:5" x14ac:dyDescent="0.2">
      <c r="A134" s="92" t="s">
        <v>390</v>
      </c>
      <c r="B134" s="93">
        <v>130</v>
      </c>
      <c r="C134" s="94">
        <v>3.3633945189083931</v>
      </c>
      <c r="D134" s="95">
        <v>124</v>
      </c>
      <c r="E134" s="108">
        <f t="shared" ref="E134:E146" si="2">IF(D134="n/a","no change",D134-B134)</f>
        <v>-6</v>
      </c>
    </row>
    <row r="135" spans="1:5" x14ac:dyDescent="0.2">
      <c r="A135" s="96" t="s">
        <v>416</v>
      </c>
      <c r="B135" s="97">
        <v>131</v>
      </c>
      <c r="C135" s="98">
        <v>3.3531633796545655</v>
      </c>
      <c r="D135" s="99">
        <v>133</v>
      </c>
      <c r="E135" s="108">
        <f t="shared" si="2"/>
        <v>2</v>
      </c>
    </row>
    <row r="136" spans="1:5" x14ac:dyDescent="0.2">
      <c r="A136" s="92" t="s">
        <v>421</v>
      </c>
      <c r="B136" s="93">
        <v>132</v>
      </c>
      <c r="C136" s="94">
        <v>3.3267397614594176</v>
      </c>
      <c r="D136" s="95">
        <v>136</v>
      </c>
      <c r="E136" s="108">
        <f t="shared" si="2"/>
        <v>4</v>
      </c>
    </row>
    <row r="137" spans="1:5" x14ac:dyDescent="0.2">
      <c r="A137" s="96" t="s">
        <v>399</v>
      </c>
      <c r="B137" s="97">
        <v>133</v>
      </c>
      <c r="C137" s="98">
        <v>3.3110222166317467</v>
      </c>
      <c r="D137" s="99">
        <v>131</v>
      </c>
      <c r="E137" s="108">
        <f t="shared" si="2"/>
        <v>-2</v>
      </c>
    </row>
    <row r="138" spans="1:5" x14ac:dyDescent="0.2">
      <c r="A138" s="92" t="s">
        <v>433</v>
      </c>
      <c r="B138" s="93">
        <v>134</v>
      </c>
      <c r="C138" s="94">
        <v>3.300561539963716</v>
      </c>
      <c r="D138" s="95">
        <v>126</v>
      </c>
      <c r="E138" s="108">
        <f t="shared" si="2"/>
        <v>-8</v>
      </c>
    </row>
    <row r="139" spans="1:5" x14ac:dyDescent="0.2">
      <c r="A139" s="96" t="s">
        <v>386</v>
      </c>
      <c r="B139" s="97">
        <v>135</v>
      </c>
      <c r="C139" s="98">
        <v>3.2634153031983475</v>
      </c>
      <c r="D139" s="99">
        <v>128</v>
      </c>
      <c r="E139" s="108">
        <f t="shared" si="2"/>
        <v>-7</v>
      </c>
    </row>
    <row r="140" spans="1:5" x14ac:dyDescent="0.2">
      <c r="A140" s="92" t="s">
        <v>362</v>
      </c>
      <c r="B140" s="93">
        <v>136</v>
      </c>
      <c r="C140" s="94">
        <v>3.2529643903848298</v>
      </c>
      <c r="D140" s="95">
        <v>134</v>
      </c>
      <c r="E140" s="108">
        <f t="shared" si="2"/>
        <v>-2</v>
      </c>
    </row>
    <row r="141" spans="1:5" x14ac:dyDescent="0.2">
      <c r="A141" s="96" t="s">
        <v>394</v>
      </c>
      <c r="B141" s="97">
        <v>137</v>
      </c>
      <c r="C141" s="98">
        <v>3.200694251964622</v>
      </c>
      <c r="D141" s="99">
        <v>135</v>
      </c>
      <c r="E141" s="108">
        <f t="shared" si="2"/>
        <v>-2</v>
      </c>
    </row>
    <row r="142" spans="1:5" x14ac:dyDescent="0.2">
      <c r="A142" s="92" t="s">
        <v>434</v>
      </c>
      <c r="B142" s="93">
        <v>138</v>
      </c>
      <c r="C142" s="94">
        <v>3.0579239696282157</v>
      </c>
      <c r="D142" s="95" t="s">
        <v>411</v>
      </c>
      <c r="E142" s="108" t="str">
        <f t="shared" si="2"/>
        <v>no change</v>
      </c>
    </row>
    <row r="143" spans="1:5" x14ac:dyDescent="0.2">
      <c r="A143" s="96" t="s">
        <v>435</v>
      </c>
      <c r="B143" s="97">
        <v>139</v>
      </c>
      <c r="C143" s="98">
        <v>2.9614976805361546</v>
      </c>
      <c r="D143" s="99">
        <v>138</v>
      </c>
      <c r="E143" s="108">
        <f t="shared" si="2"/>
        <v>-1</v>
      </c>
    </row>
    <row r="144" spans="1:5" x14ac:dyDescent="0.2">
      <c r="A144" s="100" t="s">
        <v>363</v>
      </c>
      <c r="B144" s="101">
        <v>140</v>
      </c>
      <c r="C144" s="102">
        <v>2.9499682138092496</v>
      </c>
      <c r="D144" s="103">
        <v>137</v>
      </c>
      <c r="E144" s="108">
        <f t="shared" si="2"/>
        <v>-3</v>
      </c>
    </row>
    <row r="145" spans="1:5" x14ac:dyDescent="0.2">
      <c r="A145" s="96" t="s">
        <v>436</v>
      </c>
      <c r="B145" s="97">
        <v>141</v>
      </c>
      <c r="C145" s="98">
        <v>2.9034086975659146</v>
      </c>
      <c r="D145" s="99" t="s">
        <v>411</v>
      </c>
      <c r="E145" s="108" t="str">
        <f t="shared" si="2"/>
        <v>no change</v>
      </c>
    </row>
    <row r="146" spans="1:5" x14ac:dyDescent="0.2">
      <c r="A146" s="92" t="s">
        <v>366</v>
      </c>
      <c r="B146" s="93">
        <v>142</v>
      </c>
      <c r="C146" s="94">
        <v>2.8697780454510173</v>
      </c>
      <c r="D146" s="95">
        <v>139</v>
      </c>
      <c r="E146" s="108">
        <f t="shared" si="2"/>
        <v>-3</v>
      </c>
    </row>
  </sheetData>
  <mergeCells count="2">
    <mergeCell ref="A1:E1"/>
    <mergeCell ref="B3:C3"/>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I70"/>
  <sheetViews>
    <sheetView workbookViewId="0"/>
  </sheetViews>
  <sheetFormatPr defaultRowHeight="12.75" x14ac:dyDescent="0.2"/>
  <cols>
    <col min="1" max="1" width="22" bestFit="1" customWidth="1"/>
    <col min="2" max="2" width="9.85546875" bestFit="1" customWidth="1"/>
    <col min="3" max="3" width="20.5703125" bestFit="1" customWidth="1"/>
    <col min="4" max="4" width="14.42578125" bestFit="1" customWidth="1"/>
    <col min="5" max="5" width="20.28515625" bestFit="1" customWidth="1"/>
    <col min="8" max="9" width="0" hidden="1" customWidth="1"/>
  </cols>
  <sheetData>
    <row r="1" spans="1:4" x14ac:dyDescent="0.2">
      <c r="A1" s="43" t="s">
        <v>214</v>
      </c>
      <c r="B1" s="43" t="s">
        <v>215</v>
      </c>
      <c r="C1" s="43" t="s">
        <v>216</v>
      </c>
      <c r="D1" s="43" t="s">
        <v>217</v>
      </c>
    </row>
    <row r="2" spans="1:4" ht="15" x14ac:dyDescent="0.25">
      <c r="A2" s="49" t="s">
        <v>218</v>
      </c>
      <c r="B2" s="306">
        <v>40828</v>
      </c>
      <c r="C2" s="49" t="s">
        <v>219</v>
      </c>
      <c r="D2">
        <v>392.15300000000002</v>
      </c>
    </row>
    <row r="3" spans="1:4" ht="15" x14ac:dyDescent="0.25">
      <c r="A3" s="49"/>
      <c r="C3" s="49" t="s">
        <v>220</v>
      </c>
    </row>
    <row r="4" spans="1:4" ht="15" x14ac:dyDescent="0.25">
      <c r="A4" s="49" t="s">
        <v>221</v>
      </c>
      <c r="B4" s="306">
        <v>40828</v>
      </c>
      <c r="C4" s="49" t="s">
        <v>222</v>
      </c>
      <c r="D4">
        <v>605.846</v>
      </c>
    </row>
    <row r="5" spans="1:4" ht="15" x14ac:dyDescent="0.25">
      <c r="A5" s="49" t="s">
        <v>223</v>
      </c>
      <c r="B5" s="306">
        <v>40828</v>
      </c>
      <c r="C5" s="49" t="s">
        <v>224</v>
      </c>
      <c r="D5">
        <v>376.26900000000001</v>
      </c>
    </row>
    <row r="6" spans="1:4" ht="15" x14ac:dyDescent="0.25">
      <c r="A6" s="49"/>
      <c r="C6" s="49" t="s">
        <v>225</v>
      </c>
    </row>
    <row r="7" spans="1:4" ht="15" x14ac:dyDescent="0.25">
      <c r="A7" s="49" t="s">
        <v>226</v>
      </c>
      <c r="B7" s="306">
        <v>40828</v>
      </c>
      <c r="C7" s="49" t="s">
        <v>25</v>
      </c>
      <c r="D7">
        <v>410.673</v>
      </c>
    </row>
    <row r="8" spans="1:4" ht="15" x14ac:dyDescent="0.25">
      <c r="A8" s="49" t="s">
        <v>227</v>
      </c>
      <c r="B8" s="306">
        <v>40828</v>
      </c>
      <c r="C8" s="49" t="s">
        <v>228</v>
      </c>
      <c r="D8">
        <v>376.34699999999998</v>
      </c>
    </row>
    <row r="9" spans="1:4" ht="15" x14ac:dyDescent="0.25">
      <c r="A9" s="49"/>
      <c r="C9" s="49" t="s">
        <v>229</v>
      </c>
    </row>
    <row r="10" spans="1:4" ht="15" x14ac:dyDescent="0.25">
      <c r="A10" s="49" t="s">
        <v>230</v>
      </c>
      <c r="B10" s="306">
        <v>40828</v>
      </c>
      <c r="C10" s="49" t="s">
        <v>231</v>
      </c>
      <c r="D10">
        <v>418.18900000000002</v>
      </c>
    </row>
    <row r="11" spans="1:4" ht="15" x14ac:dyDescent="0.25">
      <c r="A11" s="49" t="s">
        <v>232</v>
      </c>
      <c r="B11" s="306">
        <v>40828</v>
      </c>
      <c r="C11" s="49" t="s">
        <v>16</v>
      </c>
      <c r="D11">
        <v>272.83699999999999</v>
      </c>
    </row>
    <row r="12" spans="1:4" ht="15" x14ac:dyDescent="0.25">
      <c r="A12" s="49" t="s">
        <v>233</v>
      </c>
      <c r="B12" s="306">
        <v>40828</v>
      </c>
      <c r="C12" s="49" t="s">
        <v>15</v>
      </c>
      <c r="D12">
        <v>434.74700000000001</v>
      </c>
    </row>
    <row r="13" spans="1:4" ht="15" x14ac:dyDescent="0.25">
      <c r="A13" s="49" t="s">
        <v>226</v>
      </c>
      <c r="B13" s="306">
        <v>40828</v>
      </c>
      <c r="C13" s="49" t="s">
        <v>234</v>
      </c>
      <c r="D13">
        <v>410.673</v>
      </c>
    </row>
    <row r="14" spans="1:4" ht="15" x14ac:dyDescent="0.25">
      <c r="A14" s="49" t="s">
        <v>235</v>
      </c>
      <c r="B14" s="306">
        <v>40828</v>
      </c>
      <c r="C14" s="49" t="s">
        <v>236</v>
      </c>
      <c r="D14">
        <v>424.81900000000002</v>
      </c>
    </row>
    <row r="15" spans="1:4" ht="15" x14ac:dyDescent="0.25">
      <c r="A15" s="49"/>
      <c r="C15" s="49" t="s">
        <v>237</v>
      </c>
    </row>
    <row r="16" spans="1:4" ht="15" x14ac:dyDescent="0.25">
      <c r="A16" s="49" t="s">
        <v>238</v>
      </c>
      <c r="B16" s="306">
        <v>40828</v>
      </c>
      <c r="C16" s="49" t="s">
        <v>239</v>
      </c>
      <c r="D16">
        <v>392.15300000000002</v>
      </c>
    </row>
    <row r="17" spans="1:9" ht="15" x14ac:dyDescent="0.25">
      <c r="A17" s="49"/>
      <c r="C17" s="49" t="s">
        <v>240</v>
      </c>
      <c r="E17" s="46" t="s">
        <v>712</v>
      </c>
    </row>
    <row r="18" spans="1:9" ht="15" x14ac:dyDescent="0.25">
      <c r="A18" s="49" t="s">
        <v>241</v>
      </c>
      <c r="B18" s="306">
        <v>40828</v>
      </c>
      <c r="C18" s="49" t="s">
        <v>10</v>
      </c>
      <c r="D18">
        <v>883.33399999999995</v>
      </c>
      <c r="E18" s="45">
        <f>(D18-$D$62)/$D$63</f>
        <v>1.4255405250063531</v>
      </c>
      <c r="H18" s="189" t="s">
        <v>0</v>
      </c>
      <c r="I18">
        <f t="shared" ref="I18:I42" si="0">VLOOKUP(H18,$C$18:$E$60,2,FALSE)</f>
        <v>267.96899999999999</v>
      </c>
    </row>
    <row r="19" spans="1:9" ht="15" x14ac:dyDescent="0.25">
      <c r="A19" s="49" t="s">
        <v>299</v>
      </c>
      <c r="B19" s="306">
        <v>40828</v>
      </c>
      <c r="C19" s="49" t="s">
        <v>300</v>
      </c>
      <c r="D19">
        <v>1578.6890000000001</v>
      </c>
      <c r="E19" s="45">
        <f t="shared" ref="E19:E59" si="1">(D19-$D$62)/$D$63</f>
        <v>3.443649392747151</v>
      </c>
      <c r="H19" s="189" t="s">
        <v>3</v>
      </c>
      <c r="I19">
        <f t="shared" si="0"/>
        <v>179.18299999999999</v>
      </c>
    </row>
    <row r="20" spans="1:9" ht="15" x14ac:dyDescent="0.25">
      <c r="A20" s="49" t="s">
        <v>242</v>
      </c>
      <c r="B20" s="306">
        <v>40828</v>
      </c>
      <c r="C20" s="49" t="s">
        <v>243</v>
      </c>
      <c r="D20">
        <v>1281.681</v>
      </c>
      <c r="E20" s="45">
        <f t="shared" si="1"/>
        <v>2.5816515950898986</v>
      </c>
      <c r="H20" s="189" t="s">
        <v>36</v>
      </c>
      <c r="I20">
        <f t="shared" si="0"/>
        <v>158.958</v>
      </c>
    </row>
    <row r="21" spans="1:9" ht="15" x14ac:dyDescent="0.25">
      <c r="A21" s="49" t="s">
        <v>244</v>
      </c>
      <c r="B21" s="306">
        <v>40828</v>
      </c>
      <c r="C21" s="49" t="s">
        <v>9</v>
      </c>
      <c r="D21">
        <v>223.17</v>
      </c>
      <c r="E21" s="45">
        <f>(D21-$D$62)/$D$63</f>
        <v>-0.49043451301485325</v>
      </c>
      <c r="H21" s="189" t="s">
        <v>71</v>
      </c>
      <c r="I21">
        <f t="shared" si="0"/>
        <v>200.904</v>
      </c>
    </row>
    <row r="22" spans="1:9" ht="15" x14ac:dyDescent="0.25">
      <c r="A22" s="49" t="s">
        <v>245</v>
      </c>
      <c r="B22" s="306">
        <v>40828</v>
      </c>
      <c r="C22" s="49" t="s">
        <v>246</v>
      </c>
      <c r="D22">
        <v>334.88299999999998</v>
      </c>
      <c r="E22" s="45">
        <f t="shared" si="1"/>
        <v>-0.16621307800406349</v>
      </c>
      <c r="H22" s="189" t="s">
        <v>9</v>
      </c>
      <c r="I22">
        <f t="shared" si="0"/>
        <v>223.17</v>
      </c>
    </row>
    <row r="23" spans="1:9" ht="15" x14ac:dyDescent="0.25">
      <c r="A23" s="49" t="s">
        <v>247</v>
      </c>
      <c r="B23" s="306">
        <v>40828</v>
      </c>
      <c r="C23" s="49" t="s">
        <v>36</v>
      </c>
      <c r="D23">
        <v>158.958</v>
      </c>
      <c r="E23" s="45">
        <f t="shared" si="1"/>
        <v>-0.6767951584626779</v>
      </c>
      <c r="H23" s="189" t="s">
        <v>47</v>
      </c>
      <c r="I23">
        <f t="shared" si="0"/>
        <v>217.39699999999999</v>
      </c>
    </row>
    <row r="24" spans="1:9" ht="15" x14ac:dyDescent="0.25">
      <c r="A24" s="49" t="s">
        <v>248</v>
      </c>
      <c r="B24" s="306">
        <v>40828</v>
      </c>
      <c r="C24" s="49" t="s">
        <v>0</v>
      </c>
      <c r="D24">
        <v>267.96899999999999</v>
      </c>
      <c r="E24" s="45">
        <f t="shared" si="1"/>
        <v>-0.36041566053529961</v>
      </c>
      <c r="H24" s="189" t="s">
        <v>64</v>
      </c>
      <c r="I24">
        <f t="shared" si="0"/>
        <v>549.45899999999995</v>
      </c>
    </row>
    <row r="25" spans="1:9" ht="15" x14ac:dyDescent="0.25">
      <c r="A25" s="49" t="s">
        <v>249</v>
      </c>
      <c r="B25" s="306">
        <v>40828</v>
      </c>
      <c r="C25" s="49" t="s">
        <v>37</v>
      </c>
      <c r="D25">
        <v>191.267</v>
      </c>
      <c r="E25" s="45">
        <f t="shared" si="1"/>
        <v>-0.58302567466255073</v>
      </c>
      <c r="H25" s="189" t="s">
        <v>11</v>
      </c>
      <c r="I25">
        <f t="shared" si="0"/>
        <v>225.31100000000001</v>
      </c>
    </row>
    <row r="26" spans="1:9" ht="15" x14ac:dyDescent="0.25">
      <c r="A26" s="49" t="s">
        <v>250</v>
      </c>
      <c r="B26" s="306">
        <v>40828</v>
      </c>
      <c r="C26" s="49" t="s">
        <v>251</v>
      </c>
      <c r="D26">
        <v>572.21199999999999</v>
      </c>
      <c r="E26" s="45">
        <f t="shared" si="1"/>
        <v>0.52258007005995533</v>
      </c>
      <c r="H26" s="189" t="s">
        <v>2</v>
      </c>
      <c r="I26">
        <f t="shared" si="0"/>
        <v>268.66699999999997</v>
      </c>
    </row>
    <row r="27" spans="1:9" ht="15" x14ac:dyDescent="0.25">
      <c r="A27" s="49" t="s">
        <v>252</v>
      </c>
      <c r="B27" s="306">
        <v>40828</v>
      </c>
      <c r="C27" s="49" t="s">
        <v>253</v>
      </c>
      <c r="D27">
        <v>554.03</v>
      </c>
      <c r="E27" s="45">
        <f t="shared" si="1"/>
        <v>0.4698109730760216</v>
      </c>
      <c r="H27" s="189" t="s">
        <v>23</v>
      </c>
      <c r="I27">
        <f t="shared" si="0"/>
        <v>222.40199999999999</v>
      </c>
    </row>
    <row r="28" spans="1:9" ht="15" x14ac:dyDescent="0.25">
      <c r="A28" s="49" t="s">
        <v>254</v>
      </c>
      <c r="B28" s="306">
        <v>40828</v>
      </c>
      <c r="C28" s="49" t="s">
        <v>39</v>
      </c>
      <c r="D28">
        <v>882.23199999999997</v>
      </c>
      <c r="E28" s="45">
        <f t="shared" si="1"/>
        <v>1.4223422220211868</v>
      </c>
      <c r="H28" s="189" t="s">
        <v>37</v>
      </c>
      <c r="I28">
        <f t="shared" si="0"/>
        <v>191.267</v>
      </c>
    </row>
    <row r="29" spans="1:9" ht="15" x14ac:dyDescent="0.25">
      <c r="A29" s="49" t="s">
        <v>255</v>
      </c>
      <c r="B29" s="306">
        <v>40828</v>
      </c>
      <c r="C29" s="49" t="s">
        <v>65</v>
      </c>
      <c r="D29">
        <v>410.12299999999999</v>
      </c>
      <c r="E29" s="45">
        <f t="shared" si="1"/>
        <v>5.2153815465916083E-2</v>
      </c>
      <c r="H29" s="189" t="s">
        <v>72</v>
      </c>
      <c r="I29">
        <f t="shared" si="0"/>
        <v>272.36500000000001</v>
      </c>
    </row>
    <row r="30" spans="1:9" ht="15" x14ac:dyDescent="0.25">
      <c r="A30" s="49" t="s">
        <v>256</v>
      </c>
      <c r="B30" s="306">
        <v>40828</v>
      </c>
      <c r="C30" s="49" t="s">
        <v>257</v>
      </c>
      <c r="D30">
        <v>474.108</v>
      </c>
      <c r="E30" s="45">
        <f t="shared" si="1"/>
        <v>0.23785564532605222</v>
      </c>
      <c r="H30" s="189" t="s">
        <v>13</v>
      </c>
      <c r="I30">
        <f t="shared" si="0"/>
        <v>335.41800000000001</v>
      </c>
    </row>
    <row r="31" spans="1:9" ht="15" x14ac:dyDescent="0.25">
      <c r="A31" s="49" t="s">
        <v>258</v>
      </c>
      <c r="B31" s="306">
        <v>40828</v>
      </c>
      <c r="C31" s="49" t="s">
        <v>259</v>
      </c>
      <c r="D31">
        <v>453.858</v>
      </c>
      <c r="E31" s="45">
        <f t="shared" si="1"/>
        <v>0.17908465127013667</v>
      </c>
      <c r="H31" s="189" t="s">
        <v>48</v>
      </c>
      <c r="I31">
        <f t="shared" si="0"/>
        <v>267.02499999999998</v>
      </c>
    </row>
    <row r="32" spans="1:9" ht="15" x14ac:dyDescent="0.25">
      <c r="A32" s="49" t="s">
        <v>260</v>
      </c>
      <c r="B32" s="306">
        <v>40828</v>
      </c>
      <c r="C32" s="49" t="s">
        <v>261</v>
      </c>
      <c r="D32">
        <v>471.71100000000001</v>
      </c>
      <c r="E32" s="45">
        <f t="shared" si="1"/>
        <v>0.2308989009926187</v>
      </c>
      <c r="H32" s="189" t="s">
        <v>65</v>
      </c>
      <c r="I32">
        <f t="shared" si="0"/>
        <v>410.12299999999999</v>
      </c>
    </row>
    <row r="33" spans="1:9" ht="15" x14ac:dyDescent="0.25">
      <c r="A33" s="49" t="s">
        <v>262</v>
      </c>
      <c r="B33" s="306">
        <v>40828</v>
      </c>
      <c r="C33" s="49" t="s">
        <v>263</v>
      </c>
      <c r="D33">
        <v>569.71500000000003</v>
      </c>
      <c r="E33" s="45">
        <f t="shared" si="1"/>
        <v>0.51533309859538157</v>
      </c>
      <c r="H33" s="189" t="s">
        <v>4</v>
      </c>
      <c r="I33">
        <f t="shared" si="0"/>
        <v>232.67500000000001</v>
      </c>
    </row>
    <row r="34" spans="1:9" ht="15" x14ac:dyDescent="0.25">
      <c r="A34" s="49" t="s">
        <v>264</v>
      </c>
      <c r="B34" s="306">
        <v>40828</v>
      </c>
      <c r="C34" s="49" t="s">
        <v>43</v>
      </c>
      <c r="D34">
        <v>473.399</v>
      </c>
      <c r="E34" s="45">
        <f t="shared" si="1"/>
        <v>0.23579793496626733</v>
      </c>
      <c r="H34" s="189" t="s">
        <v>45</v>
      </c>
      <c r="I34">
        <f t="shared" si="0"/>
        <v>436.54399999999998</v>
      </c>
    </row>
    <row r="35" spans="1:9" ht="15" x14ac:dyDescent="0.25">
      <c r="A35" s="49" t="s">
        <v>265</v>
      </c>
      <c r="B35" s="306">
        <v>40828</v>
      </c>
      <c r="C35" s="49" t="s">
        <v>2</v>
      </c>
      <c r="D35">
        <v>268.66699999999997</v>
      </c>
      <c r="E35" s="45">
        <f t="shared" si="1"/>
        <v>-0.35838987515994025</v>
      </c>
      <c r="H35" s="189" t="s">
        <v>14</v>
      </c>
      <c r="I35">
        <f t="shared" si="0"/>
        <v>307.88799999999998</v>
      </c>
    </row>
    <row r="36" spans="1:9" ht="15" x14ac:dyDescent="0.25">
      <c r="A36" s="49" t="s">
        <v>266</v>
      </c>
      <c r="B36" s="306">
        <v>40828</v>
      </c>
      <c r="C36" s="49" t="s">
        <v>267</v>
      </c>
      <c r="D36">
        <v>599.81399999999996</v>
      </c>
      <c r="E36" s="45">
        <f t="shared" si="1"/>
        <v>0.60268856279730743</v>
      </c>
      <c r="H36" s="189" t="s">
        <v>43</v>
      </c>
      <c r="I36">
        <f t="shared" si="0"/>
        <v>473.399</v>
      </c>
    </row>
    <row r="37" spans="1:9" ht="15" x14ac:dyDescent="0.25">
      <c r="A37" s="49" t="s">
        <v>301</v>
      </c>
      <c r="B37" s="306">
        <v>40828</v>
      </c>
      <c r="C37" s="49" t="s">
        <v>302</v>
      </c>
      <c r="D37">
        <v>1148.73</v>
      </c>
      <c r="E37" s="45">
        <f t="shared" si="1"/>
        <v>2.1957917219675265</v>
      </c>
      <c r="H37" s="189" t="s">
        <v>77</v>
      </c>
      <c r="I37">
        <f t="shared" si="0"/>
        <v>449.82900000000001</v>
      </c>
    </row>
    <row r="38" spans="1:9" ht="15" x14ac:dyDescent="0.25">
      <c r="A38" s="49" t="s">
        <v>268</v>
      </c>
      <c r="B38" s="306">
        <v>40828</v>
      </c>
      <c r="C38" s="49" t="s">
        <v>269</v>
      </c>
      <c r="D38">
        <v>596.72400000000005</v>
      </c>
      <c r="E38" s="45">
        <f t="shared" si="1"/>
        <v>0.59372054444507161</v>
      </c>
      <c r="H38" s="189" t="s">
        <v>10</v>
      </c>
      <c r="I38">
        <f t="shared" si="0"/>
        <v>883.33399999999995</v>
      </c>
    </row>
    <row r="39" spans="1:9" ht="15" x14ac:dyDescent="0.25">
      <c r="A39" s="49" t="s">
        <v>303</v>
      </c>
      <c r="B39" s="306">
        <v>40828</v>
      </c>
      <c r="C39" s="49" t="s">
        <v>304</v>
      </c>
      <c r="D39">
        <v>410.24099999999999</v>
      </c>
      <c r="E39" s="45">
        <f t="shared" si="1"/>
        <v>5.2496283480661647E-2</v>
      </c>
      <c r="H39" s="189" t="s">
        <v>58</v>
      </c>
      <c r="I39">
        <f t="shared" si="0"/>
        <v>920.31700000000001</v>
      </c>
    </row>
    <row r="40" spans="1:9" ht="15" x14ac:dyDescent="0.25">
      <c r="A40" s="49" t="s">
        <v>270</v>
      </c>
      <c r="B40" s="306">
        <v>40828</v>
      </c>
      <c r="C40" s="49" t="s">
        <v>45</v>
      </c>
      <c r="D40">
        <v>436.54399999999998</v>
      </c>
      <c r="E40" s="45">
        <f t="shared" si="1"/>
        <v>0.12883472578450098</v>
      </c>
      <c r="H40" s="189" t="s">
        <v>39</v>
      </c>
      <c r="I40">
        <f t="shared" si="0"/>
        <v>882.23199999999997</v>
      </c>
    </row>
    <row r="41" spans="1:9" ht="15" x14ac:dyDescent="0.25">
      <c r="A41" s="49" t="s">
        <v>271</v>
      </c>
      <c r="B41" s="306">
        <v>40828</v>
      </c>
      <c r="C41" s="49" t="s">
        <v>272</v>
      </c>
      <c r="D41">
        <v>358.23099999999999</v>
      </c>
      <c r="E41" s="45">
        <f t="shared" si="1"/>
        <v>-9.8450847425420679E-2</v>
      </c>
      <c r="H41" s="189" t="s">
        <v>70</v>
      </c>
      <c r="I41">
        <f t="shared" si="0"/>
        <v>1139.5840000000001</v>
      </c>
    </row>
    <row r="42" spans="1:9" ht="15" x14ac:dyDescent="0.25">
      <c r="A42" s="49" t="s">
        <v>273</v>
      </c>
      <c r="B42" s="306">
        <v>40828</v>
      </c>
      <c r="C42" s="49" t="s">
        <v>274</v>
      </c>
      <c r="D42">
        <v>427.26299999999998</v>
      </c>
      <c r="E42" s="45">
        <f t="shared" si="1"/>
        <v>0.10189874574336752</v>
      </c>
      <c r="H42" s="189" t="s">
        <v>12</v>
      </c>
      <c r="I42">
        <f t="shared" si="0"/>
        <v>1353.403</v>
      </c>
    </row>
    <row r="43" spans="1:9" ht="15" x14ac:dyDescent="0.25">
      <c r="A43" s="49" t="s">
        <v>275</v>
      </c>
      <c r="B43" s="306">
        <v>40828</v>
      </c>
      <c r="C43" s="49" t="s">
        <v>3</v>
      </c>
      <c r="D43">
        <v>179.18299999999999</v>
      </c>
      <c r="E43" s="45">
        <f t="shared" si="1"/>
        <v>-0.61809672118954739</v>
      </c>
    </row>
    <row r="44" spans="1:9" ht="15" x14ac:dyDescent="0.25">
      <c r="A44" s="49" t="s">
        <v>276</v>
      </c>
      <c r="B44" s="306">
        <v>40828</v>
      </c>
      <c r="C44" s="49" t="s">
        <v>11</v>
      </c>
      <c r="D44">
        <v>225.31100000000001</v>
      </c>
      <c r="E44" s="45">
        <f t="shared" si="1"/>
        <v>-0.48422075013713889</v>
      </c>
    </row>
    <row r="45" spans="1:9" ht="15" x14ac:dyDescent="0.25">
      <c r="A45" s="49" t="s">
        <v>305</v>
      </c>
      <c r="B45" s="306">
        <v>40828</v>
      </c>
      <c r="C45" s="49" t="s">
        <v>62</v>
      </c>
      <c r="D45">
        <v>475.80500000000001</v>
      </c>
      <c r="E45" s="45">
        <f t="shared" si="1"/>
        <v>0.24278079974150352</v>
      </c>
    </row>
    <row r="46" spans="1:9" ht="15" x14ac:dyDescent="0.25">
      <c r="A46" s="49" t="s">
        <v>277</v>
      </c>
      <c r="B46" s="306">
        <v>40828</v>
      </c>
      <c r="C46" s="49" t="s">
        <v>70</v>
      </c>
      <c r="D46">
        <v>1139.5840000000001</v>
      </c>
      <c r="E46" s="45">
        <f t="shared" si="1"/>
        <v>2.1692475485534328</v>
      </c>
    </row>
    <row r="47" spans="1:9" ht="15" x14ac:dyDescent="0.25">
      <c r="A47" s="49" t="s">
        <v>278</v>
      </c>
      <c r="B47" s="306">
        <v>40828</v>
      </c>
      <c r="C47" s="49" t="s">
        <v>71</v>
      </c>
      <c r="D47">
        <v>200.904</v>
      </c>
      <c r="E47" s="45">
        <f t="shared" si="1"/>
        <v>-0.55505648603455771</v>
      </c>
    </row>
    <row r="48" spans="1:9" ht="15" x14ac:dyDescent="0.25">
      <c r="A48" s="49" t="s">
        <v>279</v>
      </c>
      <c r="B48" s="306">
        <v>40828</v>
      </c>
      <c r="C48" s="49" t="s">
        <v>47</v>
      </c>
      <c r="D48">
        <v>217.39699999999999</v>
      </c>
      <c r="E48" s="45">
        <f t="shared" si="1"/>
        <v>-0.50718932529558414</v>
      </c>
    </row>
    <row r="49" spans="1:5" ht="15" x14ac:dyDescent="0.25">
      <c r="A49" s="49" t="s">
        <v>280</v>
      </c>
      <c r="B49" s="306">
        <v>40828</v>
      </c>
      <c r="C49" s="49" t="s">
        <v>4</v>
      </c>
      <c r="D49">
        <v>232.67500000000001</v>
      </c>
      <c r="E49" s="45">
        <f t="shared" si="1"/>
        <v>-0.46284842419996541</v>
      </c>
    </row>
    <row r="50" spans="1:5" ht="15" x14ac:dyDescent="0.25">
      <c r="A50" s="49" t="s">
        <v>281</v>
      </c>
      <c r="B50" s="306">
        <v>40828</v>
      </c>
      <c r="C50" s="49" t="s">
        <v>48</v>
      </c>
      <c r="D50">
        <v>267.02499999999998</v>
      </c>
      <c r="E50" s="45">
        <f t="shared" si="1"/>
        <v>-0.36315540465326435</v>
      </c>
    </row>
    <row r="51" spans="1:5" ht="15" x14ac:dyDescent="0.25">
      <c r="A51" s="49" t="s">
        <v>282</v>
      </c>
      <c r="B51" s="306">
        <v>40828</v>
      </c>
      <c r="C51" s="49" t="s">
        <v>13</v>
      </c>
      <c r="D51">
        <v>335.41800000000001</v>
      </c>
      <c r="E51" s="45">
        <f t="shared" si="1"/>
        <v>-0.16466036285246269</v>
      </c>
    </row>
    <row r="52" spans="1:5" ht="15" x14ac:dyDescent="0.25">
      <c r="A52" s="49" t="s">
        <v>283</v>
      </c>
      <c r="B52" s="306">
        <v>40828</v>
      </c>
      <c r="C52" s="49" t="s">
        <v>284</v>
      </c>
      <c r="D52">
        <v>560.995</v>
      </c>
      <c r="E52" s="45">
        <f t="shared" si="1"/>
        <v>0.49002529275994527</v>
      </c>
    </row>
    <row r="53" spans="1:5" ht="15" x14ac:dyDescent="0.25">
      <c r="A53" s="49" t="s">
        <v>306</v>
      </c>
      <c r="B53" s="306">
        <v>40828</v>
      </c>
      <c r="C53" s="49" t="s">
        <v>307</v>
      </c>
      <c r="D53">
        <v>679.125</v>
      </c>
      <c r="E53" s="45">
        <f t="shared" si="1"/>
        <v>0.83287060277600966</v>
      </c>
    </row>
    <row r="54" spans="1:5" ht="15" x14ac:dyDescent="0.25">
      <c r="A54" s="49" t="s">
        <v>285</v>
      </c>
      <c r="B54" s="306">
        <v>40828</v>
      </c>
      <c r="C54" s="49" t="s">
        <v>23</v>
      </c>
      <c r="D54">
        <v>222.40199999999999</v>
      </c>
      <c r="E54" s="45">
        <f t="shared" si="1"/>
        <v>-0.49266345738201095</v>
      </c>
    </row>
    <row r="55" spans="1:5" ht="15" x14ac:dyDescent="0.25">
      <c r="A55" s="49" t="s">
        <v>286</v>
      </c>
      <c r="B55" s="306">
        <v>40828</v>
      </c>
      <c r="C55" s="49" t="s">
        <v>77</v>
      </c>
      <c r="D55">
        <v>449.82900000000001</v>
      </c>
      <c r="E55" s="45">
        <f t="shared" si="1"/>
        <v>0.16739140015649304</v>
      </c>
    </row>
    <row r="56" spans="1:5" ht="15" x14ac:dyDescent="0.25">
      <c r="A56" s="49" t="s">
        <v>287</v>
      </c>
      <c r="B56" s="306">
        <v>40828</v>
      </c>
      <c r="C56" s="49" t="s">
        <v>14</v>
      </c>
      <c r="D56">
        <v>307.88799999999998</v>
      </c>
      <c r="E56" s="45">
        <f t="shared" si="1"/>
        <v>-0.24455989205539388</v>
      </c>
    </row>
    <row r="57" spans="1:5" ht="15" x14ac:dyDescent="0.25">
      <c r="A57" s="49" t="s">
        <v>288</v>
      </c>
      <c r="B57" s="306">
        <v>40828</v>
      </c>
      <c r="C57" s="49" t="s">
        <v>58</v>
      </c>
      <c r="D57">
        <v>920.31700000000001</v>
      </c>
      <c r="E57" s="45">
        <f>(D57-$D$62)/$D$63</f>
        <v>1.5328752249159792</v>
      </c>
    </row>
    <row r="58" spans="1:5" ht="15" x14ac:dyDescent="0.25">
      <c r="A58" s="49" t="s">
        <v>289</v>
      </c>
      <c r="B58" s="306">
        <v>40828</v>
      </c>
      <c r="C58" s="49" t="s">
        <v>72</v>
      </c>
      <c r="D58">
        <v>272.36500000000001</v>
      </c>
      <c r="E58" s="45">
        <f t="shared" si="1"/>
        <v>-0.34765727585037098</v>
      </c>
    </row>
    <row r="59" spans="1:5" ht="15" x14ac:dyDescent="0.25">
      <c r="A59" s="49" t="s">
        <v>290</v>
      </c>
      <c r="B59" s="306">
        <v>40828</v>
      </c>
      <c r="C59" s="49" t="s">
        <v>12</v>
      </c>
      <c r="D59">
        <v>1353.403</v>
      </c>
      <c r="E59" s="45">
        <f t="shared" si="1"/>
        <v>2.7898082980863612</v>
      </c>
    </row>
    <row r="60" spans="1:5" ht="15" x14ac:dyDescent="0.25">
      <c r="A60" s="49" t="s">
        <v>291</v>
      </c>
      <c r="B60" s="306">
        <v>40828</v>
      </c>
      <c r="C60" s="49" t="s">
        <v>64</v>
      </c>
      <c r="D60">
        <v>549.45899999999995</v>
      </c>
      <c r="E60" s="45">
        <f>(D60-$D$62)/$D$63</f>
        <v>0.45654469091159733</v>
      </c>
    </row>
    <row r="61" spans="1:5" x14ac:dyDescent="0.2">
      <c r="A61" s="43"/>
      <c r="B61" s="44"/>
      <c r="C61" s="43"/>
      <c r="D61" s="48"/>
      <c r="E61" s="43"/>
    </row>
    <row r="62" spans="1:5" x14ac:dyDescent="0.2">
      <c r="A62" s="43"/>
      <c r="B62" s="44"/>
      <c r="C62" s="43" t="s">
        <v>219</v>
      </c>
      <c r="D62" s="48">
        <f>D16</f>
        <v>392.15300000000002</v>
      </c>
      <c r="E62" s="43"/>
    </row>
    <row r="63" spans="1:5" x14ac:dyDescent="0.2">
      <c r="A63" s="43"/>
      <c r="B63" s="44"/>
      <c r="C63" s="43" t="s">
        <v>651</v>
      </c>
      <c r="D63" s="181">
        <f>STDEV(D18:D60)</f>
        <v>344.55772486566872</v>
      </c>
      <c r="E63" s="43"/>
    </row>
    <row r="64" spans="1:5" x14ac:dyDescent="0.2">
      <c r="A64" s="43"/>
      <c r="B64" s="44"/>
      <c r="C64" s="43"/>
      <c r="D64" s="48"/>
      <c r="E64" s="43"/>
    </row>
    <row r="65" spans="1:5" x14ac:dyDescent="0.2">
      <c r="A65" s="43"/>
      <c r="B65" s="44"/>
      <c r="C65" s="43"/>
      <c r="D65" s="48"/>
      <c r="E65" s="43"/>
    </row>
    <row r="66" spans="1:5" ht="15" x14ac:dyDescent="0.25">
      <c r="A66" s="43"/>
      <c r="B66" s="43"/>
      <c r="C66" s="52" t="s">
        <v>292</v>
      </c>
      <c r="D66" s="48"/>
      <c r="E66" s="43"/>
    </row>
    <row r="67" spans="1:5" ht="15" x14ac:dyDescent="0.25">
      <c r="A67" s="50" t="s">
        <v>293</v>
      </c>
      <c r="B67" s="51">
        <v>40786</v>
      </c>
      <c r="C67" s="50" t="s">
        <v>294</v>
      </c>
      <c r="D67" s="47">
        <v>226.39699999999999</v>
      </c>
      <c r="E67" s="43"/>
    </row>
    <row r="68" spans="1:5" ht="15" x14ac:dyDescent="0.25">
      <c r="A68" s="50" t="s">
        <v>295</v>
      </c>
      <c r="B68" s="51">
        <v>40786</v>
      </c>
      <c r="C68" s="50" t="s">
        <v>206</v>
      </c>
      <c r="D68" s="47">
        <v>264.67500000000001</v>
      </c>
      <c r="E68" s="43"/>
    </row>
    <row r="69" spans="1:5" ht="15" x14ac:dyDescent="0.25">
      <c r="A69" s="50" t="s">
        <v>296</v>
      </c>
      <c r="B69" s="51">
        <v>40786</v>
      </c>
      <c r="C69" s="50" t="s">
        <v>207</v>
      </c>
      <c r="D69" s="47">
        <v>766.13400000000001</v>
      </c>
    </row>
    <row r="70" spans="1:5" ht="15" x14ac:dyDescent="0.25">
      <c r="A70" s="50" t="s">
        <v>297</v>
      </c>
      <c r="B70" s="51">
        <v>40786</v>
      </c>
      <c r="C70" s="50" t="s">
        <v>298</v>
      </c>
      <c r="D70" s="47">
        <v>677.05100000000004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B20"/>
  <sheetViews>
    <sheetView workbookViewId="0">
      <selection activeCell="B4" sqref="B4"/>
    </sheetView>
  </sheetViews>
  <sheetFormatPr defaultRowHeight="12.75" x14ac:dyDescent="0.2"/>
  <cols>
    <col min="1" max="1" width="34.85546875" customWidth="1"/>
    <col min="2" max="2" width="14.42578125" bestFit="1" customWidth="1"/>
  </cols>
  <sheetData>
    <row r="1" spans="1:2" ht="15.75" x14ac:dyDescent="0.25">
      <c r="A1" s="202" t="s">
        <v>655</v>
      </c>
    </row>
    <row r="2" spans="1:2" ht="15.75" x14ac:dyDescent="0.25">
      <c r="A2" s="202"/>
    </row>
    <row r="3" spans="1:2" ht="15.75" x14ac:dyDescent="0.25">
      <c r="A3" s="203" t="s">
        <v>198</v>
      </c>
      <c r="B3" s="203" t="s">
        <v>181</v>
      </c>
    </row>
    <row r="4" spans="1:2" x14ac:dyDescent="0.2">
      <c r="A4" s="204" t="s">
        <v>656</v>
      </c>
      <c r="B4" s="7">
        <f>'ALL EM Rank'!F36</f>
        <v>0.40904709292582375</v>
      </c>
    </row>
    <row r="5" spans="1:2" x14ac:dyDescent="0.2">
      <c r="A5" s="204" t="s">
        <v>657</v>
      </c>
      <c r="B5" s="7">
        <f>'ALL EM Rank'!D36</f>
        <v>-0.4344438713547758</v>
      </c>
    </row>
    <row r="6" spans="1:2" x14ac:dyDescent="0.2">
      <c r="A6" s="204" t="s">
        <v>658</v>
      </c>
      <c r="B6" s="7">
        <f>'ALL EM Rank'!B36</f>
        <v>0.79430763400157911</v>
      </c>
    </row>
    <row r="7" spans="1:2" x14ac:dyDescent="0.2">
      <c r="A7" s="204" t="s">
        <v>659</v>
      </c>
      <c r="B7" s="7">
        <f>'ALL EM Rank'!H36</f>
        <v>-0.31960967616442937</v>
      </c>
    </row>
    <row r="8" spans="1:2" x14ac:dyDescent="0.2">
      <c r="A8" s="205"/>
      <c r="B8" s="7"/>
    </row>
    <row r="9" spans="1:2" x14ac:dyDescent="0.2">
      <c r="A9" s="204"/>
      <c r="B9" s="7"/>
    </row>
    <row r="10" spans="1:2" x14ac:dyDescent="0.2">
      <c r="A10" s="204"/>
      <c r="B10" s="7"/>
    </row>
    <row r="11" spans="1:2" x14ac:dyDescent="0.2">
      <c r="A11" s="204"/>
      <c r="B11" s="7"/>
    </row>
    <row r="12" spans="1:2" ht="15.75" x14ac:dyDescent="0.25">
      <c r="A12" s="203" t="s">
        <v>199</v>
      </c>
      <c r="B12" s="7"/>
    </row>
    <row r="13" spans="1:2" x14ac:dyDescent="0.2">
      <c r="A13" s="204" t="s">
        <v>660</v>
      </c>
      <c r="B13" s="7">
        <f>'ALL EM Rank'!L36</f>
        <v>-0.1505226403959298</v>
      </c>
    </row>
    <row r="14" spans="1:2" x14ac:dyDescent="0.2">
      <c r="A14" s="204" t="s">
        <v>661</v>
      </c>
      <c r="B14" s="7">
        <f>'ALL EM Rank'!N36</f>
        <v>-0.23087278260713512</v>
      </c>
    </row>
    <row r="15" spans="1:2" x14ac:dyDescent="0.2">
      <c r="A15" s="204" t="s">
        <v>662</v>
      </c>
      <c r="B15" s="7">
        <f>'ALL EM Rank'!P36</f>
        <v>-0.20049638710730583</v>
      </c>
    </row>
    <row r="16" spans="1:2" x14ac:dyDescent="0.2">
      <c r="A16" s="204" t="s">
        <v>663</v>
      </c>
      <c r="B16" s="7">
        <f>'ALL EM Rank'!R36</f>
        <v>-1.4542829518588116</v>
      </c>
    </row>
    <row r="17" spans="1:2" x14ac:dyDescent="0.2">
      <c r="A17" s="204"/>
      <c r="B17" s="7"/>
    </row>
    <row r="18" spans="1:2" x14ac:dyDescent="0.2">
      <c r="A18" s="206" t="s">
        <v>634</v>
      </c>
      <c r="B18" s="7">
        <f>'ALL EM Rank'!V36</f>
        <v>0.85531297104004989</v>
      </c>
    </row>
    <row r="20" spans="1:2" x14ac:dyDescent="0.2">
      <c r="A20" s="1" t="s">
        <v>664</v>
      </c>
      <c r="B20" s="7">
        <f>'ALL EM Rank'!X36</f>
        <v>-0.6168030030358066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2" tint="-0.249977111117893"/>
    <pageSetUpPr fitToPage="1"/>
  </sheetPr>
  <dimension ref="A2:X51"/>
  <sheetViews>
    <sheetView workbookViewId="0">
      <selection activeCell="G10" sqref="G10"/>
    </sheetView>
  </sheetViews>
  <sheetFormatPr defaultRowHeight="12.75" x14ac:dyDescent="0.2"/>
  <cols>
    <col min="1" max="1" width="30.42578125" customWidth="1"/>
    <col min="2" max="2" width="13" customWidth="1"/>
    <col min="3" max="5" width="9.140625" customWidth="1"/>
    <col min="6" max="6" width="20.140625" bestFit="1" customWidth="1"/>
    <col min="7" max="7" width="6.85546875" customWidth="1"/>
    <col min="8" max="8" width="15.140625" bestFit="1" customWidth="1"/>
    <col min="9" max="9" width="13" customWidth="1"/>
    <col min="11" max="11" width="30.5703125" customWidth="1"/>
    <col min="12" max="12" width="13" customWidth="1"/>
    <col min="13" max="14" width="9.140625" customWidth="1"/>
    <col min="16" max="16" width="20.140625" bestFit="1" customWidth="1"/>
    <col min="17" max="17" width="6.85546875" customWidth="1"/>
    <col min="18" max="18" width="15.140625" bestFit="1" customWidth="1"/>
  </cols>
  <sheetData>
    <row r="2" spans="1:24" ht="20.25" x14ac:dyDescent="0.3">
      <c r="A2" s="219" t="s">
        <v>682</v>
      </c>
      <c r="K2" s="219" t="s">
        <v>681</v>
      </c>
    </row>
    <row r="3" spans="1:24" ht="18" x14ac:dyDescent="0.25">
      <c r="A3" s="220"/>
      <c r="K3" s="220"/>
    </row>
    <row r="4" spans="1:24" ht="38.25" customHeight="1" x14ac:dyDescent="0.25">
      <c r="A4" s="207" t="s">
        <v>199</v>
      </c>
      <c r="B4" s="220" t="s">
        <v>193</v>
      </c>
      <c r="C4" s="223"/>
      <c r="D4" s="223"/>
      <c r="E4" s="223"/>
      <c r="F4" s="224" t="s">
        <v>667</v>
      </c>
      <c r="G4" s="224"/>
      <c r="H4" s="224" t="s">
        <v>666</v>
      </c>
      <c r="I4" s="17"/>
      <c r="K4" s="207" t="s">
        <v>199</v>
      </c>
      <c r="L4" s="220" t="s">
        <v>193</v>
      </c>
      <c r="M4" s="223"/>
      <c r="N4" s="223"/>
      <c r="O4" s="223"/>
      <c r="P4" s="224" t="s">
        <v>667</v>
      </c>
      <c r="Q4" s="224"/>
      <c r="R4" s="224" t="s">
        <v>666</v>
      </c>
    </row>
    <row r="5" spans="1:24" ht="15" x14ac:dyDescent="0.2">
      <c r="A5" s="222" t="s">
        <v>679</v>
      </c>
      <c r="B5" s="225">
        <v>-1.403722926480792</v>
      </c>
      <c r="C5" s="222"/>
      <c r="D5" s="226">
        <v>1.403722926480792</v>
      </c>
      <c r="E5" s="226"/>
      <c r="F5" s="227">
        <f>D5/$D$10</f>
        <v>0.68964400916561019</v>
      </c>
      <c r="G5" s="222"/>
      <c r="H5" s="228">
        <f>D5/$D$49</f>
        <v>0.2552445301904942</v>
      </c>
      <c r="I5" s="228"/>
      <c r="J5" s="222"/>
      <c r="K5" s="222" t="s">
        <v>679</v>
      </c>
      <c r="L5" s="225">
        <v>-1.8520000000000001</v>
      </c>
      <c r="M5" s="222"/>
      <c r="N5" s="226">
        <v>1.8520000000000001</v>
      </c>
      <c r="O5" s="226"/>
      <c r="P5" s="227">
        <f>N5/$N$10</f>
        <v>0.68193534133588629</v>
      </c>
      <c r="Q5" s="222"/>
      <c r="R5" s="227">
        <f>N5/$N$49</f>
        <v>0.28225253371942388</v>
      </c>
      <c r="U5" s="19"/>
      <c r="V5" s="190"/>
      <c r="W5" s="19"/>
      <c r="X5" s="20"/>
    </row>
    <row r="6" spans="1:24" ht="15" x14ac:dyDescent="0.2">
      <c r="A6" s="222" t="s">
        <v>168</v>
      </c>
      <c r="B6" s="225">
        <v>-0.29868562230409756</v>
      </c>
      <c r="C6" s="222"/>
      <c r="D6" s="226">
        <v>0.29868562230409756</v>
      </c>
      <c r="E6" s="226"/>
      <c r="F6" s="227">
        <f>D6/$D$10</f>
        <v>0.14674316858409001</v>
      </c>
      <c r="G6" s="222"/>
      <c r="H6" s="228">
        <f>D6/$D$49</f>
        <v>5.4311196249246407E-2</v>
      </c>
      <c r="I6" s="228"/>
      <c r="J6" s="222"/>
      <c r="K6" s="222" t="s">
        <v>168</v>
      </c>
      <c r="L6" s="225">
        <v>-0.441</v>
      </c>
      <c r="M6" s="222"/>
      <c r="N6" s="226">
        <v>0.441</v>
      </c>
      <c r="O6" s="226"/>
      <c r="P6" s="227">
        <f>N6/$N$10</f>
        <v>0.16238309153840488</v>
      </c>
      <c r="Q6" s="222"/>
      <c r="R6" s="227">
        <f>N6/$N$49</f>
        <v>6.721024156061875E-2</v>
      </c>
      <c r="U6" s="19"/>
      <c r="V6" s="190"/>
      <c r="W6" s="19"/>
      <c r="X6" s="20"/>
    </row>
    <row r="7" spans="1:24" ht="15" x14ac:dyDescent="0.2">
      <c r="A7" s="222" t="s">
        <v>167</v>
      </c>
      <c r="B7" s="225">
        <v>-0.19336042634762884</v>
      </c>
      <c r="C7" s="222"/>
      <c r="D7" s="226">
        <v>0.19336042634762884</v>
      </c>
      <c r="E7" s="226"/>
      <c r="F7" s="227">
        <f>D7/$D$10</f>
        <v>9.4997279822639655E-2</v>
      </c>
      <c r="G7" s="222"/>
      <c r="H7" s="228">
        <f>D7/$D$49</f>
        <v>3.5159496400238875E-2</v>
      </c>
      <c r="I7" s="228"/>
      <c r="J7" s="222"/>
      <c r="K7" s="222" t="s">
        <v>680</v>
      </c>
      <c r="L7" s="225">
        <v>-0.2631</v>
      </c>
      <c r="M7" s="222"/>
      <c r="N7" s="226">
        <v>0.2631</v>
      </c>
      <c r="O7" s="226"/>
      <c r="P7" s="227">
        <f>N7/$N$10</f>
        <v>9.6877531482436108E-2</v>
      </c>
      <c r="Q7" s="222"/>
      <c r="R7" s="227">
        <f>N7/$N$49</f>
        <v>4.0097538672559628E-2</v>
      </c>
      <c r="U7" s="19"/>
      <c r="V7" s="190"/>
      <c r="W7" s="19"/>
      <c r="X7" s="20"/>
    </row>
    <row r="8" spans="1:24" ht="15" x14ac:dyDescent="0.2">
      <c r="A8" s="222" t="s">
        <v>680</v>
      </c>
      <c r="B8" s="225">
        <v>-0.13966221519875852</v>
      </c>
      <c r="C8" s="222"/>
      <c r="D8" s="226">
        <v>0.13966221519875852</v>
      </c>
      <c r="E8" s="226"/>
      <c r="F8" s="227">
        <f>D8/$D$10</f>
        <v>6.8615542427660145E-2</v>
      </c>
      <c r="G8" s="222"/>
      <c r="H8" s="228">
        <f>D8/$D$49</f>
        <v>2.5395336808484201E-2</v>
      </c>
      <c r="I8" s="228"/>
      <c r="J8" s="222"/>
      <c r="K8" s="222" t="s">
        <v>167</v>
      </c>
      <c r="L8" s="225">
        <v>-0.15970000000000001</v>
      </c>
      <c r="M8" s="222"/>
      <c r="N8" s="226">
        <v>0.15970000000000001</v>
      </c>
      <c r="O8" s="226"/>
      <c r="P8" s="227">
        <f>N8/$N$10</f>
        <v>5.8804035643272697E-2</v>
      </c>
      <c r="Q8" s="222"/>
      <c r="R8" s="227">
        <f>N8/$N$49</f>
        <v>2.4338946887144709E-2</v>
      </c>
      <c r="U8" s="19"/>
      <c r="V8" s="190"/>
      <c r="W8" s="19"/>
      <c r="X8" s="20"/>
    </row>
    <row r="9" spans="1:24" ht="15.75" x14ac:dyDescent="0.25">
      <c r="A9" s="222"/>
      <c r="B9" s="225"/>
      <c r="C9" s="222"/>
      <c r="D9" s="226"/>
      <c r="E9" s="226"/>
      <c r="F9" s="229"/>
      <c r="G9" s="222"/>
      <c r="H9" s="230"/>
      <c r="I9" s="230"/>
      <c r="J9" s="222"/>
      <c r="K9" s="222"/>
      <c r="L9" s="225"/>
      <c r="M9" s="222"/>
      <c r="N9" s="226"/>
      <c r="O9" s="226"/>
      <c r="P9" s="231"/>
      <c r="Q9" s="222"/>
      <c r="R9" s="230"/>
      <c r="U9" s="18"/>
      <c r="V9" s="190"/>
      <c r="W9" s="19"/>
      <c r="X9" s="20"/>
    </row>
    <row r="10" spans="1:24" ht="15.75" x14ac:dyDescent="0.25">
      <c r="A10" s="202" t="s">
        <v>76</v>
      </c>
      <c r="B10" s="225"/>
      <c r="C10" s="222"/>
      <c r="D10" s="226">
        <f>SUM(D5:D8)</f>
        <v>2.035431190331277</v>
      </c>
      <c r="E10" s="226"/>
      <c r="F10" s="232">
        <f>SUM(F5:F8)</f>
        <v>0.99999999999999989</v>
      </c>
      <c r="G10" s="222"/>
      <c r="H10" s="233">
        <f>SUM(H5:H8)</f>
        <v>0.37011055964846368</v>
      </c>
      <c r="I10" s="234"/>
      <c r="J10" s="222"/>
      <c r="K10" s="202" t="s">
        <v>76</v>
      </c>
      <c r="L10" s="225"/>
      <c r="M10" s="222"/>
      <c r="N10" s="226">
        <f>SUM(N5:N8)</f>
        <v>2.7158000000000002</v>
      </c>
      <c r="O10" s="226"/>
      <c r="P10" s="232">
        <f>SUM(P5:P8)</f>
        <v>1</v>
      </c>
      <c r="Q10" s="222"/>
      <c r="R10" s="233">
        <f>SUM(R5:R8)</f>
        <v>0.41389926083974699</v>
      </c>
      <c r="U10" s="18"/>
      <c r="V10" s="190"/>
      <c r="W10" s="19"/>
      <c r="X10" s="20"/>
    </row>
    <row r="11" spans="1:24" ht="15" x14ac:dyDescent="0.25">
      <c r="A11" s="18"/>
      <c r="B11" s="190"/>
      <c r="C11" s="19"/>
      <c r="D11" s="20"/>
      <c r="E11" s="20"/>
      <c r="F11" s="214"/>
      <c r="G11" s="19"/>
      <c r="H11" s="221"/>
      <c r="I11" s="221"/>
      <c r="K11" s="18"/>
      <c r="L11" s="190"/>
      <c r="M11" s="19"/>
      <c r="N11" s="20"/>
      <c r="O11" s="20"/>
      <c r="P11" s="214"/>
      <c r="Q11" s="19"/>
      <c r="R11" s="221"/>
    </row>
    <row r="12" spans="1:24" ht="15" x14ac:dyDescent="0.25">
      <c r="A12" s="18"/>
      <c r="B12" s="190"/>
      <c r="C12" s="19"/>
      <c r="D12" s="20"/>
      <c r="E12" s="20"/>
      <c r="F12" s="214"/>
      <c r="G12" s="19"/>
      <c r="H12" s="221"/>
      <c r="I12" s="221"/>
      <c r="K12" s="18"/>
      <c r="L12" s="190"/>
      <c r="M12" s="19"/>
      <c r="N12" s="20"/>
      <c r="O12" s="20"/>
      <c r="P12" s="214"/>
      <c r="Q12" s="19"/>
      <c r="R12" s="221"/>
    </row>
    <row r="13" spans="1:24" ht="15" x14ac:dyDescent="0.25">
      <c r="A13" s="18"/>
      <c r="B13" s="190"/>
      <c r="C13" s="19"/>
      <c r="D13" s="20"/>
      <c r="E13" s="20"/>
      <c r="F13" s="19"/>
      <c r="G13" s="19"/>
      <c r="H13" s="21"/>
      <c r="I13" s="211"/>
      <c r="K13" s="18"/>
      <c r="L13" s="190"/>
      <c r="M13" s="19"/>
      <c r="N13" s="20"/>
      <c r="O13" s="20"/>
      <c r="P13" s="20"/>
      <c r="Q13" s="19"/>
      <c r="R13" s="21"/>
    </row>
    <row r="14" spans="1:24" ht="36" x14ac:dyDescent="0.25">
      <c r="A14" s="220" t="s">
        <v>198</v>
      </c>
      <c r="B14" s="236"/>
      <c r="C14" s="223"/>
      <c r="D14" s="237"/>
      <c r="E14" s="237"/>
      <c r="F14" s="224" t="s">
        <v>667</v>
      </c>
      <c r="G14" s="223"/>
      <c r="H14" s="224" t="s">
        <v>666</v>
      </c>
      <c r="I14" s="238"/>
      <c r="J14" s="223"/>
      <c r="K14" s="220" t="s">
        <v>198</v>
      </c>
      <c r="L14" s="236"/>
      <c r="M14" s="223"/>
      <c r="N14" s="237"/>
      <c r="O14" s="237"/>
      <c r="P14" s="224" t="s">
        <v>667</v>
      </c>
      <c r="Q14" s="223"/>
      <c r="R14" s="224" t="s">
        <v>666</v>
      </c>
    </row>
    <row r="15" spans="1:24" ht="15" x14ac:dyDescent="0.2">
      <c r="A15" s="222" t="s">
        <v>676</v>
      </c>
      <c r="B15" s="225">
        <v>0.81258190775582984</v>
      </c>
      <c r="C15" s="222"/>
      <c r="D15" s="226">
        <v>0.81258190775582984</v>
      </c>
      <c r="E15" s="226"/>
      <c r="F15" s="227">
        <f>D15/$D$20</f>
        <v>0.41862295218325862</v>
      </c>
      <c r="G15" s="222"/>
      <c r="H15" s="228">
        <f>D15/$D$49</f>
        <v>0.14775500447685419</v>
      </c>
      <c r="I15" s="228"/>
      <c r="J15" s="222"/>
      <c r="K15" s="222" t="s">
        <v>676</v>
      </c>
      <c r="L15" s="225">
        <v>0.76800000000000002</v>
      </c>
      <c r="M15" s="222"/>
      <c r="N15" s="226">
        <v>0.76800000000000002</v>
      </c>
      <c r="O15" s="226"/>
      <c r="P15" s="227">
        <f>N15/$N$20</f>
        <v>0.3660629170638704</v>
      </c>
      <c r="Q15" s="222"/>
      <c r="R15" s="227">
        <f>N15/$N$49</f>
        <v>0.11704640707155375</v>
      </c>
      <c r="U15" s="19"/>
      <c r="V15" s="190"/>
      <c r="W15" s="19"/>
      <c r="X15" s="20"/>
    </row>
    <row r="16" spans="1:24" ht="15" x14ac:dyDescent="0.2">
      <c r="A16" s="222" t="s">
        <v>677</v>
      </c>
      <c r="B16" s="225">
        <v>-0.47521578135319559</v>
      </c>
      <c r="C16" s="222"/>
      <c r="D16" s="226">
        <v>0.47521578135319559</v>
      </c>
      <c r="E16" s="226"/>
      <c r="F16" s="227">
        <f>D16/$D$20</f>
        <v>0.24481991466382289</v>
      </c>
      <c r="G16" s="222"/>
      <c r="H16" s="228">
        <f>D16/$D$49</f>
        <v>8.6410378118352116E-2</v>
      </c>
      <c r="I16" s="228"/>
      <c r="J16" s="222"/>
      <c r="K16" s="222" t="s">
        <v>677</v>
      </c>
      <c r="L16" s="225">
        <v>-0.63200000000000001</v>
      </c>
      <c r="M16" s="222"/>
      <c r="N16" s="226">
        <v>0.63200000000000001</v>
      </c>
      <c r="O16" s="226"/>
      <c r="P16" s="227">
        <f>N16/$N$20</f>
        <v>0.30123927550047669</v>
      </c>
      <c r="Q16" s="222"/>
      <c r="R16" s="227">
        <f>N16/$N$49</f>
        <v>9.6319439152632774E-2</v>
      </c>
      <c r="U16" s="19"/>
      <c r="V16" s="190"/>
      <c r="W16" s="19"/>
      <c r="X16" s="20"/>
    </row>
    <row r="17" spans="1:24" ht="15" x14ac:dyDescent="0.2">
      <c r="A17" s="222" t="s">
        <v>678</v>
      </c>
      <c r="B17" s="225">
        <v>0.36928863453428667</v>
      </c>
      <c r="C17" s="222"/>
      <c r="D17" s="226">
        <v>0.36928863453428667</v>
      </c>
      <c r="E17" s="226"/>
      <c r="F17" s="227">
        <f>D17/$D$20</f>
        <v>0.19024875759714874</v>
      </c>
      <c r="G17" s="222"/>
      <c r="H17" s="228">
        <f>D17/$D$49</f>
        <v>6.7149223146696913E-2</v>
      </c>
      <c r="I17" s="228"/>
      <c r="J17" s="222"/>
      <c r="K17" s="222" t="s">
        <v>678</v>
      </c>
      <c r="L17" s="225">
        <v>0.48499999999999999</v>
      </c>
      <c r="M17" s="222"/>
      <c r="N17" s="226">
        <v>0.48499999999999999</v>
      </c>
      <c r="O17" s="226"/>
      <c r="P17" s="227">
        <f>N17/$N$20</f>
        <v>0.23117254528122022</v>
      </c>
      <c r="Q17" s="222"/>
      <c r="R17" s="227">
        <f>N17/$N$49</f>
        <v>7.3916025299093191E-2</v>
      </c>
      <c r="U17" s="19"/>
      <c r="V17" s="190"/>
      <c r="W17" s="19"/>
      <c r="X17" s="20"/>
    </row>
    <row r="18" spans="1:24" ht="15" x14ac:dyDescent="0.2">
      <c r="A18" s="222" t="s">
        <v>146</v>
      </c>
      <c r="B18" s="225">
        <v>-0.2839967046950615</v>
      </c>
      <c r="C18" s="222"/>
      <c r="D18" s="226">
        <v>0.2839967046950615</v>
      </c>
      <c r="E18" s="226"/>
      <c r="F18" s="227">
        <f>D18/$D$20</f>
        <v>0.14630837555576967</v>
      </c>
      <c r="G18" s="222"/>
      <c r="H18" s="228">
        <f>D18/$D$49</f>
        <v>5.1640251860295736E-2</v>
      </c>
      <c r="I18" s="228"/>
      <c r="J18" s="222"/>
      <c r="K18" s="222" t="s">
        <v>146</v>
      </c>
      <c r="L18" s="225">
        <v>-0.21299999999999999</v>
      </c>
      <c r="M18" s="222"/>
      <c r="N18" s="226">
        <v>0.21299999999999999</v>
      </c>
      <c r="O18" s="226"/>
      <c r="P18" s="227">
        <f>N18/$N$20</f>
        <v>0.10152526215443279</v>
      </c>
      <c r="Q18" s="222"/>
      <c r="R18" s="227">
        <f>N18/$N$49</f>
        <v>3.2462089461251238E-2</v>
      </c>
      <c r="U18" s="19"/>
      <c r="V18" s="190"/>
      <c r="W18" s="19"/>
      <c r="X18" s="20"/>
    </row>
    <row r="19" spans="1:24" ht="15.75" x14ac:dyDescent="0.25">
      <c r="A19" s="202"/>
      <c r="B19" s="225"/>
      <c r="C19" s="222"/>
      <c r="D19" s="226"/>
      <c r="E19" s="226"/>
      <c r="F19" s="229"/>
      <c r="G19" s="222"/>
      <c r="H19" s="235"/>
      <c r="I19" s="235"/>
      <c r="J19" s="222"/>
      <c r="K19" s="202"/>
      <c r="L19" s="225"/>
      <c r="M19" s="222"/>
      <c r="N19" s="226"/>
      <c r="O19" s="226"/>
      <c r="P19" s="231"/>
      <c r="Q19" s="222"/>
      <c r="R19" s="230"/>
      <c r="U19" s="19"/>
      <c r="V19" s="190"/>
      <c r="W19" s="19"/>
      <c r="X19" s="20"/>
    </row>
    <row r="20" spans="1:24" ht="15.75" x14ac:dyDescent="0.25">
      <c r="A20" s="202" t="s">
        <v>76</v>
      </c>
      <c r="B20" s="225"/>
      <c r="C20" s="222"/>
      <c r="D20" s="226">
        <f>SUM(D15:D18)</f>
        <v>1.9410830283383738</v>
      </c>
      <c r="E20" s="226"/>
      <c r="F20" s="232">
        <f>SUM(F15:F18)</f>
        <v>1</v>
      </c>
      <c r="G20" s="222"/>
      <c r="H20" s="233">
        <f>SUM(H15:H18)</f>
        <v>0.35295485760219897</v>
      </c>
      <c r="I20" s="234"/>
      <c r="J20" s="222"/>
      <c r="K20" s="202" t="s">
        <v>76</v>
      </c>
      <c r="L20" s="225"/>
      <c r="M20" s="222"/>
      <c r="N20" s="226">
        <f>SUM(N15:N18)</f>
        <v>2.0979999999999999</v>
      </c>
      <c r="O20" s="226"/>
      <c r="P20" s="232">
        <f>SUM(P15:P18)</f>
        <v>1</v>
      </c>
      <c r="Q20" s="222"/>
      <c r="R20" s="233">
        <f>SUM(R15:R18)</f>
        <v>0.31974396098453095</v>
      </c>
      <c r="U20" s="18"/>
      <c r="V20" s="190"/>
      <c r="W20" s="19"/>
      <c r="X20" s="20"/>
    </row>
    <row r="21" spans="1:24" ht="15" x14ac:dyDescent="0.25">
      <c r="A21" s="18"/>
      <c r="B21" s="190"/>
      <c r="C21" s="19"/>
      <c r="D21" s="20"/>
      <c r="E21" s="20"/>
      <c r="F21" s="214"/>
      <c r="G21" s="19"/>
      <c r="H21" s="221"/>
      <c r="I21" s="221"/>
      <c r="K21" s="18"/>
      <c r="L21" s="190"/>
      <c r="M21" s="19"/>
      <c r="N21" s="20"/>
      <c r="O21" s="20"/>
      <c r="P21" s="214"/>
      <c r="Q21" s="19"/>
      <c r="R21" s="221"/>
    </row>
    <row r="22" spans="1:24" ht="15" x14ac:dyDescent="0.25">
      <c r="A22" s="18"/>
      <c r="B22" s="190"/>
      <c r="C22" s="19"/>
      <c r="D22" s="20"/>
      <c r="E22" s="20"/>
      <c r="F22" s="214"/>
      <c r="G22" s="19"/>
      <c r="H22" s="221"/>
      <c r="I22" s="221"/>
      <c r="K22" s="18"/>
      <c r="L22" s="190"/>
      <c r="M22" s="19"/>
      <c r="N22" s="20"/>
      <c r="O22" s="20"/>
      <c r="P22" s="214"/>
      <c r="Q22" s="19"/>
      <c r="R22" s="221"/>
    </row>
    <row r="23" spans="1:24" ht="15" x14ac:dyDescent="0.25">
      <c r="A23" s="18"/>
      <c r="B23" s="190"/>
      <c r="C23" s="19"/>
      <c r="D23" s="20"/>
      <c r="E23" s="20"/>
      <c r="F23" s="213"/>
      <c r="G23" s="19"/>
      <c r="H23" s="216"/>
      <c r="I23" s="217"/>
      <c r="K23" s="18"/>
      <c r="L23" s="190"/>
      <c r="M23" s="19"/>
      <c r="N23" s="20"/>
      <c r="O23" s="20"/>
      <c r="P23" s="20"/>
      <c r="Q23" s="19"/>
      <c r="R23" s="216"/>
    </row>
    <row r="24" spans="1:24" ht="36" x14ac:dyDescent="0.25">
      <c r="A24" s="207" t="s">
        <v>665</v>
      </c>
      <c r="B24" s="239">
        <v>0.8900187526593043</v>
      </c>
      <c r="C24" s="240"/>
      <c r="D24" s="241">
        <v>0.8900187526593043</v>
      </c>
      <c r="E24" s="241"/>
      <c r="F24" s="224" t="s">
        <v>667</v>
      </c>
      <c r="G24" s="223"/>
      <c r="H24" s="224" t="s">
        <v>666</v>
      </c>
      <c r="I24" s="242">
        <v>0.16183565438571781</v>
      </c>
      <c r="J24" s="223"/>
      <c r="K24" s="207" t="s">
        <v>665</v>
      </c>
      <c r="L24" s="239">
        <v>1.0125999999999999</v>
      </c>
      <c r="M24" s="240"/>
      <c r="N24" s="241">
        <v>1.0125999999999999</v>
      </c>
      <c r="O24" s="241"/>
      <c r="P24" s="224" t="s">
        <v>667</v>
      </c>
      <c r="Q24" s="223"/>
      <c r="R24" s="224" t="s">
        <v>666</v>
      </c>
      <c r="S24" s="218">
        <f>$N$24/$N$49</f>
        <v>0.15432446849043663</v>
      </c>
    </row>
    <row r="25" spans="1:24" ht="15" x14ac:dyDescent="0.2">
      <c r="A25" s="222" t="s">
        <v>671</v>
      </c>
      <c r="B25" s="225">
        <v>0.77900000000000003</v>
      </c>
      <c r="C25" s="222"/>
      <c r="D25" s="226">
        <v>0.77900000000000003</v>
      </c>
      <c r="E25" s="226"/>
      <c r="F25" s="227">
        <f t="shared" ref="F25:F37" si="0">D25/$D$39</f>
        <v>0.15509957034034302</v>
      </c>
      <c r="G25" s="222"/>
      <c r="H25" s="244">
        <f>((F25*100)*$I$24)/100</f>
        <v>2.5100640460973087E-2</v>
      </c>
      <c r="I25" s="245"/>
      <c r="J25" s="222"/>
      <c r="K25" s="222" t="s">
        <v>671</v>
      </c>
      <c r="L25" s="225">
        <v>0.77900000000000003</v>
      </c>
      <c r="M25" s="222"/>
      <c r="N25" s="226">
        <v>0.77900000000000003</v>
      </c>
      <c r="O25" s="226"/>
      <c r="P25" s="227">
        <f t="shared" ref="P25:P37" si="1">N25/$N$39</f>
        <v>0.14979156090882523</v>
      </c>
      <c r="Q25" s="222"/>
      <c r="R25" s="244">
        <f>((P25*100)*$S$24)/100</f>
        <v>2.3116503021607317E-2</v>
      </c>
    </row>
    <row r="26" spans="1:24" ht="15" x14ac:dyDescent="0.2">
      <c r="A26" s="222" t="s">
        <v>669</v>
      </c>
      <c r="B26" s="225"/>
      <c r="C26" s="222"/>
      <c r="D26" s="226">
        <v>0.74850000000000005</v>
      </c>
      <c r="E26" s="226"/>
      <c r="F26" s="227">
        <f t="shared" si="0"/>
        <v>0.14902699409466849</v>
      </c>
      <c r="G26" s="222"/>
      <c r="H26" s="244">
        <f t="shared" ref="H26:H37" si="2">((F26*100)*$I$24)/100</f>
        <v>2.411788111044718E-2</v>
      </c>
      <c r="I26" s="245"/>
      <c r="J26" s="222"/>
      <c r="K26" s="222" t="s">
        <v>669</v>
      </c>
      <c r="L26" s="225"/>
      <c r="M26" s="222"/>
      <c r="N26" s="226">
        <v>0.67769999999999997</v>
      </c>
      <c r="O26" s="226"/>
      <c r="P26" s="227">
        <f t="shared" si="1"/>
        <v>0.13031288938114358</v>
      </c>
      <c r="Q26" s="222"/>
      <c r="R26" s="244">
        <f t="shared" ref="R26:R37" si="3">((P26*100)*$S$24)/100</f>
        <v>2.011046739119805E-2</v>
      </c>
    </row>
    <row r="27" spans="1:24" ht="15" x14ac:dyDescent="0.2">
      <c r="A27" s="222" t="s">
        <v>450</v>
      </c>
      <c r="B27" s="225"/>
      <c r="C27" s="222"/>
      <c r="D27" s="226">
        <v>0.72260000000000002</v>
      </c>
      <c r="E27" s="226"/>
      <c r="F27" s="227">
        <f t="shared" si="0"/>
        <v>0.14387028180735797</v>
      </c>
      <c r="G27" s="222"/>
      <c r="H27" s="244">
        <f t="shared" si="2"/>
        <v>2.3283341202951408E-2</v>
      </c>
      <c r="I27" s="245"/>
      <c r="J27" s="222"/>
      <c r="K27" s="222" t="s">
        <v>668</v>
      </c>
      <c r="L27" s="225"/>
      <c r="M27" s="222"/>
      <c r="N27" s="226">
        <v>0.62370000000000003</v>
      </c>
      <c r="O27" s="226"/>
      <c r="P27" s="227">
        <f t="shared" si="1"/>
        <v>0.11992939221929948</v>
      </c>
      <c r="Q27" s="222"/>
      <c r="R27" s="244">
        <f t="shared" si="3"/>
        <v>1.8508039710624497E-2</v>
      </c>
    </row>
    <row r="28" spans="1:24" ht="15" x14ac:dyDescent="0.2">
      <c r="A28" s="222" t="s">
        <v>670</v>
      </c>
      <c r="B28" s="225"/>
      <c r="C28" s="222"/>
      <c r="D28" s="226">
        <v>0.61660000000000004</v>
      </c>
      <c r="E28" s="226"/>
      <c r="F28" s="227">
        <f t="shared" si="0"/>
        <v>0.12276559059288256</v>
      </c>
      <c r="G28" s="222"/>
      <c r="H28" s="244">
        <f t="shared" si="2"/>
        <v>1.9867849689648272E-2</v>
      </c>
      <c r="I28" s="245"/>
      <c r="J28" s="222"/>
      <c r="K28" s="222" t="s">
        <v>670</v>
      </c>
      <c r="L28" s="225"/>
      <c r="M28" s="222"/>
      <c r="N28" s="226">
        <v>0.59230000000000005</v>
      </c>
      <c r="O28" s="226"/>
      <c r="P28" s="227">
        <f t="shared" si="1"/>
        <v>0.11389158090667161</v>
      </c>
      <c r="Q28" s="222"/>
      <c r="R28" s="244">
        <f t="shared" si="3"/>
        <v>1.7576257688957656E-2</v>
      </c>
    </row>
    <row r="29" spans="1:24" ht="15.75" hidden="1" x14ac:dyDescent="0.25">
      <c r="A29" s="202" t="s">
        <v>672</v>
      </c>
      <c r="B29" s="225">
        <v>0.62090000000000001</v>
      </c>
      <c r="C29" s="222"/>
      <c r="D29" s="246">
        <f>SUM(D25:D28)</f>
        <v>2.8667000000000002</v>
      </c>
      <c r="E29" s="246"/>
      <c r="F29" s="227">
        <f t="shared" si="0"/>
        <v>0.57076243683525207</v>
      </c>
      <c r="G29" s="222"/>
      <c r="H29" s="244">
        <f t="shared" si="2"/>
        <v>9.236971246401994E-2</v>
      </c>
      <c r="I29" s="235"/>
      <c r="J29" s="222"/>
      <c r="K29" s="202" t="s">
        <v>672</v>
      </c>
      <c r="L29" s="225">
        <v>0.86280000000000001</v>
      </c>
      <c r="M29" s="222"/>
      <c r="N29" s="226"/>
      <c r="O29" s="226"/>
      <c r="P29" s="227">
        <f t="shared" si="1"/>
        <v>0</v>
      </c>
      <c r="Q29" s="222"/>
      <c r="R29" s="244">
        <f t="shared" si="3"/>
        <v>0</v>
      </c>
    </row>
    <row r="30" spans="1:24" ht="15" x14ac:dyDescent="0.2">
      <c r="A30" s="222" t="s">
        <v>668</v>
      </c>
      <c r="B30" s="225"/>
      <c r="C30" s="222"/>
      <c r="D30" s="226">
        <v>0.52649999999999997</v>
      </c>
      <c r="E30" s="226"/>
      <c r="F30" s="227">
        <f t="shared" si="0"/>
        <v>0.10482660306057844</v>
      </c>
      <c r="G30" s="247"/>
      <c r="H30" s="244">
        <f t="shared" si="2"/>
        <v>1.6964681903340599E-2</v>
      </c>
      <c r="I30" s="245"/>
      <c r="J30" s="222"/>
      <c r="K30" s="222" t="s">
        <v>443</v>
      </c>
      <c r="L30" s="225"/>
      <c r="M30" s="222"/>
      <c r="N30" s="226">
        <v>0.56850000000000001</v>
      </c>
      <c r="O30" s="226"/>
      <c r="P30" s="227">
        <f t="shared" si="1"/>
        <v>0.10931515067608105</v>
      </c>
      <c r="Q30" s="222"/>
      <c r="R30" s="244">
        <f t="shared" si="3"/>
        <v>1.6870002526038201E-2</v>
      </c>
    </row>
    <row r="31" spans="1:24" ht="15" x14ac:dyDescent="0.2">
      <c r="A31" s="222" t="s">
        <v>443</v>
      </c>
      <c r="B31" s="225"/>
      <c r="C31" s="222"/>
      <c r="D31" s="226">
        <v>0.44240000000000002</v>
      </c>
      <c r="E31" s="226"/>
      <c r="F31" s="227">
        <f t="shared" si="0"/>
        <v>8.8082220691357835E-2</v>
      </c>
      <c r="G31" s="247"/>
      <c r="H31" s="244">
        <f t="shared" si="2"/>
        <v>1.4254843825333111E-2</v>
      </c>
      <c r="I31" s="245"/>
      <c r="J31" s="222"/>
      <c r="K31" s="222" t="s">
        <v>450</v>
      </c>
      <c r="L31" s="225"/>
      <c r="M31" s="222"/>
      <c r="N31" s="226">
        <v>0.56799999999999995</v>
      </c>
      <c r="O31" s="226"/>
      <c r="P31" s="227">
        <f t="shared" si="1"/>
        <v>0.10921900718384174</v>
      </c>
      <c r="Q31" s="222"/>
      <c r="R31" s="244">
        <f t="shared" si="3"/>
        <v>1.6855165232699556E-2</v>
      </c>
    </row>
    <row r="32" spans="1:24" ht="15" x14ac:dyDescent="0.2">
      <c r="A32" s="222" t="s">
        <v>451</v>
      </c>
      <c r="B32" s="225"/>
      <c r="C32" s="226">
        <v>0.60319999999999996</v>
      </c>
      <c r="D32" s="226">
        <f>C32*0.7</f>
        <v>0.42223999999999995</v>
      </c>
      <c r="E32" s="226"/>
      <c r="F32" s="227">
        <f t="shared" si="0"/>
        <v>8.4068347343397215E-2</v>
      </c>
      <c r="G32" s="222"/>
      <c r="H32" s="244">
        <f t="shared" si="2"/>
        <v>1.3605256005444511E-2</v>
      </c>
      <c r="I32" s="245"/>
      <c r="J32" s="222"/>
      <c r="K32" s="222" t="s">
        <v>451</v>
      </c>
      <c r="L32" s="225"/>
      <c r="M32" s="226">
        <v>0.60029999999999994</v>
      </c>
      <c r="N32" s="226">
        <f>M32*0.7</f>
        <v>0.42020999999999992</v>
      </c>
      <c r="O32" s="226"/>
      <c r="P32" s="227">
        <f t="shared" si="1"/>
        <v>8.0800913747750239E-2</v>
      </c>
      <c r="Q32" s="222"/>
      <c r="R32" s="244">
        <f t="shared" si="3"/>
        <v>1.2469558067663171E-2</v>
      </c>
    </row>
    <row r="33" spans="1:18" ht="15.75" hidden="1" x14ac:dyDescent="0.25">
      <c r="A33" s="202" t="s">
        <v>673</v>
      </c>
      <c r="B33" s="225">
        <v>0.94269999999999998</v>
      </c>
      <c r="C33" s="222"/>
      <c r="D33" s="246">
        <f>SUM(D30:D32)</f>
        <v>1.39114</v>
      </c>
      <c r="E33" s="246"/>
      <c r="F33" s="227">
        <f t="shared" si="0"/>
        <v>0.27697717109533349</v>
      </c>
      <c r="G33" s="222"/>
      <c r="H33" s="244">
        <f t="shared" si="2"/>
        <v>4.4824781734118219E-2</v>
      </c>
      <c r="I33" s="235"/>
      <c r="J33" s="222"/>
      <c r="K33" s="202" t="s">
        <v>673</v>
      </c>
      <c r="L33" s="225">
        <v>1.0717000000000001</v>
      </c>
      <c r="M33" s="222"/>
      <c r="N33" s="226"/>
      <c r="O33" s="226"/>
      <c r="P33" s="227">
        <f t="shared" si="1"/>
        <v>0</v>
      </c>
      <c r="Q33" s="222"/>
      <c r="R33" s="244">
        <f t="shared" si="3"/>
        <v>0</v>
      </c>
    </row>
    <row r="34" spans="1:18" ht="15" x14ac:dyDescent="0.2">
      <c r="A34" s="222" t="s">
        <v>445</v>
      </c>
      <c r="B34" s="225"/>
      <c r="C34" s="222"/>
      <c r="D34" s="226">
        <v>0.33589999999999998</v>
      </c>
      <c r="E34" s="226"/>
      <c r="F34" s="227">
        <f t="shared" si="0"/>
        <v>6.6877979046625444E-2</v>
      </c>
      <c r="G34" s="247"/>
      <c r="H34" s="244">
        <f t="shared" si="2"/>
        <v>1.0823241503004954E-2</v>
      </c>
      <c r="I34" s="245"/>
      <c r="J34" s="222"/>
      <c r="K34" s="222" t="s">
        <v>445</v>
      </c>
      <c r="L34" s="225"/>
      <c r="M34" s="222"/>
      <c r="N34" s="226">
        <v>0.42009999999999997</v>
      </c>
      <c r="O34" s="226"/>
      <c r="P34" s="227">
        <f t="shared" si="1"/>
        <v>8.0779762179457607E-2</v>
      </c>
      <c r="Q34" s="222"/>
      <c r="R34" s="244">
        <f t="shared" si="3"/>
        <v>1.2466293863128671E-2</v>
      </c>
    </row>
    <row r="35" spans="1:18" ht="15" x14ac:dyDescent="0.2">
      <c r="A35" s="222" t="s">
        <v>447</v>
      </c>
      <c r="B35" s="225"/>
      <c r="C35" s="222"/>
      <c r="D35" s="226">
        <v>0.24679999999999999</v>
      </c>
      <c r="E35" s="226"/>
      <c r="F35" s="227">
        <f t="shared" si="0"/>
        <v>4.9138092374835247E-2</v>
      </c>
      <c r="G35" s="247"/>
      <c r="H35" s="244">
        <f t="shared" si="2"/>
        <v>7.9522953347473131E-3</v>
      </c>
      <c r="I35" s="245"/>
      <c r="J35" s="222"/>
      <c r="K35" s="222" t="s">
        <v>447</v>
      </c>
      <c r="L35" s="225"/>
      <c r="M35" s="222"/>
      <c r="N35" s="226">
        <v>0.31509999999999999</v>
      </c>
      <c r="O35" s="226"/>
      <c r="P35" s="227">
        <f t="shared" si="1"/>
        <v>6.0589628809205168E-2</v>
      </c>
      <c r="Q35" s="222"/>
      <c r="R35" s="244">
        <f t="shared" si="3"/>
        <v>9.3504622620134356E-3</v>
      </c>
    </row>
    <row r="36" spans="1:18" s="1" customFormat="1" ht="15.75" hidden="1" x14ac:dyDescent="0.25">
      <c r="A36" s="202" t="s">
        <v>674</v>
      </c>
      <c r="B36" s="225">
        <v>0.6341</v>
      </c>
      <c r="C36" s="202"/>
      <c r="D36" s="246">
        <f>SUM(D34:D35)</f>
        <v>0.5827</v>
      </c>
      <c r="E36" s="246"/>
      <c r="F36" s="227">
        <f t="shared" si="0"/>
        <v>0.1160160714214607</v>
      </c>
      <c r="G36" s="202"/>
      <c r="H36" s="244">
        <f t="shared" si="2"/>
        <v>1.8775536837752269E-2</v>
      </c>
      <c r="I36" s="248"/>
      <c r="J36" s="202"/>
      <c r="K36" s="202" t="s">
        <v>674</v>
      </c>
      <c r="L36" s="225">
        <v>0.74770000000000003</v>
      </c>
      <c r="M36" s="202"/>
      <c r="N36" s="246"/>
      <c r="O36" s="246"/>
      <c r="P36" s="227">
        <f t="shared" si="1"/>
        <v>0</v>
      </c>
      <c r="Q36" s="202"/>
      <c r="R36" s="244">
        <f t="shared" si="3"/>
        <v>0</v>
      </c>
    </row>
    <row r="37" spans="1:18" ht="15" x14ac:dyDescent="0.2">
      <c r="A37" s="222" t="s">
        <v>452</v>
      </c>
      <c r="B37" s="225"/>
      <c r="C37" s="226">
        <v>0.60680000000000001</v>
      </c>
      <c r="D37" s="226">
        <f>C37*0.3</f>
        <v>0.18204000000000001</v>
      </c>
      <c r="E37" s="226"/>
      <c r="F37" s="227">
        <f t="shared" si="0"/>
        <v>3.6244320647953847E-2</v>
      </c>
      <c r="G37" s="222"/>
      <c r="H37" s="244">
        <f t="shared" si="2"/>
        <v>5.8656233498273948E-3</v>
      </c>
      <c r="I37" s="245"/>
      <c r="J37" s="222"/>
      <c r="K37" s="222" t="s">
        <v>452</v>
      </c>
      <c r="L37" s="225"/>
      <c r="M37" s="226">
        <v>0.78649999999999998</v>
      </c>
      <c r="N37" s="226">
        <f>M37*0.3</f>
        <v>0.23594999999999999</v>
      </c>
      <c r="O37" s="226"/>
      <c r="P37" s="227">
        <f t="shared" si="1"/>
        <v>4.5370113987724406E-2</v>
      </c>
      <c r="Q37" s="222"/>
      <c r="R37" s="244">
        <f t="shared" si="3"/>
        <v>7.0017187265060928E-3</v>
      </c>
    </row>
    <row r="38" spans="1:18" ht="15.75" x14ac:dyDescent="0.25">
      <c r="A38" s="222"/>
      <c r="B38" s="249"/>
      <c r="C38" s="222"/>
      <c r="D38" s="226"/>
      <c r="E38" s="226"/>
      <c r="F38" s="222"/>
      <c r="G38" s="222"/>
      <c r="H38" s="250"/>
      <c r="I38" s="251"/>
      <c r="J38" s="222"/>
      <c r="K38" s="202"/>
      <c r="L38" s="225"/>
      <c r="M38" s="222"/>
      <c r="N38" s="226"/>
      <c r="O38" s="226"/>
      <c r="P38" s="226"/>
      <c r="Q38" s="222"/>
      <c r="R38" s="250"/>
    </row>
    <row r="39" spans="1:18" ht="15.75" x14ac:dyDescent="0.25">
      <c r="A39" s="202" t="s">
        <v>76</v>
      </c>
      <c r="B39" s="225">
        <f>B29+B33+B36+B37</f>
        <v>2.1977000000000002</v>
      </c>
      <c r="C39" s="222"/>
      <c r="D39" s="226">
        <f>D25+D26+D27+D28+D30+D31+D32+D34+D35+D37</f>
        <v>5.0225799999999996</v>
      </c>
      <c r="E39" s="226"/>
      <c r="F39" s="227">
        <f>F25+F26+F27+F28+F30+F31+F32+F34+F35+F37</f>
        <v>0.99999999999999989</v>
      </c>
      <c r="G39" s="229"/>
      <c r="H39" s="252">
        <f>H25+H26+H27+H28+H30+H31+H32+H34+H35+H37</f>
        <v>0.16183565438571784</v>
      </c>
      <c r="I39" s="228"/>
      <c r="J39" s="222"/>
      <c r="K39" s="202" t="s">
        <v>76</v>
      </c>
      <c r="L39" s="225"/>
      <c r="M39" s="222"/>
      <c r="N39" s="226">
        <f>N25+N26+N27+N28+N30+N31+N32+N34+N35+N37</f>
        <v>5.2005599999999994</v>
      </c>
      <c r="O39" s="226"/>
      <c r="P39" s="227">
        <f>P25+P26+P27+P28+P30+P31+P32+P34+P35+P37</f>
        <v>0.99999999999999989</v>
      </c>
      <c r="Q39" s="229"/>
      <c r="R39" s="252">
        <f>R25+R26+R27+R28+R30+R31+R32+R34+R35+R37</f>
        <v>0.15432446849043666</v>
      </c>
    </row>
    <row r="40" spans="1:18" ht="15" x14ac:dyDescent="0.25">
      <c r="A40" s="18"/>
      <c r="B40" s="190"/>
      <c r="C40" s="19"/>
      <c r="D40" s="20"/>
      <c r="E40" s="20"/>
      <c r="F40" s="212"/>
      <c r="G40" s="213"/>
      <c r="H40" s="215"/>
      <c r="I40" s="215"/>
      <c r="K40" s="18"/>
      <c r="L40" s="190"/>
      <c r="M40" s="19"/>
      <c r="N40" s="20"/>
      <c r="O40" s="20"/>
      <c r="P40" s="212"/>
      <c r="Q40" s="213"/>
      <c r="R40" s="215"/>
    </row>
    <row r="41" spans="1:18" ht="15" x14ac:dyDescent="0.25">
      <c r="A41" s="18"/>
      <c r="B41" s="190"/>
      <c r="C41" s="19"/>
      <c r="D41" s="20"/>
      <c r="E41" s="20"/>
      <c r="F41" s="212"/>
      <c r="G41" s="213"/>
      <c r="H41" s="215"/>
      <c r="I41" s="215"/>
      <c r="K41" s="18"/>
      <c r="L41" s="190"/>
      <c r="M41" s="19"/>
      <c r="N41" s="20"/>
      <c r="O41" s="20"/>
      <c r="P41" s="212"/>
      <c r="Q41" s="213"/>
      <c r="R41" s="215"/>
    </row>
    <row r="42" spans="1:18" ht="15" x14ac:dyDescent="0.25">
      <c r="A42" s="19"/>
      <c r="B42" s="190"/>
      <c r="C42" s="19"/>
      <c r="D42" s="20"/>
      <c r="E42" s="20"/>
      <c r="F42" s="213"/>
      <c r="G42" s="213"/>
      <c r="H42" s="216"/>
      <c r="I42" s="217"/>
      <c r="K42" s="18"/>
      <c r="L42" s="190"/>
      <c r="M42" s="19"/>
      <c r="N42" s="20"/>
      <c r="O42" s="20"/>
      <c r="P42" s="20"/>
      <c r="Q42" s="19"/>
      <c r="R42" s="21"/>
    </row>
    <row r="43" spans="1:18" ht="36" x14ac:dyDescent="0.25">
      <c r="A43" s="207" t="s">
        <v>664</v>
      </c>
      <c r="B43" s="236">
        <v>-0.63298909652168489</v>
      </c>
      <c r="C43" s="223"/>
      <c r="D43" s="237">
        <v>0.63298909652168489</v>
      </c>
      <c r="E43" s="237"/>
      <c r="F43" s="224" t="s">
        <v>667</v>
      </c>
      <c r="G43" s="223"/>
      <c r="H43" s="224" t="s">
        <v>666</v>
      </c>
      <c r="I43" s="243"/>
      <c r="J43" s="223"/>
      <c r="K43" s="207" t="s">
        <v>664</v>
      </c>
      <c r="L43" s="236">
        <v>-0.73509999999999998</v>
      </c>
      <c r="M43" s="223"/>
      <c r="N43" s="237">
        <v>0.73509999999999998</v>
      </c>
      <c r="O43" s="237"/>
      <c r="P43" s="224" t="s">
        <v>667</v>
      </c>
      <c r="Q43" s="223"/>
      <c r="R43" s="224" t="s">
        <v>666</v>
      </c>
    </row>
    <row r="44" spans="1:18" ht="15.75" x14ac:dyDescent="0.25">
      <c r="A44" s="202"/>
      <c r="B44" s="190"/>
      <c r="C44" s="19"/>
      <c r="D44" s="20"/>
      <c r="E44" s="20"/>
      <c r="F44" s="213"/>
      <c r="G44" s="213"/>
      <c r="H44" s="212"/>
      <c r="I44" s="215"/>
      <c r="K44" s="202"/>
      <c r="L44" s="190"/>
      <c r="M44" s="19"/>
      <c r="N44" s="20"/>
      <c r="O44" s="20"/>
      <c r="P44" s="20"/>
      <c r="Q44" s="19"/>
      <c r="R44" s="212"/>
    </row>
    <row r="45" spans="1:18" ht="15.75" x14ac:dyDescent="0.25">
      <c r="A45" s="202" t="s">
        <v>76</v>
      </c>
      <c r="B45" s="222"/>
      <c r="C45" s="222"/>
      <c r="D45" s="222"/>
      <c r="E45" s="222"/>
      <c r="F45" s="229"/>
      <c r="G45" s="229"/>
      <c r="H45" s="252">
        <f>$D$43/$D$49</f>
        <v>0.1150989283636194</v>
      </c>
      <c r="I45" s="235"/>
      <c r="J45" s="222"/>
      <c r="K45" s="202" t="s">
        <v>76</v>
      </c>
      <c r="L45" s="222"/>
      <c r="M45" s="222"/>
      <c r="N45" s="222"/>
      <c r="O45" s="222"/>
      <c r="P45" s="222"/>
      <c r="Q45" s="222"/>
      <c r="R45" s="252">
        <f>$N$43/$N$49</f>
        <v>0.11203230968528537</v>
      </c>
    </row>
    <row r="46" spans="1:18" ht="15" x14ac:dyDescent="0.2">
      <c r="A46" s="222"/>
      <c r="B46" s="222"/>
      <c r="C46" s="222"/>
      <c r="D46" s="222"/>
      <c r="E46" s="222"/>
      <c r="F46" s="229"/>
      <c r="G46" s="229"/>
      <c r="H46" s="230"/>
      <c r="I46" s="235"/>
      <c r="J46" s="222"/>
      <c r="K46" s="222"/>
      <c r="L46" s="222"/>
      <c r="M46" s="222"/>
      <c r="N46" s="222"/>
      <c r="O46" s="222"/>
      <c r="P46" s="222"/>
      <c r="Q46" s="222"/>
      <c r="R46" s="250"/>
    </row>
    <row r="47" spans="1:18" ht="15" x14ac:dyDescent="0.2">
      <c r="A47" s="222"/>
      <c r="B47" s="222"/>
      <c r="C47" s="222"/>
      <c r="D47" s="222"/>
      <c r="E47" s="222"/>
      <c r="F47" s="229"/>
      <c r="G47" s="229"/>
      <c r="H47" s="230"/>
      <c r="I47" s="235"/>
      <c r="J47" s="222"/>
      <c r="K47" s="222"/>
      <c r="L47" s="222"/>
      <c r="M47" s="222"/>
      <c r="N47" s="222"/>
      <c r="O47" s="222"/>
      <c r="P47" s="222"/>
      <c r="Q47" s="222"/>
      <c r="R47" s="250"/>
    </row>
    <row r="48" spans="1:18" ht="15" x14ac:dyDescent="0.2">
      <c r="A48" s="222"/>
      <c r="B48" s="222"/>
      <c r="C48" s="222"/>
      <c r="D48" s="222"/>
      <c r="E48" s="222"/>
      <c r="F48" s="229"/>
      <c r="G48" s="229"/>
      <c r="H48" s="230"/>
      <c r="I48" s="235"/>
      <c r="J48" s="222"/>
      <c r="K48" s="222"/>
      <c r="L48" s="222"/>
      <c r="M48" s="222"/>
      <c r="N48" s="222"/>
      <c r="O48" s="222"/>
      <c r="P48" s="222"/>
      <c r="Q48" s="222"/>
      <c r="R48" s="250"/>
    </row>
    <row r="49" spans="1:18" ht="15.75" x14ac:dyDescent="0.25">
      <c r="A49" s="202" t="s">
        <v>675</v>
      </c>
      <c r="B49" s="225"/>
      <c r="C49" s="222"/>
      <c r="D49" s="226">
        <f>D10+D20+D24+D43</f>
        <v>5.4995220678506405</v>
      </c>
      <c r="E49" s="226"/>
      <c r="F49" s="229"/>
      <c r="G49" s="229"/>
      <c r="H49" s="253">
        <f>H45+I24+H20+H10</f>
        <v>1</v>
      </c>
      <c r="I49" s="254"/>
      <c r="J49" s="222"/>
      <c r="K49" s="202" t="s">
        <v>675</v>
      </c>
      <c r="L49" s="222"/>
      <c r="M49" s="222"/>
      <c r="N49" s="226">
        <f>N10+N20+N24+N43</f>
        <v>6.5615000000000006</v>
      </c>
      <c r="O49" s="226"/>
      <c r="P49" s="226"/>
      <c r="Q49" s="222"/>
      <c r="R49" s="253">
        <f>R45+S24+R20+R10</f>
        <v>1</v>
      </c>
    </row>
    <row r="51" spans="1:18" x14ac:dyDescent="0.2">
      <c r="D51" s="4"/>
      <c r="E51" s="4"/>
    </row>
  </sheetData>
  <pageMargins left="0.7" right="0.7" top="0.75" bottom="0.75" header="0.3" footer="0.3"/>
  <pageSetup scale="48" orientation="landscape" r:id="rId1"/>
  <headerFooter>
    <oddHeader>&amp;C&amp;18Coefficient Weight Distribution by Criteria and Overall</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18</vt:i4>
      </vt:variant>
    </vt:vector>
  </HeadingPairs>
  <TitlesOfParts>
    <vt:vector size="49" baseType="lpstr">
      <vt:lpstr>Summ Data</vt:lpstr>
      <vt:lpstr>Ext Debt GDP</vt:lpstr>
      <vt:lpstr>Export</vt:lpstr>
      <vt:lpstr>DSR</vt:lpstr>
      <vt:lpstr>Inv GDP</vt:lpstr>
      <vt:lpstr>Summary Drivers</vt:lpstr>
      <vt:lpstr>Coeff Wght Dist</vt:lpstr>
      <vt:lpstr>Summ Data Reg</vt:lpstr>
      <vt:lpstr>Summ Data Rtg</vt:lpstr>
      <vt:lpstr>ALL EM Rank Summary</vt:lpstr>
      <vt:lpstr>Summ Rtg Reg</vt:lpstr>
      <vt:lpstr>ALL EM Rank</vt:lpstr>
      <vt:lpstr>Inflation</vt:lpstr>
      <vt:lpstr>GDP g</vt:lpstr>
      <vt:lpstr>Ext Debt Expo</vt:lpstr>
      <vt:lpstr>Fiscal Bal</vt:lpstr>
      <vt:lpstr>Savings</vt:lpstr>
      <vt:lpstr>FDI</vt:lpstr>
      <vt:lpstr>CA GDP</vt:lpstr>
      <vt:lpstr>FX Res</vt:lpstr>
      <vt:lpstr>Political Risk</vt:lpstr>
      <vt:lpstr>DoingBusiness</vt:lpstr>
      <vt:lpstr>ONDD</vt:lpstr>
      <vt:lpstr>Coface</vt:lpstr>
      <vt:lpstr>Compt. Regress</vt:lpstr>
      <vt:lpstr>Competitiveness</vt:lpstr>
      <vt:lpstr>Comp data</vt:lpstr>
      <vt:lpstr>Stripped Spread</vt:lpstr>
      <vt:lpstr>Coeff</vt:lpstr>
      <vt:lpstr>Coeff Wght Dist (2)</vt:lpstr>
      <vt:lpstr>Sheet1</vt:lpstr>
      <vt:lpstr>'Summary Drivers'!NT000039D2</vt:lpstr>
      <vt:lpstr>'Summary Drivers'!NT000039DA</vt:lpstr>
      <vt:lpstr>'Summary Drivers'!NT00003B7A</vt:lpstr>
      <vt:lpstr>'Summary Drivers'!NT0000404A</vt:lpstr>
      <vt:lpstr>'Summary Drivers'!NT0000404E</vt:lpstr>
      <vt:lpstr>'Summary Drivers'!NT0000405A</vt:lpstr>
      <vt:lpstr>'Summary Drivers'!NT0000405E</vt:lpstr>
      <vt:lpstr>'Summary Drivers'!NT0000406A</vt:lpstr>
      <vt:lpstr>'Summary Drivers'!NT0000406E</vt:lpstr>
      <vt:lpstr>'Summary Drivers'!NT0000408E</vt:lpstr>
      <vt:lpstr>'Summary Drivers'!NT0000FDB2</vt:lpstr>
      <vt:lpstr>'Summary Drivers'!NT0000FDB6</vt:lpstr>
      <vt:lpstr>'Summary Drivers'!NT0000FDBA</vt:lpstr>
      <vt:lpstr>'Summary Drivers'!NT0000FDBE</vt:lpstr>
      <vt:lpstr>'Summary Drivers'!NT0000FDC2</vt:lpstr>
      <vt:lpstr>'ALL EM Rank'!Print_Area</vt:lpstr>
      <vt:lpstr>'Summ Data Rtg'!Print_Area</vt:lpstr>
      <vt:lpstr>'Summary Drivers'!Print_Area</vt:lpstr>
    </vt:vector>
  </TitlesOfParts>
  <Company>MacKay Shields LLC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Fagan</dc:creator>
  <cp:lastModifiedBy>Brian Fagan</cp:lastModifiedBy>
  <cp:lastPrinted>2011-10-19T19:58:47Z</cp:lastPrinted>
  <dcterms:created xsi:type="dcterms:W3CDTF">2009-08-07T20:33:18Z</dcterms:created>
  <dcterms:modified xsi:type="dcterms:W3CDTF">2011-10-19T20:49:26Z</dcterms:modified>
</cp:coreProperties>
</file>