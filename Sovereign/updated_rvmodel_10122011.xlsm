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" yWindow="45" windowWidth="19080" windowHeight="12165"/>
  </bookViews>
  <sheets>
    <sheet name="Rich Cheap" sheetId="5" r:id="rId1"/>
    <sheet name="Rating Region" sheetId="2" r:id="rId2"/>
    <sheet name="Indo" sheetId="4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31" i="5" l="1"/>
  <c r="F30" i="5"/>
  <c r="K12" i="4" l="1"/>
  <c r="K7" i="4"/>
  <c r="K6" i="4"/>
  <c r="H22" i="4"/>
  <c r="F22" i="4"/>
  <c r="H20" i="4"/>
  <c r="F20" i="4"/>
  <c r="H18" i="4"/>
  <c r="F18" i="4"/>
  <c r="Y15" i="4"/>
  <c r="Y14" i="4"/>
  <c r="Y13" i="4"/>
  <c r="Y12" i="4"/>
  <c r="H9" i="4"/>
  <c r="F9" i="4"/>
  <c r="Y7" i="4"/>
  <c r="Y6" i="4"/>
  <c r="Y5" i="4"/>
  <c r="Y4" i="4"/>
  <c r="Q15" i="4"/>
  <c r="Q14" i="4"/>
  <c r="Q13" i="4"/>
  <c r="Q12" i="4"/>
  <c r="Q7" i="4"/>
  <c r="Q6" i="4"/>
  <c r="Q5" i="4"/>
  <c r="Q4" i="4"/>
  <c r="K15" i="4"/>
  <c r="K5" i="4"/>
  <c r="K4" i="4"/>
  <c r="E31" i="5" l="1"/>
  <c r="E5" i="5"/>
  <c r="F5" i="5" s="1"/>
  <c r="G5" i="5" s="1"/>
  <c r="E7" i="5"/>
  <c r="F7" i="5" s="1"/>
  <c r="E8" i="5"/>
  <c r="F8" i="5" s="1"/>
  <c r="E11" i="5"/>
  <c r="F11" i="5" s="1"/>
  <c r="E6" i="5"/>
  <c r="F6" i="5" s="1"/>
  <c r="E21" i="5"/>
  <c r="F21" i="5" s="1"/>
  <c r="E9" i="5"/>
  <c r="F9" i="5" s="1"/>
  <c r="E10" i="5"/>
  <c r="F10" i="5" s="1"/>
  <c r="E17" i="5"/>
  <c r="F17" i="5" s="1"/>
  <c r="E15" i="5"/>
  <c r="F15" i="5" s="1"/>
  <c r="E14" i="5"/>
  <c r="F14" i="5" s="1"/>
  <c r="E13" i="5"/>
  <c r="F13" i="5" s="1"/>
  <c r="E18" i="5"/>
  <c r="F18" i="5" s="1"/>
  <c r="E24" i="5"/>
  <c r="F24" i="5" s="1"/>
  <c r="E12" i="5"/>
  <c r="F12" i="5" s="1"/>
  <c r="E20" i="5"/>
  <c r="F20" i="5" s="1"/>
  <c r="E19" i="5"/>
  <c r="F19" i="5" s="1"/>
  <c r="E16" i="5"/>
  <c r="F16" i="5" s="1"/>
  <c r="E23" i="5"/>
  <c r="F23" i="5" s="1"/>
  <c r="E22" i="5"/>
  <c r="F22" i="5" s="1"/>
  <c r="E26" i="5"/>
  <c r="F26" i="5" s="1"/>
  <c r="E25" i="5"/>
  <c r="F25" i="5" s="1"/>
  <c r="E27" i="5"/>
  <c r="F27" i="5" s="1"/>
  <c r="E28" i="5"/>
  <c r="F28" i="5" s="1"/>
  <c r="G28" i="5" s="1"/>
  <c r="E4" i="5"/>
  <c r="F4" i="5" s="1"/>
  <c r="G4" i="5" s="1"/>
  <c r="M23" i="4"/>
  <c r="M6" i="4"/>
  <c r="M4" i="4"/>
  <c r="F4" i="4"/>
  <c r="S4" i="4"/>
  <c r="H4" i="4"/>
  <c r="M5" i="4"/>
  <c r="F5" i="4"/>
  <c r="S5" i="4"/>
  <c r="H5" i="4"/>
  <c r="F6" i="4"/>
  <c r="S6" i="4"/>
  <c r="H6" i="4"/>
  <c r="M7" i="4"/>
  <c r="F7" i="4"/>
  <c r="S7" i="4"/>
  <c r="S26" i="4"/>
  <c r="H7" i="4"/>
  <c r="M12" i="4"/>
  <c r="F12" i="4"/>
  <c r="S12" i="4"/>
  <c r="H12" i="4"/>
  <c r="M13" i="4"/>
  <c r="F13" i="4"/>
  <c r="S13" i="4"/>
  <c r="S28" i="4"/>
  <c r="H13" i="4"/>
  <c r="M14" i="4"/>
  <c r="F14" i="4"/>
  <c r="S14" i="4"/>
  <c r="H14" i="4"/>
  <c r="M15" i="4"/>
  <c r="F15" i="4"/>
  <c r="S15" i="4"/>
  <c r="H15" i="4"/>
  <c r="S23" i="4"/>
  <c r="M24" i="4"/>
  <c r="S24" i="4"/>
  <c r="M25" i="4"/>
  <c r="M26" i="4"/>
  <c r="M27" i="4"/>
  <c r="M28" i="4"/>
  <c r="S29" i="4"/>
  <c r="M30" i="4"/>
  <c r="S30" i="4"/>
  <c r="M31" i="4"/>
  <c r="S31" i="4"/>
  <c r="M32" i="4"/>
  <c r="S32" i="4"/>
  <c r="M29" i="4"/>
  <c r="S27" i="4"/>
  <c r="S25" i="4"/>
  <c r="H24" i="4"/>
  <c r="F24" i="4"/>
  <c r="G24" i="5" l="1"/>
  <c r="G9" i="5"/>
  <c r="G12" i="5"/>
  <c r="G21" i="5"/>
  <c r="G15" i="5"/>
  <c r="G20" i="5"/>
  <c r="G25" i="5"/>
  <c r="G26" i="5"/>
  <c r="G18" i="5"/>
  <c r="G6" i="5"/>
  <c r="G11" i="5"/>
  <c r="G22" i="5"/>
  <c r="G8" i="5"/>
  <c r="G14" i="5"/>
  <c r="G23" i="5"/>
  <c r="G7" i="5"/>
  <c r="G10" i="5"/>
  <c r="G13" i="5"/>
  <c r="G16" i="5"/>
  <c r="G27" i="5"/>
  <c r="G19" i="5"/>
  <c r="G17" i="5"/>
  <c r="K14" i="4" l="1"/>
  <c r="C13" i="5" l="1"/>
  <c r="C21" i="5"/>
  <c r="C26" i="5"/>
  <c r="C4" i="5"/>
  <c r="C6" i="5"/>
  <c r="C16" i="5"/>
  <c r="C22" i="5"/>
  <c r="C9" i="5"/>
  <c r="C12" i="5"/>
  <c r="C15" i="5" l="1"/>
  <c r="C18" i="5"/>
  <c r="C17" i="5"/>
  <c r="C25" i="5"/>
  <c r="C5" i="5"/>
  <c r="C28" i="5"/>
  <c r="C10" i="5"/>
  <c r="C14" i="5"/>
  <c r="C19" i="5"/>
  <c r="C8" i="5"/>
  <c r="C7" i="5"/>
  <c r="K13" i="4"/>
  <c r="C11" i="5"/>
  <c r="C20" i="5"/>
  <c r="C27" i="5"/>
  <c r="C23" i="5"/>
  <c r="C24" i="5"/>
  <c r="C30" i="5" l="1"/>
  <c r="C31" i="5"/>
  <c r="D6" i="5" l="1"/>
  <c r="I6" i="5" s="1"/>
  <c r="M6" i="5" s="1"/>
  <c r="O6" i="5" s="1"/>
  <c r="D25" i="5"/>
  <c r="I25" i="5" s="1"/>
  <c r="M25" i="5" s="1"/>
  <c r="O25" i="5" s="1"/>
  <c r="D14" i="5"/>
  <c r="I14" i="5" s="1"/>
  <c r="D12" i="5"/>
  <c r="D4" i="5"/>
  <c r="I4" i="5" s="1"/>
  <c r="M4" i="5" s="1"/>
  <c r="O4" i="5" s="1"/>
  <c r="I12" i="5"/>
  <c r="M12" i="5" s="1"/>
  <c r="O12" i="5" s="1"/>
  <c r="M14" i="5"/>
  <c r="O14" i="5" s="1"/>
  <c r="D16" i="5"/>
  <c r="I16" i="5" s="1"/>
  <c r="M16" i="5" s="1"/>
  <c r="O16" i="5" s="1"/>
  <c r="D18" i="5"/>
  <c r="I18" i="5" s="1"/>
  <c r="M18" i="5" s="1"/>
  <c r="O18" i="5" s="1"/>
  <c r="D28" i="5"/>
  <c r="I28" i="5" s="1"/>
  <c r="M28" i="5" s="1"/>
  <c r="O28" i="5" s="1"/>
  <c r="D8" i="5"/>
  <c r="I8" i="5" s="1"/>
  <c r="M8" i="5" s="1"/>
  <c r="O8" i="5" s="1"/>
  <c r="D13" i="5"/>
  <c r="I13" i="5" s="1"/>
  <c r="M13" i="5" s="1"/>
  <c r="O13" i="5" s="1"/>
  <c r="D24" i="5"/>
  <c r="I24" i="5" s="1"/>
  <c r="M24" i="5" s="1"/>
  <c r="O24" i="5" s="1"/>
  <c r="D23" i="5"/>
  <c r="I23" i="5" s="1"/>
  <c r="M23" i="5" s="1"/>
  <c r="O23" i="5" s="1"/>
  <c r="D7" i="5"/>
  <c r="I7" i="5" s="1"/>
  <c r="M7" i="5" s="1"/>
  <c r="O7" i="5" s="1"/>
  <c r="D21" i="5"/>
  <c r="I21" i="5" s="1"/>
  <c r="M21" i="5" s="1"/>
  <c r="O21" i="5" s="1"/>
  <c r="D15" i="5"/>
  <c r="I15" i="5" s="1"/>
  <c r="M15" i="5" s="1"/>
  <c r="O15" i="5" s="1"/>
  <c r="D17" i="5"/>
  <c r="I17" i="5" s="1"/>
  <c r="M17" i="5" s="1"/>
  <c r="O17" i="5" s="1"/>
  <c r="D5" i="5"/>
  <c r="I5" i="5" s="1"/>
  <c r="D10" i="5"/>
  <c r="I10" i="5" s="1"/>
  <c r="M10" i="5" s="1"/>
  <c r="O10" i="5" s="1"/>
  <c r="D19" i="5"/>
  <c r="I19" i="5" s="1"/>
  <c r="M19" i="5" s="1"/>
  <c r="O19" i="5" s="1"/>
  <c r="D22" i="5"/>
  <c r="I22" i="5" s="1"/>
  <c r="M22" i="5" s="1"/>
  <c r="O22" i="5" s="1"/>
  <c r="D9" i="5"/>
  <c r="I9" i="5" s="1"/>
  <c r="M9" i="5" s="1"/>
  <c r="O9" i="5" s="1"/>
  <c r="D26" i="5"/>
  <c r="I26" i="5" s="1"/>
  <c r="M26" i="5" s="1"/>
  <c r="O26" i="5" s="1"/>
  <c r="D11" i="5"/>
  <c r="D27" i="5"/>
  <c r="I27" i="5" s="1"/>
  <c r="M27" i="5" s="1"/>
  <c r="O27" i="5" s="1"/>
  <c r="D20" i="5"/>
  <c r="M5" i="5" l="1"/>
  <c r="O5" i="5" s="1"/>
  <c r="I11" i="5"/>
  <c r="M11" i="5" s="1"/>
  <c r="O11" i="5" s="1"/>
  <c r="I20" i="5"/>
  <c r="M20" i="5" s="1"/>
  <c r="O20" i="5" s="1"/>
</calcChain>
</file>

<file path=xl/comments1.xml><?xml version="1.0" encoding="utf-8"?>
<comments xmlns="http://schemas.openxmlformats.org/spreadsheetml/2006/main">
  <authors>
    <author>Brian Fagan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Independent Variable (X-axis)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Dependent Variable (Y-axis)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EMBI stripped Spread + (Expected spread x St. Dev. Of EMBI stripped spread)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represents the amount of curvature in the data. If this coefficient was negative, the parabola would be upside down. 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represents the amount of overall upward or downward linear (straight-line) trend in the values of Y as you move along the X axis.If you were to calculate a linear trendine this coefficient is the slope of the line.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Represents the overall position of the curve up and down the Y axis; for example, an increase of 1 unit shifts the whole curve up the Y axis by 1 unit.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Predicted value for the dependent variable</t>
        </r>
      </text>
    </comment>
    <comment ref="D29" authorId="0">
      <text>
        <r>
          <rPr>
            <b/>
            <sz val="9"/>
            <color indexed="81"/>
            <rFont val="Tahoma"/>
            <family val="2"/>
          </rPr>
          <t>Brian Fagan:</t>
        </r>
        <r>
          <rPr>
            <sz val="9"/>
            <color indexed="81"/>
            <rFont val="Tahoma"/>
            <family val="2"/>
          </rPr>
          <t xml:space="preserve">
Actual Values</t>
        </r>
      </text>
    </comment>
  </commentList>
</comments>
</file>

<file path=xl/sharedStrings.xml><?xml version="1.0" encoding="utf-8"?>
<sst xmlns="http://schemas.openxmlformats.org/spreadsheetml/2006/main" count="216" uniqueCount="93">
  <si>
    <t>China</t>
  </si>
  <si>
    <t>Indonesia</t>
  </si>
  <si>
    <t>Malaysia</t>
  </si>
  <si>
    <t>Philippines</t>
  </si>
  <si>
    <t>Brazil</t>
  </si>
  <si>
    <t>Argentina</t>
  </si>
  <si>
    <t>Mexico</t>
  </si>
  <si>
    <t>Venezuela</t>
  </si>
  <si>
    <t>Russia</t>
  </si>
  <si>
    <t>Turkey</t>
  </si>
  <si>
    <t>Asia</t>
  </si>
  <si>
    <t>South Africa</t>
  </si>
  <si>
    <t>Chile</t>
  </si>
  <si>
    <t>Colombia</t>
  </si>
  <si>
    <t>Ecuador</t>
  </si>
  <si>
    <t>Hungary</t>
  </si>
  <si>
    <t>Kazakhstan</t>
  </si>
  <si>
    <t>Peru</t>
  </si>
  <si>
    <t>Poland</t>
  </si>
  <si>
    <t>Ukraine</t>
  </si>
  <si>
    <t>Vietnam</t>
  </si>
  <si>
    <t>Egypt</t>
  </si>
  <si>
    <t>Pakistan</t>
  </si>
  <si>
    <t>Panama</t>
  </si>
  <si>
    <t>Uruguay</t>
  </si>
  <si>
    <t>Total</t>
  </si>
  <si>
    <t>Sri Lanka</t>
  </si>
  <si>
    <t>EMEA</t>
  </si>
  <si>
    <t>St Dev</t>
  </si>
  <si>
    <t>LatAm</t>
  </si>
  <si>
    <t>GDP g%</t>
  </si>
  <si>
    <t>Pol Risk</t>
  </si>
  <si>
    <t>Solvency</t>
  </si>
  <si>
    <t>Liquidity</t>
  </si>
  <si>
    <t>Comp &amp; Pol</t>
  </si>
  <si>
    <t>Ratings</t>
  </si>
  <si>
    <t>Region</t>
  </si>
  <si>
    <t>A</t>
  </si>
  <si>
    <t>BBB</t>
  </si>
  <si>
    <t>BB</t>
  </si>
  <si>
    <t>B</t>
  </si>
  <si>
    <t>Sovereign Relative Ranking - 2010</t>
  </si>
  <si>
    <t>Solvency and Liquidity Ratios</t>
  </si>
  <si>
    <t>ETD/Exp</t>
  </si>
  <si>
    <t>External Debt as % of Exports</t>
  </si>
  <si>
    <t>Inflation %</t>
  </si>
  <si>
    <t>Budget/GDP</t>
  </si>
  <si>
    <t xml:space="preserve">National Savings as % of GDP </t>
  </si>
  <si>
    <t xml:space="preserve">Foreign Direct Investment as % of GDP </t>
  </si>
  <si>
    <t xml:space="preserve">Current Account as % of GDP </t>
  </si>
  <si>
    <t xml:space="preserve"> Sav/GDP</t>
  </si>
  <si>
    <t xml:space="preserve"> FDI/GDP</t>
  </si>
  <si>
    <t xml:space="preserve"> CA/GDP</t>
  </si>
  <si>
    <t xml:space="preserve"> Res/M2</t>
  </si>
  <si>
    <t>Rating Benchmark</t>
  </si>
  <si>
    <t>Region Benchmark</t>
  </si>
  <si>
    <t>Inf %</t>
  </si>
  <si>
    <t>St Dev to Rating Bench</t>
  </si>
  <si>
    <t>2 Yr GDP</t>
  </si>
  <si>
    <t>St Dev Asia Region</t>
  </si>
  <si>
    <t>Political Risk</t>
  </si>
  <si>
    <t>GDP Growth Rate</t>
  </si>
  <si>
    <t>Rating 2010</t>
  </si>
  <si>
    <t>STD to Rating Peers</t>
  </si>
  <si>
    <t>STD to Region Peers</t>
  </si>
  <si>
    <t>Competitiveness</t>
  </si>
  <si>
    <t>Fiscal Balance % of GDP</t>
  </si>
  <si>
    <t>FX Reserves / Foreign Debt</t>
  </si>
  <si>
    <t>Competitive</t>
  </si>
  <si>
    <t>FX Res/Debt</t>
  </si>
  <si>
    <t>Fis Bal/GDP</t>
  </si>
  <si>
    <t>Ext Debt/Expo</t>
  </si>
  <si>
    <t>Asia EM 2010</t>
  </si>
  <si>
    <t>Indonesia (Ba2, BB, BB+)</t>
  </si>
  <si>
    <t>MKS Outlook: BB+</t>
  </si>
  <si>
    <t>Stripped Spread</t>
  </si>
  <si>
    <t>October 2010</t>
  </si>
  <si>
    <t>Index</t>
  </si>
  <si>
    <t>Country</t>
  </si>
  <si>
    <t>Average</t>
  </si>
  <si>
    <t>St. Deviation</t>
  </si>
  <si>
    <t>*Goal of polynomial regression: Model a non-linear relationship between the independent and dependent variables</t>
  </si>
  <si>
    <t>Y-Intercept</t>
  </si>
  <si>
    <t>X^2 Coefficient</t>
  </si>
  <si>
    <t>X Coefiiceint</t>
  </si>
  <si>
    <t>Rich/Cheap Spread</t>
  </si>
  <si>
    <t>EMBI Global Diversified</t>
  </si>
  <si>
    <t>Expected Spread</t>
  </si>
  <si>
    <t>Index Z-stat</t>
  </si>
  <si>
    <t>Stripped spread  Z-stat</t>
  </si>
  <si>
    <t>Date</t>
  </si>
  <si>
    <r>
      <rPr>
        <b/>
        <sz val="10"/>
        <rFont val="Arial"/>
        <family val="2"/>
      </rPr>
      <t>R^2 (Coefficient of Determination)</t>
    </r>
    <r>
      <rPr>
        <sz val="10"/>
        <rFont val="Arial"/>
        <family val="2"/>
      </rPr>
      <t>: A 0.8859 R^2 indicates that roughly 89% of the variance in (Y-dependent variable) is predictable from (X-independent variable)</t>
    </r>
  </si>
  <si>
    <t>Expected Spread Z stat.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</si>
</sst>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"/>
    <numFmt numFmtId="165" formatCode="0.00000"/>
    <numFmt numFmtId="166" formatCode="0.0000"/>
    <numFmt numFmtId="167" formatCode="_-* #,##0.00_-;\-* #,##0.00_-;_-* &quot;-&quot;??_-;_-@_-"/>
  </numFmts>
  <fonts count="32" x14ac:knownFonts="1">
    <font>
      <sz val="10"/>
      <name val="Arial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 tint="-0.249977111117893"/>
      <name val="Arial"/>
      <family val="2"/>
    </font>
    <font>
      <i/>
      <sz val="10"/>
      <name val="Helv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3">
    <xf numFmtId="0" fontId="0" fillId="0" borderId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3" fillId="27" borderId="0" applyNumberFormat="0" applyBorder="0" applyAlignment="0" applyProtection="0"/>
    <xf numFmtId="0" fontId="14" fillId="28" borderId="15" applyNumberFormat="0" applyAlignment="0" applyProtection="0"/>
    <xf numFmtId="0" fontId="15" fillId="29" borderId="16" applyNumberFormat="0" applyAlignment="0" applyProtection="0"/>
    <xf numFmtId="0" fontId="16" fillId="0" borderId="0" applyNumberFormat="0" applyFill="0" applyBorder="0" applyAlignment="0" applyProtection="0"/>
    <xf numFmtId="0" fontId="17" fillId="30" borderId="0" applyNumberFormat="0" applyBorder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20" fillId="0" borderId="19" applyNumberFormat="0" applyFill="0" applyAlignment="0" applyProtection="0"/>
    <xf numFmtId="0" fontId="20" fillId="0" borderId="0" applyNumberFormat="0" applyFill="0" applyBorder="0" applyAlignment="0" applyProtection="0"/>
    <xf numFmtId="0" fontId="21" fillId="31" borderId="15" applyNumberFormat="0" applyAlignment="0" applyProtection="0"/>
    <xf numFmtId="0" fontId="22" fillId="0" borderId="20" applyNumberFormat="0" applyFill="0" applyAlignment="0" applyProtection="0"/>
    <xf numFmtId="0" fontId="23" fillId="32" borderId="0" applyNumberFormat="0" applyBorder="0" applyAlignment="0" applyProtection="0"/>
    <xf numFmtId="0" fontId="24" fillId="28" borderId="22" applyNumberFormat="0" applyAlignment="0" applyProtection="0"/>
    <xf numFmtId="0" fontId="25" fillId="0" borderId="0" applyNumberFormat="0" applyFill="0" applyBorder="0" applyAlignment="0" applyProtection="0"/>
    <xf numFmtId="0" fontId="26" fillId="0" borderId="23" applyNumberFormat="0" applyFill="0" applyAlignment="0" applyProtection="0"/>
    <xf numFmtId="0" fontId="27" fillId="0" borderId="0" applyNumberForma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11" fillId="0" borderId="0"/>
    <xf numFmtId="0" fontId="11" fillId="33" borderId="21" applyNumberFormat="0" applyFont="0" applyAlignment="0" applyProtection="0"/>
    <xf numFmtId="0" fontId="29" fillId="0" borderId="24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167" fontId="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1" fillId="0" borderId="0"/>
    <xf numFmtId="0" fontId="11" fillId="3" borderId="0" applyNumberFormat="0" applyBorder="0" applyAlignment="0" applyProtection="0"/>
    <xf numFmtId="0" fontId="11" fillId="9" borderId="0" applyNumberFormat="0" applyBorder="0" applyAlignment="0" applyProtection="0"/>
    <xf numFmtId="0" fontId="11" fillId="4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1" borderId="0" applyNumberFormat="0" applyBorder="0" applyAlignment="0" applyProtection="0"/>
    <xf numFmtId="0" fontId="11" fillId="6" borderId="0" applyNumberFormat="0" applyBorder="0" applyAlignment="0" applyProtection="0"/>
    <xf numFmtId="0" fontId="11" fillId="12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8" borderId="0" applyNumberFormat="0" applyBorder="0" applyAlignment="0" applyProtection="0"/>
    <xf numFmtId="0" fontId="11" fillId="14" borderId="0" applyNumberFormat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11" fillId="0" borderId="0"/>
    <xf numFmtId="0" fontId="11" fillId="33" borderId="21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/>
    <xf numFmtId="49" fontId="3" fillId="0" borderId="0" xfId="0" applyNumberFormat="1" applyFont="1" applyAlignment="1">
      <alignment horizontal="right"/>
    </xf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0" fillId="0" borderId="2" xfId="0" applyBorder="1"/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7" xfId="0" applyBorder="1"/>
    <xf numFmtId="164" fontId="0" fillId="0" borderId="0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9" xfId="0" applyBorder="1"/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0" xfId="0" applyFill="1" applyBorder="1"/>
    <xf numFmtId="164" fontId="4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164" fontId="4" fillId="0" borderId="0" xfId="0" applyNumberFormat="1" applyFont="1" applyBorder="1" applyAlignment="1">
      <alignment horizontal="left"/>
    </xf>
    <xf numFmtId="164" fontId="5" fillId="0" borderId="0" xfId="0" applyNumberFormat="1" applyFont="1" applyFill="1" applyAlignment="1">
      <alignment horizontal="center"/>
    </xf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/>
    <xf numFmtId="164" fontId="5" fillId="0" borderId="0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5" fillId="0" borderId="0" xfId="0" applyNumberFormat="1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49" fontId="3" fillId="0" borderId="0" xfId="0" applyNumberFormat="1" applyFont="1" applyBorder="1" applyAlignment="1">
      <alignment horizontal="center"/>
    </xf>
    <xf numFmtId="164" fontId="5" fillId="2" borderId="0" xfId="0" applyNumberFormat="1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right"/>
    </xf>
    <xf numFmtId="0" fontId="4" fillId="0" borderId="0" xfId="0" applyFont="1" applyAlignment="1">
      <alignment horizont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Alignment="1">
      <alignment horizontal="center"/>
    </xf>
    <xf numFmtId="2" fontId="0" fillId="0" borderId="0" xfId="0" applyNumberFormat="1"/>
    <xf numFmtId="165" fontId="0" fillId="0" borderId="0" xfId="0" applyNumberFormat="1"/>
    <xf numFmtId="15" fontId="0" fillId="0" borderId="0" xfId="0" applyNumberFormat="1"/>
    <xf numFmtId="0" fontId="4" fillId="0" borderId="13" xfId="0" applyFont="1" applyBorder="1"/>
    <xf numFmtId="0" fontId="4" fillId="0" borderId="10" xfId="0" applyFont="1" applyBorder="1"/>
    <xf numFmtId="0" fontId="4" fillId="0" borderId="14" xfId="0" applyFont="1" applyBorder="1"/>
    <xf numFmtId="0" fontId="4" fillId="0" borderId="10" xfId="0" applyFont="1" applyBorder="1" applyAlignment="1">
      <alignment horizontal="center"/>
    </xf>
    <xf numFmtId="166" fontId="0" fillId="0" borderId="0" xfId="0" applyNumberFormat="1"/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64" fontId="8" fillId="0" borderId="0" xfId="41" applyNumberFormat="1" applyAlignment="1">
      <alignment horizontal="center" vertical="center"/>
    </xf>
    <xf numFmtId="15" fontId="2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8" fillId="0" borderId="0" xfId="44" applyAlignment="1">
      <alignment horizontal="center" vertical="center"/>
    </xf>
    <xf numFmtId="0" fontId="8" fillId="0" borderId="0" xfId="0" applyFont="1"/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</cellXfs>
  <cellStyles count="73">
    <cellStyle name="20% - Accent1" xfId="1" builtinId="30" customBuiltin="1"/>
    <cellStyle name="20% - Accent1 2" xfId="54"/>
    <cellStyle name="20% - Accent2" xfId="2" builtinId="34" customBuiltin="1"/>
    <cellStyle name="20% - Accent2 2" xfId="56"/>
    <cellStyle name="20% - Accent3" xfId="3" builtinId="38" customBuiltin="1"/>
    <cellStyle name="20% - Accent3 2" xfId="58"/>
    <cellStyle name="20% - Accent4" xfId="4" builtinId="42" customBuiltin="1"/>
    <cellStyle name="20% - Accent4 2" xfId="60"/>
    <cellStyle name="20% - Accent5" xfId="5" builtinId="46" customBuiltin="1"/>
    <cellStyle name="20% - Accent5 2" xfId="62"/>
    <cellStyle name="20% - Accent6" xfId="6" builtinId="50" customBuiltin="1"/>
    <cellStyle name="20% - Accent6 2" xfId="64"/>
    <cellStyle name="40% - Accent1" xfId="7" builtinId="31" customBuiltin="1"/>
    <cellStyle name="40% - Accent1 2" xfId="55"/>
    <cellStyle name="40% - Accent2" xfId="8" builtinId="35" customBuiltin="1"/>
    <cellStyle name="40% - Accent2 2" xfId="57"/>
    <cellStyle name="40% - Accent3" xfId="9" builtinId="39" customBuiltin="1"/>
    <cellStyle name="40% - Accent3 2" xfId="59"/>
    <cellStyle name="40% - Accent4" xfId="10" builtinId="43" customBuiltin="1"/>
    <cellStyle name="40% - Accent4 2" xfId="61"/>
    <cellStyle name="40% - Accent5" xfId="11" builtinId="47" customBuiltin="1"/>
    <cellStyle name="40% - Accent5 2" xfId="63"/>
    <cellStyle name="40% - Accent6" xfId="12" builtinId="51" customBuiltin="1"/>
    <cellStyle name="40% - Accent6 2" xfId="65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51"/>
    <cellStyle name="Comma 3" xfId="67"/>
    <cellStyle name="Comma 4" xfId="42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52"/>
    <cellStyle name="Hyperlink 3" xfId="43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4"/>
    <cellStyle name="Normal 2 2" xfId="53"/>
    <cellStyle name="Normal 2 3" xfId="68"/>
    <cellStyle name="Normal 3" xfId="45"/>
    <cellStyle name="Normal 3 2" xfId="69"/>
    <cellStyle name="Normal 4" xfId="50"/>
    <cellStyle name="Normal 5" xfId="66"/>
    <cellStyle name="Normal 6" xfId="41"/>
    <cellStyle name="Note 2" xfId="46"/>
    <cellStyle name="Note 2 2" xfId="70"/>
    <cellStyle name="Notes" xfId="47"/>
    <cellStyle name="Output" xfId="37" builtinId="21" customBuiltin="1"/>
    <cellStyle name="Percent 2" xfId="49"/>
    <cellStyle name="Percent 2 2" xfId="72"/>
    <cellStyle name="Percent 3" xfId="71"/>
    <cellStyle name="Percent 4" xfId="48"/>
    <cellStyle name="Title" xfId="38" builtinId="15" customBuiltin="1"/>
    <cellStyle name="Total" xfId="39" builtinId="25" customBuiltin="1"/>
    <cellStyle name="Warning Text" xfId="4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2011 Model vs Spreads Regression</a:t>
            </a:r>
          </a:p>
        </c:rich>
      </c:tx>
      <c:layout>
        <c:manualLayout>
          <c:xMode val="edge"/>
          <c:yMode val="edge"/>
          <c:x val="0.25405451241671712"/>
          <c:y val="3.84615384615384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450539221810288E-2"/>
          <c:y val="0.25"/>
          <c:w val="0.90090248610375512"/>
          <c:h val="0.653846153846153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3286723788657668"/>
                  <c:y val="2.7503727491247923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'Rich Cheap'!$D$4:$D$28</c:f>
              <c:numCache>
                <c:formatCode>0.0</c:formatCode>
                <c:ptCount val="25"/>
                <c:pt idx="0">
                  <c:v>-3.1684774214779536</c:v>
                </c:pt>
                <c:pt idx="1">
                  <c:v>-1.3887995353539138</c:v>
                </c:pt>
                <c:pt idx="2">
                  <c:v>-0.81507718107319238</c:v>
                </c:pt>
                <c:pt idx="3">
                  <c:v>-0.80549469324709377</c:v>
                </c:pt>
                <c:pt idx="4">
                  <c:v>-0.46606756078988071</c:v>
                </c:pt>
                <c:pt idx="5">
                  <c:v>-0.44850289304784169</c:v>
                </c:pt>
                <c:pt idx="6">
                  <c:v>-0.21548511768757808</c:v>
                </c:pt>
                <c:pt idx="7">
                  <c:v>-0.17084373670641917</c:v>
                </c:pt>
                <c:pt idx="8">
                  <c:v>-0.16716511170792908</c:v>
                </c:pt>
                <c:pt idx="9">
                  <c:v>-0.13864046315008799</c:v>
                </c:pt>
                <c:pt idx="10">
                  <c:v>-0.11800927991038092</c:v>
                </c:pt>
                <c:pt idx="11">
                  <c:v>-0.10215100667262954</c:v>
                </c:pt>
                <c:pt idx="12">
                  <c:v>-4.6154275790339129E-2</c:v>
                </c:pt>
                <c:pt idx="13">
                  <c:v>-4.56613122275603E-2</c:v>
                </c:pt>
                <c:pt idx="14">
                  <c:v>-9.486005337753841E-3</c:v>
                </c:pt>
                <c:pt idx="15">
                  <c:v>0.13390293063120495</c:v>
                </c:pt>
                <c:pt idx="16">
                  <c:v>0.19728751330519209</c:v>
                </c:pt>
                <c:pt idx="17">
                  <c:v>0.20186220473419753</c:v>
                </c:pt>
                <c:pt idx="18">
                  <c:v>0.58275421139344386</c:v>
                </c:pt>
                <c:pt idx="19">
                  <c:v>0.62143680954206204</c:v>
                </c:pt>
                <c:pt idx="20">
                  <c:v>0.65029811387334235</c:v>
                </c:pt>
                <c:pt idx="21">
                  <c:v>0.92099651064733656</c:v>
                </c:pt>
                <c:pt idx="22">
                  <c:v>1.1125722194909262</c:v>
                </c:pt>
                <c:pt idx="23">
                  <c:v>1.7254084466060402</c:v>
                </c:pt>
                <c:pt idx="24">
                  <c:v>1.9594966339568085</c:v>
                </c:pt>
              </c:numCache>
            </c:numRef>
          </c:xVal>
          <c:yVal>
            <c:numRef>
              <c:f>'Rich Cheap'!$G$4:$G$28</c:f>
              <c:numCache>
                <c:formatCode>0.0</c:formatCode>
                <c:ptCount val="25"/>
                <c:pt idx="0">
                  <c:v>-0.36041566053529961</c:v>
                </c:pt>
                <c:pt idx="1">
                  <c:v>-0.61809672118954739</c:v>
                </c:pt>
                <c:pt idx="2">
                  <c:v>-0.50718932529558414</c:v>
                </c:pt>
                <c:pt idx="3">
                  <c:v>-0.6767951584626779</c:v>
                </c:pt>
                <c:pt idx="4">
                  <c:v>-0.55505648603455771</c:v>
                </c:pt>
                <c:pt idx="5">
                  <c:v>-0.48422075013713889</c:v>
                </c:pt>
                <c:pt idx="6">
                  <c:v>-0.35838987515994025</c:v>
                </c:pt>
                <c:pt idx="7">
                  <c:v>-0.49043451301485325</c:v>
                </c:pt>
                <c:pt idx="8">
                  <c:v>-0.46284842419996541</c:v>
                </c:pt>
                <c:pt idx="9">
                  <c:v>-0.16466036285246269</c:v>
                </c:pt>
                <c:pt idx="10">
                  <c:v>-0.34765727585037098</c:v>
                </c:pt>
                <c:pt idx="11">
                  <c:v>-0.58302567466255073</c:v>
                </c:pt>
                <c:pt idx="12">
                  <c:v>0.23579793496626733</c:v>
                </c:pt>
                <c:pt idx="13">
                  <c:v>-0.49266345738201095</c:v>
                </c:pt>
                <c:pt idx="14">
                  <c:v>-0.36315540465326435</c:v>
                </c:pt>
                <c:pt idx="15">
                  <c:v>-0.24455989205539388</c:v>
                </c:pt>
                <c:pt idx="16">
                  <c:v>0.12883472578450098</c:v>
                </c:pt>
                <c:pt idx="17">
                  <c:v>0.45654469091159733</c:v>
                </c:pt>
                <c:pt idx="18">
                  <c:v>1.4255405250063531</c:v>
                </c:pt>
                <c:pt idx="19">
                  <c:v>0.16739140015649304</c:v>
                </c:pt>
                <c:pt idx="20">
                  <c:v>5.2153815465916083E-2</c:v>
                </c:pt>
                <c:pt idx="21">
                  <c:v>1.4223422220211868</c:v>
                </c:pt>
                <c:pt idx="22">
                  <c:v>1.5328752249159792</c:v>
                </c:pt>
                <c:pt idx="23">
                  <c:v>2.1692475485534328</c:v>
                </c:pt>
                <c:pt idx="24">
                  <c:v>2.7898082980863612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4208"/>
        <c:axId val="43616512"/>
      </c:scatterChart>
      <c:valAx>
        <c:axId val="43614208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16512"/>
        <c:crosses val="autoZero"/>
        <c:crossBetween val="midCat"/>
      </c:valAx>
      <c:valAx>
        <c:axId val="43616512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142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2011 Model vs Market Risk - October 2011
</a:t>
            </a:r>
          </a:p>
        </c:rich>
      </c:tx>
      <c:layout>
        <c:manualLayout>
          <c:xMode val="edge"/>
          <c:yMode val="edge"/>
          <c:x val="0.23088720341810259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00391490114272E-2"/>
          <c:y val="0.23643410852713179"/>
          <c:w val="0.90672918268764136"/>
          <c:h val="0.540697674418604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'Rich Cheap'!$E$4:$E$28</c:f>
              <c:strCache>
                <c:ptCount val="25"/>
                <c:pt idx="0">
                  <c:v>China</c:v>
                </c:pt>
                <c:pt idx="1">
                  <c:v>Malaysia</c:v>
                </c:pt>
                <c:pt idx="2">
                  <c:v>Peru</c:v>
                </c:pt>
                <c:pt idx="3">
                  <c:v>Chile</c:v>
                </c:pt>
                <c:pt idx="4">
                  <c:v>Panama</c:v>
                </c:pt>
                <c:pt idx="5">
                  <c:v>Mexico</c:v>
                </c:pt>
                <c:pt idx="6">
                  <c:v>Indonesia</c:v>
                </c:pt>
                <c:pt idx="7">
                  <c:v>Brazil</c:v>
                </c:pt>
                <c:pt idx="8">
                  <c:v>Philippines</c:v>
                </c:pt>
                <c:pt idx="9">
                  <c:v>Russia</c:v>
                </c:pt>
                <c:pt idx="10">
                  <c:v>Uruguay</c:v>
                </c:pt>
                <c:pt idx="11">
                  <c:v>Colombia</c:v>
                </c:pt>
                <c:pt idx="12">
                  <c:v>Hungary</c:v>
                </c:pt>
                <c:pt idx="13">
                  <c:v>South Africa</c:v>
                </c:pt>
                <c:pt idx="14">
                  <c:v>Poland</c:v>
                </c:pt>
                <c:pt idx="15">
                  <c:v>Turkey</c:v>
                </c:pt>
                <c:pt idx="16">
                  <c:v>Kazakhstan</c:v>
                </c:pt>
                <c:pt idx="17">
                  <c:v>Vietnam</c:v>
                </c:pt>
                <c:pt idx="18">
                  <c:v>Argentina</c:v>
                </c:pt>
                <c:pt idx="19">
                  <c:v>Sri Lanka</c:v>
                </c:pt>
                <c:pt idx="20">
                  <c:v>Egypt</c:v>
                </c:pt>
                <c:pt idx="21">
                  <c:v>Ecuador</c:v>
                </c:pt>
                <c:pt idx="22">
                  <c:v>Ukraine</c:v>
                </c:pt>
                <c:pt idx="23">
                  <c:v>Pakistan</c:v>
                </c:pt>
                <c:pt idx="24">
                  <c:v>Venezuela</c:v>
                </c:pt>
              </c:strCache>
            </c:strRef>
          </c:cat>
          <c:val>
            <c:numRef>
              <c:f>'Rich Cheap'!$O$4:$O$28</c:f>
              <c:numCache>
                <c:formatCode>0</c:formatCode>
                <c:ptCount val="25"/>
                <c:pt idx="0">
                  <c:v>-20.698244602697798</c:v>
                </c:pt>
                <c:pt idx="1">
                  <c:v>96.713161662829123</c:v>
                </c:pt>
                <c:pt idx="2">
                  <c:v>70.114458835749247</c:v>
                </c:pt>
                <c:pt idx="3">
                  <c:v>10.049445442665188</c:v>
                </c:pt>
                <c:pt idx="4">
                  <c:v>-17.119250801803304</c:v>
                </c:pt>
                <c:pt idx="5">
                  <c:v>3.1015020425332125</c:v>
                </c:pt>
                <c:pt idx="6">
                  <c:v>-14.755939155530996</c:v>
                </c:pt>
                <c:pt idx="7">
                  <c:v>-73.185393385474157</c:v>
                </c:pt>
                <c:pt idx="8">
                  <c:v>-64.763361862680597</c:v>
                </c:pt>
                <c:pt idx="9">
                  <c:v>29.492808709246503</c:v>
                </c:pt>
                <c:pt idx="10">
                  <c:v>-39.797117587382274</c:v>
                </c:pt>
                <c:pt idx="11">
                  <c:v>-125.74543103497194</c:v>
                </c:pt>
                <c:pt idx="12">
                  <c:v>138.86851902575546</c:v>
                </c:pt>
                <c:pt idx="13">
                  <c:v>-112.28540769824951</c:v>
                </c:pt>
                <c:pt idx="14">
                  <c:v>-79.307192765816239</c:v>
                </c:pt>
                <c:pt idx="15">
                  <c:v>-87.104447856795616</c:v>
                </c:pt>
                <c:pt idx="16">
                  <c:v>18.767078949893346</c:v>
                </c:pt>
                <c:pt idx="17">
                  <c:v>130.00741284495649</c:v>
                </c:pt>
                <c:pt idx="18">
                  <c:v>310.17250323938151</c:v>
                </c:pt>
                <c:pt idx="19">
                  <c:v>-140.5210885741073</c:v>
                </c:pt>
                <c:pt idx="20">
                  <c:v>-193.24114255708258</c:v>
                </c:pt>
                <c:pt idx="21">
                  <c:v>148.92058441108395</c:v>
                </c:pt>
                <c:pt idx="22">
                  <c:v>86.429614067715647</c:v>
                </c:pt>
                <c:pt idx="23">
                  <c:v>-63.97212931599779</c:v>
                </c:pt>
                <c:pt idx="24">
                  <c:v>-10.634553919848258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08160"/>
        <c:axId val="86953984"/>
      </c:barChart>
      <c:catAx>
        <c:axId val="489081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953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695398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9081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Indonesia vs. Asia EM - Ratios</a:t>
            </a:r>
          </a:p>
        </c:rich>
      </c:tx>
      <c:layout>
        <c:manualLayout>
          <c:xMode val="edge"/>
          <c:yMode val="edge"/>
          <c:x val="0.32727336355682812"/>
          <c:y val="3.53356890459363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545522698711134"/>
          <c:y val="0.28975315010964781"/>
          <c:w val="0.30909151888320485"/>
          <c:h val="0.54063697520458676"/>
        </c:manualLayout>
      </c:layout>
      <c:radarChart>
        <c:radarStyle val="marker"/>
        <c:varyColors val="0"/>
        <c:ser>
          <c:idx val="2"/>
          <c:order val="0"/>
          <c:cat>
            <c:strRef>
              <c:f>Indo!$P$23:$P$32</c:f>
              <c:strCache>
                <c:ptCount val="10"/>
                <c:pt idx="0">
                  <c:v>Ext Debt/Expo</c:v>
                </c:pt>
                <c:pt idx="1">
                  <c:v>GDP g%</c:v>
                </c:pt>
                <c:pt idx="2">
                  <c:v>Inf %</c:v>
                </c:pt>
                <c:pt idx="3">
                  <c:v>Fis Bal/GDP</c:v>
                </c:pt>
                <c:pt idx="4">
                  <c:v> Sav/GDP</c:v>
                </c:pt>
                <c:pt idx="5">
                  <c:v> FDI/GDP</c:v>
                </c:pt>
                <c:pt idx="6">
                  <c:v> CA/GDP</c:v>
                </c:pt>
                <c:pt idx="7">
                  <c:v>FX Res/Debt</c:v>
                </c:pt>
                <c:pt idx="8">
                  <c:v>Pol Risk</c:v>
                </c:pt>
                <c:pt idx="9">
                  <c:v>Competitive</c:v>
                </c:pt>
              </c:strCache>
            </c:strRef>
          </c:cat>
          <c:val>
            <c:numRef>
              <c:f>Indo!$Q$23:$Q$32</c:f>
            </c:numRef>
          </c:val>
        </c:ser>
        <c:ser>
          <c:idx val="0"/>
          <c:order val="1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Indo!$P$23:$P$32</c:f>
              <c:strCache>
                <c:ptCount val="10"/>
                <c:pt idx="0">
                  <c:v>Ext Debt/Expo</c:v>
                </c:pt>
                <c:pt idx="1">
                  <c:v>GDP g%</c:v>
                </c:pt>
                <c:pt idx="2">
                  <c:v>Inf %</c:v>
                </c:pt>
                <c:pt idx="3">
                  <c:v>Fis Bal/GDP</c:v>
                </c:pt>
                <c:pt idx="4">
                  <c:v> Sav/GDP</c:v>
                </c:pt>
                <c:pt idx="5">
                  <c:v> FDI/GDP</c:v>
                </c:pt>
                <c:pt idx="6">
                  <c:v> CA/GDP</c:v>
                </c:pt>
                <c:pt idx="7">
                  <c:v>FX Res/Debt</c:v>
                </c:pt>
                <c:pt idx="8">
                  <c:v>Pol Risk</c:v>
                </c:pt>
                <c:pt idx="9">
                  <c:v>Competitive</c:v>
                </c:pt>
              </c:strCache>
            </c:strRef>
          </c:cat>
          <c:val>
            <c:numRef>
              <c:f>Indo!$R$23:$R$32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2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Indo!$P$23:$P$32</c:f>
              <c:strCache>
                <c:ptCount val="10"/>
                <c:pt idx="0">
                  <c:v>Ext Debt/Expo</c:v>
                </c:pt>
                <c:pt idx="1">
                  <c:v>GDP g%</c:v>
                </c:pt>
                <c:pt idx="2">
                  <c:v>Inf %</c:v>
                </c:pt>
                <c:pt idx="3">
                  <c:v>Fis Bal/GDP</c:v>
                </c:pt>
                <c:pt idx="4">
                  <c:v> Sav/GDP</c:v>
                </c:pt>
                <c:pt idx="5">
                  <c:v> FDI/GDP</c:v>
                </c:pt>
                <c:pt idx="6">
                  <c:v> CA/GDP</c:v>
                </c:pt>
                <c:pt idx="7">
                  <c:v>FX Res/Debt</c:v>
                </c:pt>
                <c:pt idx="8">
                  <c:v>Pol Risk</c:v>
                </c:pt>
                <c:pt idx="9">
                  <c:v>Competitive</c:v>
                </c:pt>
              </c:strCache>
            </c:strRef>
          </c:cat>
          <c:val>
            <c:numRef>
              <c:f>Indo!$S$23:$S$32</c:f>
              <c:numCache>
                <c:formatCode>0.0</c:formatCode>
                <c:ptCount val="10"/>
                <c:pt idx="0">
                  <c:v>6.6673733305066693E-2</c:v>
                </c:pt>
                <c:pt idx="1">
                  <c:v>1.2473118279569888</c:v>
                </c:pt>
                <c:pt idx="2">
                  <c:v>0.49650349650349651</c:v>
                </c:pt>
                <c:pt idx="3">
                  <c:v>-0.92553191489361708</c:v>
                </c:pt>
                <c:pt idx="4">
                  <c:v>0.19322873658133774</c:v>
                </c:pt>
                <c:pt idx="5">
                  <c:v>0.31360946745562124</c:v>
                </c:pt>
                <c:pt idx="6">
                  <c:v>0.38166047087980165</c:v>
                </c:pt>
                <c:pt idx="7">
                  <c:v>0.51893939393939392</c:v>
                </c:pt>
                <c:pt idx="8">
                  <c:v>0.63</c:v>
                </c:pt>
                <c:pt idx="9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55744"/>
        <c:axId val="166180352"/>
      </c:radarChart>
      <c:catAx>
        <c:axId val="998557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180352"/>
        <c:crosses val="autoZero"/>
        <c:auto val="0"/>
        <c:lblAlgn val="ctr"/>
        <c:lblOffset val="100"/>
        <c:noMultiLvlLbl val="0"/>
      </c:catAx>
      <c:valAx>
        <c:axId val="166180352"/>
        <c:scaling>
          <c:orientation val="minMax"/>
          <c:max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55744"/>
        <c:crosses val="autoZero"/>
        <c:crossBetween val="between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Indonesia vs. BB Rating - Ratios</a:t>
            </a:r>
          </a:p>
        </c:rich>
      </c:tx>
      <c:layout>
        <c:manualLayout>
          <c:xMode val="edge"/>
          <c:yMode val="edge"/>
          <c:x val="0.31863748494364053"/>
          <c:y val="3.5460992907801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869773599712706"/>
          <c:y val="0.29078114881548101"/>
          <c:w val="0.30460951650323742"/>
          <c:h val="0.53900895877991595"/>
        </c:manualLayout>
      </c:layout>
      <c:radarChart>
        <c:radarStyle val="marker"/>
        <c:varyColors val="0"/>
        <c:ser>
          <c:idx val="2"/>
          <c:order val="0"/>
          <c:cat>
            <c:strRef>
              <c:f>Indo!$J$23:$J$32</c:f>
              <c:strCache>
                <c:ptCount val="10"/>
                <c:pt idx="0">
                  <c:v>Ext Debt/Expo</c:v>
                </c:pt>
                <c:pt idx="1">
                  <c:v>GDP g%</c:v>
                </c:pt>
                <c:pt idx="2">
                  <c:v>Inf %</c:v>
                </c:pt>
                <c:pt idx="3">
                  <c:v>Fis Bal/GDP</c:v>
                </c:pt>
                <c:pt idx="4">
                  <c:v> Sav/GDP</c:v>
                </c:pt>
                <c:pt idx="5">
                  <c:v> FDI/GDP</c:v>
                </c:pt>
                <c:pt idx="6">
                  <c:v> CA/GDP</c:v>
                </c:pt>
                <c:pt idx="7">
                  <c:v>FX Res/Debt</c:v>
                </c:pt>
                <c:pt idx="8">
                  <c:v>Pol Risk</c:v>
                </c:pt>
                <c:pt idx="9">
                  <c:v>Competitive</c:v>
                </c:pt>
              </c:strCache>
            </c:strRef>
          </c:cat>
          <c:val>
            <c:numRef>
              <c:f>Indo!$K$23:$K$32</c:f>
            </c:numRef>
          </c:val>
        </c:ser>
        <c:ser>
          <c:idx val="0"/>
          <c:order val="1"/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cat>
            <c:strRef>
              <c:f>Indo!$J$23:$J$32</c:f>
              <c:strCache>
                <c:ptCount val="10"/>
                <c:pt idx="0">
                  <c:v>Ext Debt/Expo</c:v>
                </c:pt>
                <c:pt idx="1">
                  <c:v>GDP g%</c:v>
                </c:pt>
                <c:pt idx="2">
                  <c:v>Inf %</c:v>
                </c:pt>
                <c:pt idx="3">
                  <c:v>Fis Bal/GDP</c:v>
                </c:pt>
                <c:pt idx="4">
                  <c:v> Sav/GDP</c:v>
                </c:pt>
                <c:pt idx="5">
                  <c:v> FDI/GDP</c:v>
                </c:pt>
                <c:pt idx="6">
                  <c:v> CA/GDP</c:v>
                </c:pt>
                <c:pt idx="7">
                  <c:v>FX Res/Debt</c:v>
                </c:pt>
                <c:pt idx="8">
                  <c:v>Pol Risk</c:v>
                </c:pt>
                <c:pt idx="9">
                  <c:v>Competitive</c:v>
                </c:pt>
              </c:strCache>
            </c:strRef>
          </c:cat>
          <c:val>
            <c:numRef>
              <c:f>Indo!$L$23:$L$32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2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Indo!$J$23:$J$32</c:f>
              <c:strCache>
                <c:ptCount val="10"/>
                <c:pt idx="0">
                  <c:v>Ext Debt/Expo</c:v>
                </c:pt>
                <c:pt idx="1">
                  <c:v>GDP g%</c:v>
                </c:pt>
                <c:pt idx="2">
                  <c:v>Inf %</c:v>
                </c:pt>
                <c:pt idx="3">
                  <c:v>Fis Bal/GDP</c:v>
                </c:pt>
                <c:pt idx="4">
                  <c:v> Sav/GDP</c:v>
                </c:pt>
                <c:pt idx="5">
                  <c:v> FDI/GDP</c:v>
                </c:pt>
                <c:pt idx="6">
                  <c:v> CA/GDP</c:v>
                </c:pt>
                <c:pt idx="7">
                  <c:v>FX Res/Debt</c:v>
                </c:pt>
                <c:pt idx="8">
                  <c:v>Pol Risk</c:v>
                </c:pt>
                <c:pt idx="9">
                  <c:v>Competitive</c:v>
                </c:pt>
              </c:strCache>
            </c:strRef>
          </c:cat>
          <c:val>
            <c:numRef>
              <c:f>Indo!$M$23:$M$32</c:f>
              <c:numCache>
                <c:formatCode>0.0</c:formatCode>
                <c:ptCount val="10"/>
                <c:pt idx="0">
                  <c:v>-4.8892988929889407E-2</c:v>
                </c:pt>
                <c:pt idx="1">
                  <c:v>-0.61428571428571432</c:v>
                </c:pt>
                <c:pt idx="2">
                  <c:v>-0.60189075630252098</c:v>
                </c:pt>
                <c:pt idx="3">
                  <c:v>-0.87499999999999978</c:v>
                </c:pt>
                <c:pt idx="4">
                  <c:v>-1.416393442622951</c:v>
                </c:pt>
                <c:pt idx="5">
                  <c:v>0.53246753246753242</c:v>
                </c:pt>
                <c:pt idx="6">
                  <c:v>-0.32464929859719438</c:v>
                </c:pt>
                <c:pt idx="7">
                  <c:v>0.59259259259259245</c:v>
                </c:pt>
                <c:pt idx="8">
                  <c:v>-0.02</c:v>
                </c:pt>
                <c:pt idx="9">
                  <c:v>-1.04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47232"/>
        <c:axId val="170448768"/>
      </c:radarChart>
      <c:catAx>
        <c:axId val="170447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448768"/>
        <c:crosses val="autoZero"/>
        <c:auto val="0"/>
        <c:lblAlgn val="ctr"/>
        <c:lblOffset val="100"/>
        <c:noMultiLvlLbl val="0"/>
      </c:catAx>
      <c:valAx>
        <c:axId val="170448768"/>
        <c:scaling>
          <c:orientation val="minMax"/>
          <c:max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447232"/>
        <c:crosses val="autoZero"/>
        <c:crossBetween val="between"/>
        <c:majorUnit val="1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33</xdr:row>
      <xdr:rowOff>9525</xdr:rowOff>
    </xdr:from>
    <xdr:to>
      <xdr:col>14</xdr:col>
      <xdr:colOff>828675</xdr:colOff>
      <xdr:row>48</xdr:row>
      <xdr:rowOff>57150</xdr:rowOff>
    </xdr:to>
    <xdr:graphicFrame macro="">
      <xdr:nvGraphicFramePr>
        <xdr:cNvPr id="21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31</xdr:row>
      <xdr:rowOff>28575</xdr:rowOff>
    </xdr:from>
    <xdr:to>
      <xdr:col>7</xdr:col>
      <xdr:colOff>180975</xdr:colOff>
      <xdr:row>51</xdr:row>
      <xdr:rowOff>66675</xdr:rowOff>
    </xdr:to>
    <xdr:graphicFrame macro="">
      <xdr:nvGraphicFramePr>
        <xdr:cNvPr id="21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27</xdr:row>
      <xdr:rowOff>0</xdr:rowOff>
    </xdr:from>
    <xdr:to>
      <xdr:col>7</xdr:col>
      <xdr:colOff>1162050</xdr:colOff>
      <xdr:row>43</xdr:row>
      <xdr:rowOff>104775</xdr:rowOff>
    </xdr:to>
    <xdr:graphicFrame macro="">
      <xdr:nvGraphicFramePr>
        <xdr:cNvPr id="11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27</xdr:row>
      <xdr:rowOff>0</xdr:rowOff>
    </xdr:from>
    <xdr:to>
      <xdr:col>4</xdr:col>
      <xdr:colOff>95250</xdr:colOff>
      <xdr:row>43</xdr:row>
      <xdr:rowOff>95250</xdr:rowOff>
    </xdr:to>
    <xdr:graphicFrame macro="">
      <xdr:nvGraphicFramePr>
        <xdr:cNvPr id="113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%20Sov%20Model%20Data%20Q3%2020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 Data"/>
      <sheetName val="Ext Debt GDP"/>
      <sheetName val="Export"/>
      <sheetName val="DSR"/>
      <sheetName val="Inv GDP"/>
      <sheetName val="Summary Drivers"/>
      <sheetName val="Coeff Wght Dist"/>
      <sheetName val="Summ Data Reg"/>
      <sheetName val="Summ Data Rtg"/>
      <sheetName val="ALL EM Rank Summary"/>
      <sheetName val="Summ Rtg Reg"/>
      <sheetName val="ALL EM Rank"/>
      <sheetName val="Inflation"/>
      <sheetName val="GDP g"/>
      <sheetName val="Ext Debt Expo"/>
      <sheetName val="Fiscal Bal"/>
      <sheetName val="Savings"/>
      <sheetName val="FDI"/>
      <sheetName val="CA GDP"/>
      <sheetName val="FX Res"/>
      <sheetName val="Political Risk"/>
      <sheetName val="DoingBusiness"/>
      <sheetName val="ONDD"/>
      <sheetName val="Coface"/>
      <sheetName val="Compt. Regress"/>
      <sheetName val="Competitiveness"/>
      <sheetName val="Comp data"/>
      <sheetName val="Stripped Spread"/>
      <sheetName val="Coeff"/>
      <sheetName val="Coeff Wght Dist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Argentina</v>
          </cell>
          <cell r="B2">
            <v>0.45939921047819565</v>
          </cell>
          <cell r="C2"/>
          <cell r="D2">
            <v>0.55403526879276965</v>
          </cell>
          <cell r="F2">
            <v>0.2963415539117295</v>
          </cell>
          <cell r="G2"/>
          <cell r="H2">
            <v>1.1549216403603035</v>
          </cell>
          <cell r="J2">
            <v>-0.12369940743441957</v>
          </cell>
          <cell r="L2">
            <v>-0.17588516575445234</v>
          </cell>
          <cell r="N2">
            <v>-0.24891911442958042</v>
          </cell>
          <cell r="P2">
            <v>0.14426886920628698</v>
          </cell>
          <cell r="R2">
            <v>-0.37005425735527414</v>
          </cell>
          <cell r="S2"/>
          <cell r="T2">
            <v>0.5572566528856906</v>
          </cell>
          <cell r="V2">
            <v>1.2956758519269069</v>
          </cell>
          <cell r="X2">
            <v>-0.50982568265251049</v>
          </cell>
          <cell r="Z2">
            <v>1.422670374501299</v>
          </cell>
          <cell r="AB2">
            <v>1.85622761995257</v>
          </cell>
        </row>
        <row r="3">
          <cell r="A3" t="str">
            <v>Brazil</v>
          </cell>
          <cell r="B3">
            <v>-0.23280940167344286</v>
          </cell>
          <cell r="C3"/>
          <cell r="D3">
            <v>-0.25522382998415805</v>
          </cell>
          <cell r="F3">
            <v>0.3700750326049897</v>
          </cell>
          <cell r="G3"/>
          <cell r="H3">
            <v>0.29560494366364881</v>
          </cell>
          <cell r="J3">
            <v>-1.7141940321687643E-2</v>
          </cell>
          <cell r="L3">
            <v>-0.80669185604126203</v>
          </cell>
          <cell r="N3">
            <v>0.38837379901964642</v>
          </cell>
          <cell r="P3">
            <v>-0.38619497198461339</v>
          </cell>
          <cell r="R3">
            <v>8.9541276619100232E-2</v>
          </cell>
          <cell r="S3"/>
          <cell r="T3">
            <v>3.5024302897599113E-2</v>
          </cell>
          <cell r="V3">
            <v>-0.66011465110928813</v>
          </cell>
          <cell r="X3">
            <v>0.43569074751316811</v>
          </cell>
          <cell r="Z3">
            <v>-0.83333998492838868</v>
          </cell>
          <cell r="AB3">
            <v>-0.81545762235247721</v>
          </cell>
          <cell r="AE3">
            <v>-1.095581298622653</v>
          </cell>
        </row>
        <row r="4">
          <cell r="A4" t="str">
            <v>Chile</v>
          </cell>
          <cell r="B4">
            <v>-0.69701275955805952</v>
          </cell>
          <cell r="C4"/>
          <cell r="D4">
            <v>0.49311764682124248</v>
          </cell>
          <cell r="F4">
            <v>-0.61192084271888303</v>
          </cell>
          <cell r="G4"/>
          <cell r="H4">
            <v>1.1119558055254706</v>
          </cell>
          <cell r="J4">
            <v>-1.3735707721598835</v>
          </cell>
          <cell r="L4">
            <v>0.44078672115438283</v>
          </cell>
          <cell r="N4">
            <v>0.500837254334216</v>
          </cell>
          <cell r="P4">
            <v>0.22563679445750329</v>
          </cell>
          <cell r="R4">
            <v>-0.30262325237061694</v>
          </cell>
          <cell r="S4"/>
          <cell r="T4">
            <v>0.28516504510100704</v>
          </cell>
          <cell r="V4">
            <v>-1.1957424090819433</v>
          </cell>
          <cell r="X4">
            <v>1.5471837245282076</v>
          </cell>
          <cell r="Z4">
            <v>-1.9770415600475864</v>
          </cell>
          <cell r="AB4">
            <v>-3.0654472871064629</v>
          </cell>
        </row>
        <row r="5">
          <cell r="A5" t="str">
            <v>China</v>
          </cell>
          <cell r="B5">
            <v>-0.45645675734973384</v>
          </cell>
          <cell r="C5"/>
          <cell r="D5">
            <v>2.4398557903423792</v>
          </cell>
          <cell r="F5">
            <v>-1.5352650872640263</v>
          </cell>
          <cell r="G5"/>
          <cell r="H5">
            <v>0.68229745717714341</v>
          </cell>
          <cell r="J5">
            <v>-2.2686120722102712</v>
          </cell>
          <cell r="L5">
            <v>3.2665421034379558</v>
          </cell>
          <cell r="N5">
            <v>5.0983433075938112E-2</v>
          </cell>
          <cell r="P5">
            <v>1.2447012689202002</v>
          </cell>
          <cell r="R5">
            <v>4.5426493558032419</v>
          </cell>
          <cell r="S5"/>
          <cell r="T5">
            <v>-7.3519567380317978</v>
          </cell>
          <cell r="V5">
            <v>-0.60726175792252624</v>
          </cell>
          <cell r="X5">
            <v>2.1122131552295027</v>
          </cell>
          <cell r="Z5">
            <v>-1.8222182755650129</v>
          </cell>
          <cell r="AB5">
            <v>-11.442787085807083</v>
          </cell>
        </row>
        <row r="6">
          <cell r="A6" t="str">
            <v>Colombia</v>
          </cell>
          <cell r="B6">
            <v>-0.7053799248522622</v>
          </cell>
          <cell r="C6"/>
          <cell r="D6">
            <v>-0.17907680251974906</v>
          </cell>
          <cell r="F6">
            <v>0.34661438029349773</v>
          </cell>
          <cell r="G6"/>
          <cell r="H6">
            <v>0.16670743915915073</v>
          </cell>
          <cell r="J6">
            <v>-0.39398954584361395</v>
          </cell>
          <cell r="L6">
            <v>-0.4078493421201248</v>
          </cell>
          <cell r="N6">
            <v>-0.99867548319337673</v>
          </cell>
          <cell r="P6">
            <v>-0.28930031703570125</v>
          </cell>
          <cell r="R6">
            <v>-0.21744724607420773</v>
          </cell>
          <cell r="S6"/>
          <cell r="T6">
            <v>0.52205858484595735</v>
          </cell>
          <cell r="V6">
            <v>-0.74993687190819736</v>
          </cell>
          <cell r="X6">
            <v>9.4947243264282583E-2</v>
          </cell>
          <cell r="Z6">
            <v>-0.69999447877966237</v>
          </cell>
          <cell r="AB6">
            <v>-0.57192543977731902</v>
          </cell>
        </row>
        <row r="7">
          <cell r="A7" t="str">
            <v>Ecuador</v>
          </cell>
          <cell r="B7">
            <v>-0.71531593363912771</v>
          </cell>
          <cell r="C7"/>
          <cell r="D7">
            <v>-0.91744039296774416</v>
          </cell>
          <cell r="F7">
            <v>-0.58678442952799892</v>
          </cell>
          <cell r="G7"/>
          <cell r="H7">
            <v>-1.2081992755554964</v>
          </cell>
          <cell r="J7">
            <v>-2.3474836624547968E-2</v>
          </cell>
          <cell r="L7">
            <v>-0.25105163953189741</v>
          </cell>
          <cell r="N7">
            <v>-0.36138256974414984</v>
          </cell>
          <cell r="P7">
            <v>-0.67255503742186484</v>
          </cell>
          <cell r="R7">
            <v>-0.58831777348982262</v>
          </cell>
          <cell r="S7"/>
          <cell r="T7">
            <v>1.0594916803610841</v>
          </cell>
          <cell r="V7">
            <v>1.6338669824900809</v>
          </cell>
          <cell r="X7">
            <v>-1.0082524294479007</v>
          </cell>
          <cell r="Z7">
            <v>2.019360749379445</v>
          </cell>
          <cell r="AB7">
            <v>3.0553775931159812</v>
          </cell>
        </row>
        <row r="8">
          <cell r="A8" t="str">
            <v>Egypt</v>
          </cell>
          <cell r="B8">
            <v>0.6797345632255315</v>
          </cell>
          <cell r="C8"/>
          <cell r="D8">
            <v>-2.0727746027725731</v>
          </cell>
          <cell r="F8">
            <v>-0.64543606030672851</v>
          </cell>
          <cell r="G8"/>
          <cell r="H8">
            <v>-2.1534476419218165</v>
          </cell>
          <cell r="J8">
            <v>1.8646715348728646</v>
          </cell>
          <cell r="L8">
            <v>-1.0073184063131306</v>
          </cell>
          <cell r="N8">
            <v>-9.8967840676821114E-2</v>
          </cell>
          <cell r="P8">
            <v>-0.28576258115521352</v>
          </cell>
          <cell r="R8">
            <v>0.17028103258757138</v>
          </cell>
          <cell r="S8"/>
          <cell r="T8">
            <v>-3.0152626962854728E-2</v>
          </cell>
          <cell r="V8">
            <v>-0.30410494529430043</v>
          </cell>
          <cell r="X8">
            <v>-0.84512060974394565</v>
          </cell>
          <cell r="Z8">
            <v>0.26116802574987769</v>
          </cell>
          <cell r="AB8">
            <v>2.0956869336598878</v>
          </cell>
        </row>
        <row r="9">
          <cell r="A9" t="str">
            <v>Hungary</v>
          </cell>
          <cell r="B9">
            <v>-0.61299247472877483</v>
          </cell>
          <cell r="C9"/>
          <cell r="D9">
            <v>-1.1327526775222805</v>
          </cell>
          <cell r="F9">
            <v>0.17233524883670134</v>
          </cell>
          <cell r="G9"/>
          <cell r="H9">
            <v>0.16670743915915073</v>
          </cell>
          <cell r="J9">
            <v>2.2424778149125191E-2</v>
          </cell>
          <cell r="L9">
            <v>-0.5556621309332056</v>
          </cell>
          <cell r="N9">
            <v>1.138130167783443</v>
          </cell>
          <cell r="P9">
            <v>0.40684748789137143</v>
          </cell>
          <cell r="R9">
            <v>-0.47563701516019802</v>
          </cell>
          <cell r="S9"/>
          <cell r="T9">
            <v>0.59527486122991746</v>
          </cell>
          <cell r="V9">
            <v>-0.7573717531881845</v>
          </cell>
          <cell r="X9">
            <v>0.55660132760786607</v>
          </cell>
          <cell r="Z9">
            <v>-0.99110325476344596</v>
          </cell>
          <cell r="AB9">
            <v>-0.37340361538440336</v>
          </cell>
        </row>
        <row r="10">
          <cell r="A10" t="str">
            <v>Indonesia</v>
          </cell>
          <cell r="B10">
            <v>-7.9585687223357127E-2</v>
          </cell>
          <cell r="C10"/>
          <cell r="D10">
            <v>0.65801534767520453</v>
          </cell>
          <cell r="F10">
            <v>-4.3837904604901889E-2</v>
          </cell>
          <cell r="G10"/>
          <cell r="H10">
            <v>0.76822912684680889</v>
          </cell>
          <cell r="J10">
            <v>-0.61255148386383473</v>
          </cell>
          <cell r="L10">
            <v>1.0817836185276388</v>
          </cell>
          <cell r="N10">
            <v>-0.1739434775532008</v>
          </cell>
          <cell r="P10">
            <v>0.29658805294950591</v>
          </cell>
          <cell r="R10">
            <v>-0.18550624371305438</v>
          </cell>
          <cell r="S10"/>
          <cell r="T10">
            <v>6.2535471555669686E-2</v>
          </cell>
          <cell r="V10">
            <v>-6.280273147582198E-2</v>
          </cell>
          <cell r="X10">
            <v>0.59985117827995904</v>
          </cell>
          <cell r="Z10">
            <v>-0.42370599898566152</v>
          </cell>
          <cell r="AB10">
            <v>-0.97372201129382652</v>
          </cell>
        </row>
        <row r="11">
          <cell r="A11" t="str">
            <v>Kazakhstan</v>
          </cell>
          <cell r="B11">
            <v>0.26433966955709659</v>
          </cell>
          <cell r="C11"/>
          <cell r="D11">
            <v>0.52095069823926787</v>
          </cell>
          <cell r="F11">
            <v>1.1576826459193585</v>
          </cell>
          <cell r="G11"/>
          <cell r="H11">
            <v>0.16670743915915073</v>
          </cell>
          <cell r="J11">
            <v>0.40390858957074738</v>
          </cell>
          <cell r="L11">
            <v>1.63052079152683</v>
          </cell>
          <cell r="N11">
            <v>-1.5235049413280342</v>
          </cell>
          <cell r="P11">
            <v>1.2688757974368658</v>
          </cell>
          <cell r="R11">
            <v>-0.247613748304186</v>
          </cell>
          <cell r="S11"/>
          <cell r="T11">
            <v>-7.8767675273359039E-3</v>
          </cell>
          <cell r="V11">
            <v>0.14001412618268663</v>
          </cell>
          <cell r="X11">
            <v>4.2366654091568819E-2</v>
          </cell>
          <cell r="Z11">
            <v>9.3624018780631257E-2</v>
          </cell>
          <cell r="AB11">
            <v>0.48965584082404273</v>
          </cell>
        </row>
        <row r="12">
          <cell r="A12" t="str">
            <v>Malaysia</v>
          </cell>
          <cell r="B12">
            <v>-0.8373370941795828</v>
          </cell>
          <cell r="C12"/>
          <cell r="D12">
            <v>0.29040900819184973</v>
          </cell>
          <cell r="F12">
            <v>-1.3760678037217602</v>
          </cell>
          <cell r="G12"/>
          <cell r="H12">
            <v>-0.6926092575375038</v>
          </cell>
          <cell r="J12">
            <v>-1.1327815742058716</v>
          </cell>
          <cell r="L12">
            <v>0.95993942196711535</v>
          </cell>
          <cell r="N12">
            <v>-1.1486267569461359</v>
          </cell>
          <cell r="P12">
            <v>2.3612500209785567</v>
          </cell>
          <cell r="R12">
            <v>0.79934132908917643</v>
          </cell>
          <cell r="S12"/>
          <cell r="T12">
            <v>-1.680970490332359</v>
          </cell>
          <cell r="V12">
            <v>-0.79840411771343123</v>
          </cell>
          <cell r="X12">
            <v>2.6536271810873528</v>
          </cell>
          <cell r="Z12">
            <v>-2.3196506122442058</v>
          </cell>
          <cell r="AB12">
            <v>-5.1334026767824366</v>
          </cell>
        </row>
        <row r="13">
          <cell r="A13" t="str">
            <v>Mexico</v>
          </cell>
          <cell r="B13">
            <v>-0.69248054502369982</v>
          </cell>
          <cell r="C13"/>
          <cell r="D13">
            <v>-0.16017133363203342</v>
          </cell>
          <cell r="F13">
            <v>-0.75771203922601094</v>
          </cell>
          <cell r="G13"/>
          <cell r="H13">
            <v>0.38153661333331435</v>
          </cell>
          <cell r="J13">
            <v>-0.91233982939937219</v>
          </cell>
          <cell r="L13">
            <v>0.12346586392481866</v>
          </cell>
          <cell r="N13">
            <v>-0.47384602505871937</v>
          </cell>
          <cell r="P13">
            <v>-5.4433962747770175E-2</v>
          </cell>
          <cell r="R13">
            <v>-0.13315848984338621</v>
          </cell>
          <cell r="S13"/>
          <cell r="T13">
            <v>0.22699050667607146</v>
          </cell>
          <cell r="V13">
            <v>-1.0431238832649856</v>
          </cell>
          <cell r="X13">
            <v>0.36037297204250407</v>
          </cell>
          <cell r="Z13">
            <v>-1.1144765191269643</v>
          </cell>
          <cell r="AB13">
            <v>-1.7998258418502651</v>
          </cell>
        </row>
        <row r="14">
          <cell r="A14" t="str">
            <v>Pakistan</v>
          </cell>
          <cell r="B14">
            <v>1.3764753899115296</v>
          </cell>
          <cell r="C14"/>
          <cell r="D14">
            <v>-1.1537587540641865</v>
          </cell>
          <cell r="F14">
            <v>2.2201150434540602</v>
          </cell>
          <cell r="G14"/>
          <cell r="H14">
            <v>-0.6926092575375038</v>
          </cell>
          <cell r="J14">
            <v>2.724084554942956</v>
          </cell>
          <cell r="L14">
            <v>-0.78006583107344962</v>
          </cell>
          <cell r="N14">
            <v>-0.32389475130596007</v>
          </cell>
          <cell r="P14">
            <v>-0.17412736003760282</v>
          </cell>
          <cell r="R14">
            <v>-0.46144101411079647</v>
          </cell>
          <cell r="S14"/>
          <cell r="T14">
            <v>0.85142809702229383</v>
          </cell>
          <cell r="V14">
            <v>1.488046298339526</v>
          </cell>
          <cell r="X14">
            <v>-1.7168409308486474</v>
          </cell>
          <cell r="Z14">
            <v>2.3316979423601634</v>
          </cell>
          <cell r="AB14">
            <v>5.907210594325413</v>
          </cell>
        </row>
        <row r="15">
          <cell r="A15" t="str">
            <v>Panama</v>
          </cell>
          <cell r="B15">
            <v>-0.45053001526634034</v>
          </cell>
          <cell r="C15"/>
          <cell r="D15">
            <v>1.2881976439323841</v>
          </cell>
          <cell r="F15">
            <v>-0.85658193111015501</v>
          </cell>
          <cell r="G15"/>
          <cell r="H15">
            <v>1.6705116583782962</v>
          </cell>
          <cell r="J15">
            <v>-1.8018030409095764</v>
          </cell>
          <cell r="L15">
            <v>-0.9428900002181777</v>
          </cell>
          <cell r="N15">
            <v>2.4876916315582762</v>
          </cell>
          <cell r="P15">
            <v>-2.3445283227167852</v>
          </cell>
          <cell r="R15">
            <v>-0.51733776824281497</v>
          </cell>
          <cell r="S15"/>
          <cell r="T15">
            <v>1.1490436024693933</v>
          </cell>
          <cell r="V15">
            <v>-1.0318323930328936</v>
          </cell>
          <cell r="X15">
            <v>0.52982512516031777</v>
          </cell>
          <cell r="Z15">
            <v>-1.2093373579830349</v>
          </cell>
          <cell r="AB15">
            <v>-1.862096796423218</v>
          </cell>
        </row>
        <row r="16">
          <cell r="A16" t="str">
            <v>Peru</v>
          </cell>
          <cell r="B16">
            <v>-0.85546595231702172</v>
          </cell>
          <cell r="C16"/>
          <cell r="D16">
            <v>1.3412379872006965</v>
          </cell>
          <cell r="F16">
            <v>-0.36893551520700318</v>
          </cell>
          <cell r="G16"/>
          <cell r="H16">
            <v>1.2408533100299688</v>
          </cell>
          <cell r="J16">
            <v>-1.8096964846801531</v>
          </cell>
          <cell r="L16">
            <v>7.514455935360409E-2</v>
          </cell>
          <cell r="N16">
            <v>0.83822762027792419</v>
          </cell>
          <cell r="P16">
            <v>-0.28202830439247661</v>
          </cell>
          <cell r="R16">
            <v>0.36192704675449205</v>
          </cell>
          <cell r="S16"/>
          <cell r="T16">
            <v>-0.55365753974740983</v>
          </cell>
          <cell r="V16">
            <v>-0.77304168766066395</v>
          </cell>
          <cell r="X16">
            <v>0.121388667735152</v>
          </cell>
          <cell r="Z16">
            <v>-0.7360654774044143</v>
          </cell>
          <cell r="AB16">
            <v>-3.099419501831977</v>
          </cell>
        </row>
        <row r="17">
          <cell r="A17" t="str">
            <v>Philippines</v>
          </cell>
          <cell r="B17">
            <v>-0.46953045312192548</v>
          </cell>
          <cell r="C17"/>
          <cell r="D17">
            <v>3.1509114812855502E-3</v>
          </cell>
          <cell r="F17">
            <v>-0.31028388442827359</v>
          </cell>
          <cell r="G17"/>
          <cell r="H17">
            <v>3.7809934654652641E-2</v>
          </cell>
          <cell r="J17">
            <v>-0.51332565937108132</v>
          </cell>
          <cell r="L17">
            <v>-0.63608806643268745</v>
          </cell>
          <cell r="N17">
            <v>-0.43635820662052949</v>
          </cell>
          <cell r="P17">
            <v>0.69477988038661753</v>
          </cell>
          <cell r="R17">
            <v>0.10285002760291417</v>
          </cell>
          <cell r="S17"/>
          <cell r="T17">
            <v>-0.15536180189296492</v>
          </cell>
          <cell r="V17">
            <v>-0.33904931120500675</v>
          </cell>
          <cell r="X17">
            <v>-0.25334623637212272</v>
          </cell>
          <cell r="Z17">
            <v>-0.13372855429369224</v>
          </cell>
          <cell r="AB17">
            <v>-0.80241601555773845</v>
          </cell>
        </row>
        <row r="18">
          <cell r="A18" t="str">
            <v>Poland</v>
          </cell>
          <cell r="B18">
            <v>-0.61891921681216833</v>
          </cell>
          <cell r="C18"/>
          <cell r="D18">
            <v>-0.58501923169208203</v>
          </cell>
          <cell r="F18">
            <v>-7.0650078675178418E-2</v>
          </cell>
          <cell r="G18"/>
          <cell r="H18">
            <v>-1.3370967800599947</v>
          </cell>
          <cell r="J18">
            <v>0.16099562066753453</v>
          </cell>
          <cell r="L18">
            <v>-0.83397531372432876</v>
          </cell>
          <cell r="N18">
            <v>-0.58630948037328878</v>
          </cell>
          <cell r="P18">
            <v>-0.64661164096495538</v>
          </cell>
          <cell r="R18">
            <v>-0.41707851083141673</v>
          </cell>
          <cell r="S18"/>
          <cell r="T18">
            <v>0.91247023064614352</v>
          </cell>
          <cell r="V18">
            <v>-0.92915410369356033</v>
          </cell>
          <cell r="X18">
            <v>0.8465492303042107</v>
          </cell>
          <cell r="Z18">
            <v>-1.3168716644534815</v>
          </cell>
          <cell r="AB18">
            <v>-0.24340581313980336</v>
          </cell>
        </row>
        <row r="19">
          <cell r="A19" t="str">
            <v>Russia</v>
          </cell>
          <cell r="B19">
            <v>0.29850559450842429</v>
          </cell>
          <cell r="C19"/>
          <cell r="D19">
            <v>-6.2493077712170643E-2</v>
          </cell>
          <cell r="F19">
            <v>-0.12930170945390804</v>
          </cell>
          <cell r="G19"/>
          <cell r="H19">
            <v>0.16670743915915073</v>
          </cell>
          <cell r="J19">
            <v>0.15808320811805349</v>
          </cell>
          <cell r="L19">
            <v>0.60240559698781049</v>
          </cell>
          <cell r="N19">
            <v>-0.96118766475518691</v>
          </cell>
          <cell r="P19">
            <v>1.2126651051135617</v>
          </cell>
          <cell r="R19">
            <v>0.17826628317785975</v>
          </cell>
          <cell r="S19"/>
          <cell r="T19">
            <v>-0.50987027572849219</v>
          </cell>
          <cell r="V19">
            <v>-0.31498274610456278</v>
          </cell>
          <cell r="X19">
            <v>0.12985249300900778</v>
          </cell>
          <cell r="Z19">
            <v>-0.34950223603668934</v>
          </cell>
          <cell r="AB19">
            <v>-0.70128930364712805</v>
          </cell>
        </row>
        <row r="20">
          <cell r="A20" t="str">
            <v>South Africa</v>
          </cell>
          <cell r="B20">
            <v>-0.46586981830571189</v>
          </cell>
          <cell r="C20"/>
          <cell r="D20">
            <v>-0.74991693254604397</v>
          </cell>
          <cell r="F20">
            <v>-0.47618421148810886</v>
          </cell>
          <cell r="G20"/>
          <cell r="H20">
            <v>-0.43481424852850759</v>
          </cell>
          <cell r="J20">
            <v>-0.10005806400386455</v>
          </cell>
          <cell r="L20">
            <v>-0.6679735531225367</v>
          </cell>
          <cell r="N20">
            <v>-0.54882166193509885</v>
          </cell>
          <cell r="P20">
            <v>-0.73584120150614418</v>
          </cell>
          <cell r="R20">
            <v>-0.22986874699243409</v>
          </cell>
          <cell r="S20"/>
          <cell r="T20">
            <v>0.62987290431442078</v>
          </cell>
          <cell r="V20">
            <v>-0.69417935048935897</v>
          </cell>
          <cell r="X20">
            <v>0.49891160964599601</v>
          </cell>
          <cell r="Z20">
            <v>-0.9014707817807841</v>
          </cell>
          <cell r="AB20">
            <v>-0.37165594147022785</v>
          </cell>
        </row>
        <row r="21">
          <cell r="A21" t="str">
            <v>Sri Lanka</v>
          </cell>
          <cell r="B21">
            <v>5.1325586442188084E-2</v>
          </cell>
          <cell r="C21"/>
          <cell r="D21">
            <v>1.0518792828359416</v>
          </cell>
          <cell r="F21">
            <v>2.7144645028747814</v>
          </cell>
          <cell r="G21"/>
          <cell r="H21">
            <v>-1.4659942845644927</v>
          </cell>
          <cell r="J21">
            <v>1.1626755695973388</v>
          </cell>
          <cell r="L21">
            <v>-0.12734471694481969</v>
          </cell>
          <cell r="N21">
            <v>-0.39887038818233966</v>
          </cell>
          <cell r="P21">
            <v>-0.688867930648558</v>
          </cell>
          <cell r="R21">
            <v>-0.37005425735527414</v>
          </cell>
          <cell r="S21"/>
          <cell r="T21">
            <v>0.72996929292070933</v>
          </cell>
          <cell r="V21">
            <v>0.44651415673313205</v>
          </cell>
          <cell r="X21">
            <v>0.45587896743495632</v>
          </cell>
          <cell r="Z21">
            <v>0.10072183387211392</v>
          </cell>
          <cell r="AB21">
            <v>1.993366696390162</v>
          </cell>
        </row>
        <row r="22">
          <cell r="A22" t="str">
            <v>Turkey</v>
          </cell>
          <cell r="B22">
            <v>-0.33356401709113276</v>
          </cell>
          <cell r="C22"/>
          <cell r="D22">
            <v>-0.18222771400103507</v>
          </cell>
          <cell r="F22">
            <v>0.59127546868477021</v>
          </cell>
          <cell r="G22"/>
          <cell r="H22">
            <v>0.33857077849848161</v>
          </cell>
          <cell r="J22">
            <v>-5.2135716955758679E-2</v>
          </cell>
          <cell r="L22">
            <v>-1.0736095384346385</v>
          </cell>
          <cell r="N22">
            <v>-0.21143129599139057</v>
          </cell>
          <cell r="P22">
            <v>-1.4573427802433785</v>
          </cell>
          <cell r="R22">
            <v>-0.4259510114872927</v>
          </cell>
          <cell r="S22"/>
          <cell r="T22">
            <v>1.0915470021166584</v>
          </cell>
          <cell r="V22">
            <v>-0.67427991174671464</v>
          </cell>
          <cell r="X22">
            <v>0.32060255447826819</v>
          </cell>
          <cell r="Z22">
            <v>-0.7744689730118518</v>
          </cell>
          <cell r="AB22">
            <v>0.26494231214904806</v>
          </cell>
        </row>
        <row r="23">
          <cell r="A23" t="str">
            <v>Ukraine</v>
          </cell>
          <cell r="B23">
            <v>0.27427567834396227</v>
          </cell>
          <cell r="C23"/>
          <cell r="D23">
            <v>-0.23474290535579986</v>
          </cell>
          <cell r="F23">
            <v>1.0286490582061536</v>
          </cell>
          <cell r="G23"/>
          <cell r="H23">
            <v>-9.1087569849845645E-2</v>
          </cell>
          <cell r="J23">
            <v>0.76972025730783988</v>
          </cell>
          <cell r="L23">
            <v>-0.71114496809092365</v>
          </cell>
          <cell r="N23">
            <v>1.0631545309070634</v>
          </cell>
          <cell r="P23">
            <v>-0.5894182442304049</v>
          </cell>
          <cell r="R23">
            <v>-0.40820601017554076</v>
          </cell>
          <cell r="S23"/>
          <cell r="T23">
            <v>0.72685154643788963</v>
          </cell>
          <cell r="V23">
            <v>2.2602476880500322</v>
          </cell>
          <cell r="X23">
            <v>-0.49410978913987891</v>
          </cell>
          <cell r="Z23">
            <v>2.2379875671233433</v>
          </cell>
          <cell r="AB23">
            <v>3.7345593708690727</v>
          </cell>
        </row>
        <row r="24">
          <cell r="A24" t="str">
            <v>Uruguay</v>
          </cell>
          <cell r="B24">
            <v>-7.0172626267379273E-2</v>
          </cell>
          <cell r="C24"/>
          <cell r="D24">
            <v>2.7833051418024925E-2</v>
          </cell>
          <cell r="F24">
            <v>0.31980220622322147</v>
          </cell>
          <cell r="G24"/>
          <cell r="H24">
            <v>1.2408533100299688</v>
          </cell>
          <cell r="J24">
            <v>-0.33360511317114749</v>
          </cell>
          <cell r="L24">
            <v>-0.4195735588754988</v>
          </cell>
          <cell r="N24">
            <v>1.4005448968507714</v>
          </cell>
          <cell r="P24">
            <v>-8.3915095085167368E-2</v>
          </cell>
          <cell r="R24">
            <v>-0.18728074384422957</v>
          </cell>
          <cell r="S24"/>
          <cell r="T24">
            <v>0.23112318853102221</v>
          </cell>
          <cell r="V24">
            <v>-0.44534397779812457</v>
          </cell>
          <cell r="X24">
            <v>0.23468824072872999</v>
          </cell>
          <cell r="Z24">
            <v>-0.52566489244397885</v>
          </cell>
          <cell r="AB24">
            <v>-0.62814681708410414</v>
          </cell>
        </row>
        <row r="25">
          <cell r="A25" t="str">
            <v>Venezuela</v>
          </cell>
          <cell r="B25">
            <v>3.8677988562603627</v>
          </cell>
          <cell r="C25"/>
          <cell r="D25">
            <v>-1.6720836927357168</v>
          </cell>
          <cell r="F25">
            <v>-0.36893551520700318</v>
          </cell>
          <cell r="G25"/>
          <cell r="H25">
            <v>0.16670743915915073</v>
          </cell>
          <cell r="J25">
            <v>3.5944553603951035</v>
          </cell>
          <cell r="L25">
            <v>0.35104715552212706</v>
          </cell>
          <cell r="N25">
            <v>-1.2610902122607053</v>
          </cell>
          <cell r="P25">
            <v>1.5013836611378051</v>
          </cell>
          <cell r="R25">
            <v>-0.54839152053838081</v>
          </cell>
          <cell r="S25"/>
          <cell r="T25">
            <v>0.55280020541034269</v>
          </cell>
          <cell r="V25">
            <v>1.6415327013261518</v>
          </cell>
          <cell r="X25">
            <v>-1.9225417326460792</v>
          </cell>
          <cell r="Z25">
            <v>2.5898537259884344</v>
          </cell>
          <cell r="AB25">
            <v>6.7371092917938808</v>
          </cell>
        </row>
        <row r="26">
          <cell r="A26" t="str">
            <v>Vietnam</v>
          </cell>
          <cell r="B26">
            <v>1.0215681286824347</v>
          </cell>
          <cell r="C26"/>
          <cell r="D26">
            <v>0.68899931057451591</v>
          </cell>
          <cell r="F26">
            <v>-1.0794581280693274</v>
          </cell>
          <cell r="G26"/>
          <cell r="H26">
            <v>-1.6808234587386564</v>
          </cell>
          <cell r="J26">
            <v>0.60776606753352924</v>
          </cell>
          <cell r="L26">
            <v>0.86548825520886863</v>
          </cell>
          <cell r="N26">
            <v>1.8878865365472393</v>
          </cell>
          <cell r="P26">
            <v>-0.66606918830763751</v>
          </cell>
          <cell r="R26">
            <v>-0.1588887417454265</v>
          </cell>
          <cell r="S26"/>
          <cell r="T26">
            <v>7.0943064801336136E-2</v>
          </cell>
          <cell r="V26">
            <v>-5.7351011592223271E-2</v>
          </cell>
          <cell r="X26">
            <v>0.20068295687681542</v>
          </cell>
          <cell r="Z26">
            <v>-0.17283491457682185</v>
          </cell>
          <cell r="AB26">
            <v>0.50587421775804353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8">
          <cell r="C18" t="str">
            <v>Argentina</v>
          </cell>
          <cell r="D18">
            <v>883.33399999999995</v>
          </cell>
          <cell r="E18">
            <v>1.4255405250063531</v>
          </cell>
        </row>
        <row r="19">
          <cell r="C19" t="str">
            <v>Belarus</v>
          </cell>
          <cell r="D19">
            <v>1578.6890000000001</v>
          </cell>
          <cell r="E19">
            <v>3.443649392747151</v>
          </cell>
        </row>
        <row r="20">
          <cell r="C20" t="str">
            <v>Belize</v>
          </cell>
          <cell r="D20">
            <v>1281.681</v>
          </cell>
          <cell r="E20">
            <v>2.5816515950898986</v>
          </cell>
        </row>
        <row r="21">
          <cell r="C21" t="str">
            <v>Brazil</v>
          </cell>
          <cell r="D21">
            <v>223.17</v>
          </cell>
          <cell r="E21">
            <v>-0.49043451301485325</v>
          </cell>
        </row>
        <row r="22">
          <cell r="C22" t="str">
            <v>Bulgaria</v>
          </cell>
          <cell r="D22">
            <v>334.88299999999998</v>
          </cell>
          <cell r="E22">
            <v>-0.16621307800406349</v>
          </cell>
        </row>
        <row r="23">
          <cell r="C23" t="str">
            <v>Chile</v>
          </cell>
          <cell r="D23">
            <v>158.958</v>
          </cell>
          <cell r="E23">
            <v>-0.6767951584626779</v>
          </cell>
        </row>
        <row r="24">
          <cell r="C24" t="str">
            <v>China</v>
          </cell>
          <cell r="D24">
            <v>267.96899999999999</v>
          </cell>
          <cell r="E24">
            <v>-0.36041566053529961</v>
          </cell>
        </row>
        <row r="25">
          <cell r="C25" t="str">
            <v>Colombia</v>
          </cell>
          <cell r="D25">
            <v>191.267</v>
          </cell>
          <cell r="E25">
            <v>-0.58302567466255073</v>
          </cell>
        </row>
        <row r="26">
          <cell r="C26" t="str">
            <v>Croatia</v>
          </cell>
          <cell r="D26">
            <v>572.21199999999999</v>
          </cell>
          <cell r="E26">
            <v>0.52258007005995533</v>
          </cell>
        </row>
        <row r="27">
          <cell r="C27" t="str">
            <v>Dominican Republic</v>
          </cell>
          <cell r="D27">
            <v>554.03</v>
          </cell>
          <cell r="E27">
            <v>0.4698109730760216</v>
          </cell>
        </row>
        <row r="28">
          <cell r="C28" t="str">
            <v>Ecuador</v>
          </cell>
          <cell r="D28">
            <v>882.23199999999997</v>
          </cell>
          <cell r="E28">
            <v>1.4223422220211868</v>
          </cell>
        </row>
        <row r="29">
          <cell r="C29" t="str">
            <v>Egypt</v>
          </cell>
          <cell r="D29">
            <v>410.12299999999999</v>
          </cell>
          <cell r="E29">
            <v>5.2153815465916083E-2</v>
          </cell>
        </row>
        <row r="30">
          <cell r="C30" t="str">
            <v>El Salvador</v>
          </cell>
          <cell r="D30">
            <v>474.108</v>
          </cell>
          <cell r="E30">
            <v>0.23785564532605222</v>
          </cell>
        </row>
        <row r="31">
          <cell r="C31" t="str">
            <v>Gabon</v>
          </cell>
          <cell r="D31">
            <v>453.858</v>
          </cell>
          <cell r="E31">
            <v>0.17908465127013667</v>
          </cell>
        </row>
        <row r="32">
          <cell r="C32" t="str">
            <v>Georgia</v>
          </cell>
          <cell r="D32">
            <v>471.71100000000001</v>
          </cell>
          <cell r="E32">
            <v>0.2308989009926187</v>
          </cell>
        </row>
        <row r="33">
          <cell r="C33" t="str">
            <v>Ghana</v>
          </cell>
          <cell r="D33">
            <v>569.71500000000003</v>
          </cell>
          <cell r="E33">
            <v>0.51533309859538157</v>
          </cell>
        </row>
        <row r="34">
          <cell r="C34" t="str">
            <v>Hungary</v>
          </cell>
          <cell r="D34">
            <v>473.399</v>
          </cell>
          <cell r="E34">
            <v>0.23579793496626733</v>
          </cell>
        </row>
        <row r="35">
          <cell r="C35" t="str">
            <v>Indonesia</v>
          </cell>
          <cell r="D35">
            <v>268.66699999999997</v>
          </cell>
          <cell r="E35">
            <v>-0.35838987515994025</v>
          </cell>
        </row>
        <row r="36">
          <cell r="C36" t="str">
            <v>Iraq</v>
          </cell>
          <cell r="D36">
            <v>599.81399999999996</v>
          </cell>
          <cell r="E36">
            <v>0.60268856279730743</v>
          </cell>
        </row>
        <row r="37">
          <cell r="C37" t="str">
            <v>Ivory Coast</v>
          </cell>
          <cell r="D37">
            <v>1148.73</v>
          </cell>
          <cell r="E37">
            <v>2.1957917219675265</v>
          </cell>
        </row>
        <row r="38">
          <cell r="C38" t="str">
            <v>Jamaica</v>
          </cell>
          <cell r="D38">
            <v>596.72400000000005</v>
          </cell>
          <cell r="E38">
            <v>0.59372054444507161</v>
          </cell>
        </row>
        <row r="39">
          <cell r="C39" t="str">
            <v>Jordan</v>
          </cell>
          <cell r="D39">
            <v>410.24099999999999</v>
          </cell>
          <cell r="E39">
            <v>5.2496283480661647E-2</v>
          </cell>
        </row>
        <row r="40">
          <cell r="C40" t="str">
            <v>Kazakhstan</v>
          </cell>
          <cell r="D40">
            <v>436.54399999999998</v>
          </cell>
          <cell r="E40">
            <v>0.12883472578450098</v>
          </cell>
        </row>
        <row r="41">
          <cell r="C41" t="str">
            <v>Lebanon</v>
          </cell>
          <cell r="D41">
            <v>358.23099999999999</v>
          </cell>
          <cell r="E41">
            <v>-9.8450847425420679E-2</v>
          </cell>
        </row>
        <row r="42">
          <cell r="C42" t="str">
            <v>Lithuania</v>
          </cell>
          <cell r="D42">
            <v>427.26299999999998</v>
          </cell>
          <cell r="E42">
            <v>0.10189874574336752</v>
          </cell>
        </row>
        <row r="43">
          <cell r="C43" t="str">
            <v>Malaysia</v>
          </cell>
          <cell r="D43">
            <v>179.18299999999999</v>
          </cell>
          <cell r="E43">
            <v>-0.61809672118954739</v>
          </cell>
        </row>
        <row r="44">
          <cell r="C44" t="str">
            <v>Mexico</v>
          </cell>
          <cell r="D44">
            <v>225.31100000000001</v>
          </cell>
          <cell r="E44">
            <v>-0.48422075013713889</v>
          </cell>
        </row>
        <row r="45">
          <cell r="C45" t="str">
            <v>Nigeria</v>
          </cell>
          <cell r="D45">
            <v>475.80500000000001</v>
          </cell>
          <cell r="E45">
            <v>0.24278079974150352</v>
          </cell>
        </row>
        <row r="46">
          <cell r="C46" t="str">
            <v>Pakistan</v>
          </cell>
          <cell r="D46">
            <v>1139.5840000000001</v>
          </cell>
          <cell r="E46">
            <v>2.1692475485534328</v>
          </cell>
        </row>
        <row r="47">
          <cell r="C47" t="str">
            <v>Panama</v>
          </cell>
          <cell r="D47">
            <v>200.904</v>
          </cell>
          <cell r="E47">
            <v>-0.55505648603455771</v>
          </cell>
        </row>
        <row r="48">
          <cell r="C48" t="str">
            <v>Peru</v>
          </cell>
          <cell r="D48">
            <v>217.39699999999999</v>
          </cell>
          <cell r="E48">
            <v>-0.50718932529558414</v>
          </cell>
        </row>
        <row r="49">
          <cell r="C49" t="str">
            <v>Philippines</v>
          </cell>
          <cell r="D49">
            <v>232.67500000000001</v>
          </cell>
          <cell r="E49">
            <v>-0.46284842419996541</v>
          </cell>
        </row>
        <row r="50">
          <cell r="C50" t="str">
            <v>Poland</v>
          </cell>
          <cell r="D50">
            <v>267.02499999999998</v>
          </cell>
          <cell r="E50">
            <v>-0.36315540465326435</v>
          </cell>
        </row>
        <row r="51">
          <cell r="C51" t="str">
            <v>Russia</v>
          </cell>
          <cell r="D51">
            <v>335.41800000000001</v>
          </cell>
          <cell r="E51">
            <v>-0.16466036285246269</v>
          </cell>
        </row>
        <row r="52">
          <cell r="C52" t="str">
            <v>Serbia</v>
          </cell>
          <cell r="D52">
            <v>560.995</v>
          </cell>
          <cell r="E52">
            <v>0.49002529275994527</v>
          </cell>
        </row>
        <row r="53">
          <cell r="C53" t="str">
            <v>Senegal</v>
          </cell>
          <cell r="D53">
            <v>679.125</v>
          </cell>
          <cell r="E53">
            <v>0.83287060277600966</v>
          </cell>
        </row>
        <row r="54">
          <cell r="C54" t="str">
            <v>South Africa</v>
          </cell>
          <cell r="D54">
            <v>222.40199999999999</v>
          </cell>
          <cell r="E54">
            <v>-0.49266345738201095</v>
          </cell>
        </row>
        <row r="55">
          <cell r="C55" t="str">
            <v>Sri Lanka</v>
          </cell>
          <cell r="D55">
            <v>449.82900000000001</v>
          </cell>
          <cell r="E55">
            <v>0.16739140015649304</v>
          </cell>
        </row>
        <row r="56">
          <cell r="C56" t="str">
            <v>Turkey</v>
          </cell>
          <cell r="D56">
            <v>307.88799999999998</v>
          </cell>
          <cell r="E56">
            <v>-0.24455989205539388</v>
          </cell>
        </row>
        <row r="57">
          <cell r="C57" t="str">
            <v>Ukraine</v>
          </cell>
          <cell r="D57">
            <v>920.31700000000001</v>
          </cell>
          <cell r="E57">
            <v>1.5328752249159792</v>
          </cell>
        </row>
        <row r="58">
          <cell r="C58" t="str">
            <v>Uruguay</v>
          </cell>
          <cell r="D58">
            <v>272.36500000000001</v>
          </cell>
          <cell r="E58">
            <v>-0.34765727585037098</v>
          </cell>
        </row>
        <row r="59">
          <cell r="C59" t="str">
            <v>Venezuela</v>
          </cell>
          <cell r="D59">
            <v>1353.403</v>
          </cell>
          <cell r="E59">
            <v>2.7898082980863612</v>
          </cell>
        </row>
        <row r="60">
          <cell r="C60" t="str">
            <v>Vietnam</v>
          </cell>
          <cell r="D60">
            <v>549.45899999999995</v>
          </cell>
          <cell r="E60">
            <v>0.45654469091159733</v>
          </cell>
        </row>
        <row r="62">
          <cell r="C62" t="str">
            <v>EMBI Global Diversified</v>
          </cell>
          <cell r="D62">
            <v>392.15300000000002</v>
          </cell>
        </row>
        <row r="63">
          <cell r="C63" t="str">
            <v>EMBI Global Diversified St. Deviation</v>
          </cell>
          <cell r="D63">
            <v>344.55772486566872</v>
          </cell>
        </row>
      </sheetData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55"/>
  <sheetViews>
    <sheetView tabSelected="1" zoomScaleNormal="100" workbookViewId="0"/>
  </sheetViews>
  <sheetFormatPr defaultRowHeight="12.75" x14ac:dyDescent="0.2"/>
  <cols>
    <col min="1" max="1" width="9.140625" customWidth="1"/>
    <col min="2" max="2" width="12.5703125" bestFit="1" customWidth="1"/>
    <col min="3" max="3" width="6.140625" customWidth="1"/>
    <col min="4" max="4" width="11.42578125" bestFit="1" customWidth="1"/>
    <col min="5" max="5" width="35.28515625" bestFit="1" customWidth="1"/>
    <col min="6" max="6" width="16" bestFit="1" customWidth="1"/>
    <col min="7" max="7" width="21.7109375" bestFit="1" customWidth="1"/>
    <col min="8" max="8" width="2.85546875" customWidth="1"/>
    <col min="9" max="9" width="22.85546875" bestFit="1" customWidth="1"/>
    <col min="10" max="10" width="12.5703125" bestFit="1" customWidth="1"/>
    <col min="11" max="11" width="10.7109375" bestFit="1" customWidth="1"/>
    <col min="12" max="12" width="2.5703125" customWidth="1"/>
    <col min="13" max="13" width="13.85546875" bestFit="1" customWidth="1"/>
    <col min="14" max="14" width="3" customWidth="1"/>
    <col min="15" max="15" width="18.85546875" bestFit="1" customWidth="1"/>
  </cols>
  <sheetData>
    <row r="1" spans="1:15" x14ac:dyDescent="0.2">
      <c r="A1" s="63" t="s">
        <v>90</v>
      </c>
      <c r="B1" s="67" t="s">
        <v>78</v>
      </c>
      <c r="C1" s="67" t="s">
        <v>77</v>
      </c>
      <c r="D1" s="67" t="s">
        <v>88</v>
      </c>
      <c r="E1" s="67" t="s">
        <v>78</v>
      </c>
      <c r="F1" s="67" t="s">
        <v>75</v>
      </c>
      <c r="G1" s="67" t="s">
        <v>89</v>
      </c>
      <c r="H1" s="40"/>
      <c r="I1" s="65" t="s">
        <v>83</v>
      </c>
      <c r="J1" s="65" t="s">
        <v>84</v>
      </c>
      <c r="K1" s="65" t="s">
        <v>82</v>
      </c>
      <c r="L1" s="40"/>
      <c r="M1" s="63" t="s">
        <v>87</v>
      </c>
      <c r="O1" s="63" t="s">
        <v>85</v>
      </c>
    </row>
    <row r="2" spans="1:15" x14ac:dyDescent="0.2">
      <c r="A2" s="74">
        <v>40828</v>
      </c>
      <c r="B2" s="68"/>
      <c r="C2" s="68"/>
      <c r="D2" s="68"/>
      <c r="E2" s="68"/>
      <c r="F2" s="68"/>
      <c r="G2" s="68"/>
      <c r="I2" s="62">
        <v>0.28220000000000001</v>
      </c>
      <c r="J2" s="62">
        <v>0.94979999999999998</v>
      </c>
      <c r="K2" s="62">
        <v>-0.124</v>
      </c>
      <c r="M2" s="4"/>
    </row>
    <row r="3" spans="1:15" ht="13.5" thickBot="1" x14ac:dyDescent="0.25">
      <c r="B3" s="68"/>
      <c r="C3" s="68"/>
      <c r="D3" s="68"/>
      <c r="E3" s="68"/>
      <c r="F3" s="68"/>
      <c r="G3" s="68"/>
      <c r="I3" s="64" t="s">
        <v>92</v>
      </c>
    </row>
    <row r="4" spans="1:15" x14ac:dyDescent="0.2">
      <c r="B4" s="68" t="s">
        <v>0</v>
      </c>
      <c r="C4" s="73">
        <f>VLOOKUP(B4,'[1]ALL EM Rank'!A$2:AB$26,28,FALSE)</f>
        <v>-11.442787085807083</v>
      </c>
      <c r="D4" s="70">
        <f t="shared" ref="D4:D28" si="0">(C4-C$30)/C$31</f>
        <v>-3.1684774214779536</v>
      </c>
      <c r="E4" s="68" t="str">
        <f t="shared" ref="E4:E28" si="1">B4</f>
        <v>China</v>
      </c>
      <c r="F4" s="77">
        <f>VLOOKUP(E4,'[1]Stripped Spread'!C$18:E$60,2,FALSE)</f>
        <v>267.96899999999999</v>
      </c>
      <c r="G4" s="70">
        <f t="shared" ref="G4:G28" si="2">(F4-F$30)/F$31</f>
        <v>-0.36041566053529961</v>
      </c>
      <c r="H4" s="66"/>
      <c r="I4" s="72">
        <f t="shared" ref="I4:I28" si="3">I$2*D4^2+J$2*D4+K$2</f>
        <v>-0.30034373902848299</v>
      </c>
      <c r="L4" s="59"/>
      <c r="M4" s="70">
        <f t="shared" ref="M4:M28" si="4">F$30+I4*F$31</f>
        <v>288.66724460269779</v>
      </c>
      <c r="N4" s="54"/>
      <c r="O4" s="71">
        <f t="shared" ref="O4:O28" si="5">F4-M4</f>
        <v>-20.698244602697798</v>
      </c>
    </row>
    <row r="5" spans="1:15" x14ac:dyDescent="0.2">
      <c r="B5" s="68" t="s">
        <v>2</v>
      </c>
      <c r="C5" s="73">
        <f>VLOOKUP(B5,'[1]ALL EM Rank'!A$2:AB$26,28,FALSE)</f>
        <v>-5.1334026767824366</v>
      </c>
      <c r="D5" s="70">
        <f t="shared" si="0"/>
        <v>-1.3887995353539138</v>
      </c>
      <c r="E5" s="68" t="str">
        <f t="shared" si="1"/>
        <v>Malaysia</v>
      </c>
      <c r="F5" s="77">
        <f>VLOOKUP(E5,'[1]Stripped Spread'!C$18:E$60,2,FALSE)</f>
        <v>179.18299999999999</v>
      </c>
      <c r="G5" s="70">
        <f t="shared" si="2"/>
        <v>-0.61809672118954739</v>
      </c>
      <c r="H5" s="66"/>
      <c r="I5" s="72">
        <f t="shared" si="3"/>
        <v>-0.89878455571867977</v>
      </c>
      <c r="L5" s="59"/>
      <c r="M5" s="70">
        <f t="shared" si="4"/>
        <v>82.46983833717087</v>
      </c>
      <c r="N5" s="54"/>
      <c r="O5" s="71">
        <f t="shared" si="5"/>
        <v>96.713161662829123</v>
      </c>
    </row>
    <row r="6" spans="1:15" x14ac:dyDescent="0.2">
      <c r="B6" s="68" t="s">
        <v>17</v>
      </c>
      <c r="C6" s="73">
        <f>VLOOKUP(B6,'[1]ALL EM Rank'!A$2:AB$26,28,FALSE)</f>
        <v>-3.099419501831977</v>
      </c>
      <c r="D6" s="70">
        <f t="shared" si="0"/>
        <v>-0.81507718107319238</v>
      </c>
      <c r="E6" s="68" t="str">
        <f t="shared" si="1"/>
        <v>Peru</v>
      </c>
      <c r="F6" s="77">
        <f>VLOOKUP(E6,'[1]Stripped Spread'!C$18:E$60,2,FALSE)</f>
        <v>217.39699999999999</v>
      </c>
      <c r="G6" s="70">
        <f t="shared" si="2"/>
        <v>-0.50718932529558414</v>
      </c>
      <c r="H6" s="66"/>
      <c r="I6" s="72">
        <f t="shared" si="3"/>
        <v>-0.71068050768914237</v>
      </c>
      <c r="L6" s="59"/>
      <c r="M6" s="70">
        <f t="shared" si="4"/>
        <v>147.28254116425074</v>
      </c>
      <c r="N6" s="54"/>
      <c r="O6" s="71">
        <f t="shared" si="5"/>
        <v>70.114458835749247</v>
      </c>
    </row>
    <row r="7" spans="1:15" x14ac:dyDescent="0.2">
      <c r="B7" s="68" t="s">
        <v>12</v>
      </c>
      <c r="C7" s="73">
        <f>VLOOKUP(B7,'[1]ALL EM Rank'!A$2:AB$26,28,FALSE)</f>
        <v>-3.0654472871064629</v>
      </c>
      <c r="D7" s="70">
        <f t="shared" si="0"/>
        <v>-0.80549469324709377</v>
      </c>
      <c r="E7" s="68" t="str">
        <f t="shared" si="1"/>
        <v>Chile</v>
      </c>
      <c r="F7" s="77">
        <f>VLOOKUP(E7,'[1]Stripped Spread'!C$18:E$60,2,FALSE)</f>
        <v>158.958</v>
      </c>
      <c r="G7" s="70">
        <f t="shared" si="2"/>
        <v>-0.6767951584626779</v>
      </c>
      <c r="H7" s="66"/>
      <c r="I7" s="72">
        <f t="shared" si="3"/>
        <v>-0.70596137566643702</v>
      </c>
      <c r="L7" s="59"/>
      <c r="M7" s="70">
        <f t="shared" si="4"/>
        <v>148.90855455733481</v>
      </c>
      <c r="N7" s="54"/>
      <c r="O7" s="71">
        <f t="shared" si="5"/>
        <v>10.049445442665188</v>
      </c>
    </row>
    <row r="8" spans="1:15" x14ac:dyDescent="0.2">
      <c r="B8" s="68" t="s">
        <v>23</v>
      </c>
      <c r="C8" s="73">
        <f>VLOOKUP(B8,'[1]ALL EM Rank'!A$2:AB$26,28,FALSE)</f>
        <v>-1.862096796423218</v>
      </c>
      <c r="D8" s="70">
        <f t="shared" si="0"/>
        <v>-0.46606756078988071</v>
      </c>
      <c r="E8" s="68" t="str">
        <f t="shared" si="1"/>
        <v>Panama</v>
      </c>
      <c r="F8" s="77">
        <f>VLOOKUP(E8,'[1]Stripped Spread'!C$18:E$60,2,FALSE)</f>
        <v>200.904</v>
      </c>
      <c r="G8" s="70">
        <f t="shared" si="2"/>
        <v>-0.55505648603455771</v>
      </c>
      <c r="H8" s="66"/>
      <c r="I8" s="72">
        <f t="shared" si="3"/>
        <v>-0.50537177555976709</v>
      </c>
      <c r="L8" s="59"/>
      <c r="M8" s="70">
        <f t="shared" si="4"/>
        <v>218.0232508018033</v>
      </c>
      <c r="N8" s="54"/>
      <c r="O8" s="71">
        <f t="shared" si="5"/>
        <v>-17.119250801803304</v>
      </c>
    </row>
    <row r="9" spans="1:15" x14ac:dyDescent="0.2">
      <c r="B9" s="68" t="s">
        <v>6</v>
      </c>
      <c r="C9" s="73">
        <f>VLOOKUP(B9,'[1]ALL EM Rank'!A$2:AB$26,28,FALSE)</f>
        <v>-1.7998258418502651</v>
      </c>
      <c r="D9" s="70">
        <f t="shared" si="0"/>
        <v>-0.44850289304784169</v>
      </c>
      <c r="E9" s="68" t="str">
        <f t="shared" si="1"/>
        <v>Mexico</v>
      </c>
      <c r="F9" s="77">
        <f>VLOOKUP(E9,'[1]Stripped Spread'!C$18:E$60,2,FALSE)</f>
        <v>225.31100000000001</v>
      </c>
      <c r="G9" s="70">
        <f t="shared" si="2"/>
        <v>-0.48422075013713889</v>
      </c>
      <c r="H9" s="66"/>
      <c r="I9" s="72">
        <f t="shared" si="3"/>
        <v>-0.49322215053744156</v>
      </c>
      <c r="L9" s="59"/>
      <c r="M9" s="70">
        <f t="shared" si="4"/>
        <v>222.20949795746679</v>
      </c>
      <c r="N9" s="54"/>
      <c r="O9" s="71">
        <f t="shared" si="5"/>
        <v>3.1015020425332125</v>
      </c>
    </row>
    <row r="10" spans="1:15" x14ac:dyDescent="0.2">
      <c r="B10" s="68" t="s">
        <v>1</v>
      </c>
      <c r="C10" s="73">
        <f>VLOOKUP(B10,'[1]ALL EM Rank'!A$2:AB$26,28,FALSE)</f>
        <v>-0.97372201129382652</v>
      </c>
      <c r="D10" s="70">
        <f t="shared" si="0"/>
        <v>-0.21548511768757808</v>
      </c>
      <c r="E10" s="68" t="str">
        <f t="shared" si="1"/>
        <v>Indonesia</v>
      </c>
      <c r="F10" s="77">
        <f>VLOOKUP(E10,'[1]Stripped Spread'!C$18:E$60,2,FALSE)</f>
        <v>268.66699999999997</v>
      </c>
      <c r="G10" s="70">
        <f t="shared" si="2"/>
        <v>-0.35838987515994025</v>
      </c>
      <c r="H10" s="66"/>
      <c r="I10" s="72">
        <f t="shared" si="3"/>
        <v>-0.31556413627603086</v>
      </c>
      <c r="L10" s="59"/>
      <c r="M10" s="70">
        <f t="shared" si="4"/>
        <v>283.42293915553097</v>
      </c>
      <c r="N10" s="54"/>
      <c r="O10" s="71">
        <f t="shared" si="5"/>
        <v>-14.755939155530996</v>
      </c>
    </row>
    <row r="11" spans="1:15" x14ac:dyDescent="0.2">
      <c r="B11" s="68" t="s">
        <v>4</v>
      </c>
      <c r="C11" s="73">
        <f>VLOOKUP(B11,'[1]ALL EM Rank'!A$2:AB$26,28,FALSE)</f>
        <v>-0.81545762235247721</v>
      </c>
      <c r="D11" s="70">
        <f t="shared" si="0"/>
        <v>-0.17084373670641917</v>
      </c>
      <c r="E11" s="68" t="str">
        <f t="shared" si="1"/>
        <v>Brazil</v>
      </c>
      <c r="F11" s="77">
        <f>VLOOKUP(E11,'[1]Stripped Spread'!C$18:E$60,2,FALSE)</f>
        <v>223.17</v>
      </c>
      <c r="G11" s="70">
        <f t="shared" si="2"/>
        <v>-0.49043451301485325</v>
      </c>
      <c r="H11" s="66"/>
      <c r="I11" s="72">
        <f t="shared" si="3"/>
        <v>-0.27803064537843147</v>
      </c>
      <c r="L11" s="59"/>
      <c r="M11" s="70">
        <f t="shared" si="4"/>
        <v>296.35539338547414</v>
      </c>
      <c r="N11" s="54"/>
      <c r="O11" s="71">
        <f t="shared" si="5"/>
        <v>-73.185393385474157</v>
      </c>
    </row>
    <row r="12" spans="1:15" x14ac:dyDescent="0.2">
      <c r="B12" s="68" t="s">
        <v>3</v>
      </c>
      <c r="C12" s="73">
        <f>VLOOKUP(B12,'[1]ALL EM Rank'!A$2:AB$26,28,FALSE)</f>
        <v>-0.80241601555773845</v>
      </c>
      <c r="D12" s="70">
        <f t="shared" si="0"/>
        <v>-0.16716511170792908</v>
      </c>
      <c r="E12" s="68" t="str">
        <f t="shared" si="1"/>
        <v>Philippines</v>
      </c>
      <c r="F12" s="77">
        <f>VLOOKUP(E12,'[1]Stripped Spread'!C$18:E$60,2,FALSE)</f>
        <v>232.67500000000001</v>
      </c>
      <c r="G12" s="70">
        <f t="shared" si="2"/>
        <v>-0.46284842419996541</v>
      </c>
      <c r="H12" s="66"/>
      <c r="I12" s="72">
        <f t="shared" si="3"/>
        <v>-0.27488757703588107</v>
      </c>
      <c r="L12" s="59"/>
      <c r="M12" s="70">
        <f t="shared" si="4"/>
        <v>297.43836186268061</v>
      </c>
      <c r="N12" s="54"/>
      <c r="O12" s="71">
        <f t="shared" si="5"/>
        <v>-64.763361862680597</v>
      </c>
    </row>
    <row r="13" spans="1:15" x14ac:dyDescent="0.2">
      <c r="B13" s="68" t="s">
        <v>8</v>
      </c>
      <c r="C13" s="73">
        <f>VLOOKUP(B13,'[1]ALL EM Rank'!A$2:AB$26,28,FALSE)</f>
        <v>-0.70128930364712805</v>
      </c>
      <c r="D13" s="70">
        <f t="shared" si="0"/>
        <v>-0.13864046315008799</v>
      </c>
      <c r="E13" s="68" t="str">
        <f t="shared" si="1"/>
        <v>Russia</v>
      </c>
      <c r="F13" s="77">
        <f>VLOOKUP(E13,'[1]Stripped Spread'!C$18:E$60,2,FALSE)</f>
        <v>335.41800000000001</v>
      </c>
      <c r="G13" s="70">
        <f t="shared" si="2"/>
        <v>-0.16466036285246269</v>
      </c>
      <c r="H13" s="66"/>
      <c r="I13" s="72">
        <f t="shared" si="3"/>
        <v>-0.25025649546201229</v>
      </c>
      <c r="L13" s="59"/>
      <c r="M13" s="70">
        <f t="shared" si="4"/>
        <v>305.9251912907535</v>
      </c>
      <c r="N13" s="54"/>
      <c r="O13" s="71">
        <f t="shared" si="5"/>
        <v>29.492808709246503</v>
      </c>
    </row>
    <row r="14" spans="1:15" x14ac:dyDescent="0.2">
      <c r="B14" s="68" t="s">
        <v>24</v>
      </c>
      <c r="C14" s="73">
        <f>VLOOKUP(B14,'[1]ALL EM Rank'!A$2:AB$26,28,FALSE)</f>
        <v>-0.62814681708410414</v>
      </c>
      <c r="D14" s="70">
        <f t="shared" si="0"/>
        <v>-0.11800927991038092</v>
      </c>
      <c r="E14" s="68" t="str">
        <f t="shared" si="1"/>
        <v>Uruguay</v>
      </c>
      <c r="F14" s="77">
        <f>VLOOKUP(E14,'[1]Stripped Spread'!C$18:E$60,2,FALSE)</f>
        <v>272.36500000000001</v>
      </c>
      <c r="G14" s="70">
        <f t="shared" si="2"/>
        <v>-0.34765727585037098</v>
      </c>
      <c r="H14" s="66"/>
      <c r="I14" s="72">
        <f t="shared" si="3"/>
        <v>-0.23215524319997022</v>
      </c>
      <c r="L14" s="59"/>
      <c r="M14" s="70">
        <f t="shared" si="4"/>
        <v>312.16211758738228</v>
      </c>
      <c r="N14" s="54"/>
      <c r="O14" s="71">
        <f t="shared" si="5"/>
        <v>-39.797117587382274</v>
      </c>
    </row>
    <row r="15" spans="1:15" x14ac:dyDescent="0.2">
      <c r="B15" s="68" t="s">
        <v>13</v>
      </c>
      <c r="C15" s="73">
        <f>VLOOKUP(B15,'[1]ALL EM Rank'!A$2:AB$26,28,FALSE)</f>
        <v>-0.57192543977731902</v>
      </c>
      <c r="D15" s="70">
        <f t="shared" si="0"/>
        <v>-0.10215100667262954</v>
      </c>
      <c r="E15" s="68" t="str">
        <f t="shared" si="1"/>
        <v>Colombia</v>
      </c>
      <c r="F15" s="77">
        <f>VLOOKUP(E15,'[1]Stripped Spread'!C$18:E$60,2,FALSE)</f>
        <v>191.267</v>
      </c>
      <c r="G15" s="70">
        <f t="shared" si="2"/>
        <v>-0.58302567466255073</v>
      </c>
      <c r="H15" s="66"/>
      <c r="I15" s="72">
        <f t="shared" si="3"/>
        <v>-0.21807831762971736</v>
      </c>
      <c r="L15" s="59"/>
      <c r="M15" s="70">
        <f t="shared" si="4"/>
        <v>317.01243103497194</v>
      </c>
      <c r="N15" s="54"/>
      <c r="O15" s="71">
        <f t="shared" si="5"/>
        <v>-125.74543103497194</v>
      </c>
    </row>
    <row r="16" spans="1:15" x14ac:dyDescent="0.2">
      <c r="B16" s="68" t="s">
        <v>15</v>
      </c>
      <c r="C16" s="73">
        <f>VLOOKUP(B16,'[1]ALL EM Rank'!A$2:AB$26,28,FALSE)</f>
        <v>-0.37340361538440336</v>
      </c>
      <c r="D16" s="70">
        <f t="shared" si="0"/>
        <v>-4.6154275790339129E-2</v>
      </c>
      <c r="E16" s="68" t="str">
        <f t="shared" si="1"/>
        <v>Hungary</v>
      </c>
      <c r="F16" s="77">
        <f>VLOOKUP(E16,'[1]Stripped Spread'!C$18:E$60,2,FALSE)</f>
        <v>473.399</v>
      </c>
      <c r="G16" s="70">
        <f t="shared" si="2"/>
        <v>0.23579793496626733</v>
      </c>
      <c r="H16" s="66"/>
      <c r="I16" s="72">
        <f t="shared" si="3"/>
        <v>-0.1672361838592373</v>
      </c>
      <c r="L16" s="59"/>
      <c r="M16" s="70">
        <f t="shared" si="4"/>
        <v>334.53048097424454</v>
      </c>
      <c r="N16" s="54"/>
      <c r="O16" s="71">
        <f t="shared" si="5"/>
        <v>138.86851902575546</v>
      </c>
    </row>
    <row r="17" spans="2:15" x14ac:dyDescent="0.2">
      <c r="B17" s="68" t="s">
        <v>11</v>
      </c>
      <c r="C17" s="73">
        <f>VLOOKUP(B17,'[1]ALL EM Rank'!A$2:AB$26,28,FALSE)</f>
        <v>-0.37165594147022785</v>
      </c>
      <c r="D17" s="70">
        <f t="shared" si="0"/>
        <v>-4.56613122275603E-2</v>
      </c>
      <c r="E17" s="68" t="str">
        <f t="shared" si="1"/>
        <v>South Africa</v>
      </c>
      <c r="F17" s="77">
        <f>VLOOKUP(E17,'[1]Stripped Spread'!C$18:E$60,2,FALSE)</f>
        <v>222.40199999999999</v>
      </c>
      <c r="G17" s="70">
        <f t="shared" si="2"/>
        <v>-0.49266345738201095</v>
      </c>
      <c r="H17" s="66"/>
      <c r="I17" s="72">
        <f t="shared" si="3"/>
        <v>-0.16678073993016523</v>
      </c>
      <c r="L17" s="59"/>
      <c r="M17" s="70">
        <f t="shared" si="4"/>
        <v>334.6874076982495</v>
      </c>
      <c r="N17" s="54"/>
      <c r="O17" s="71">
        <f t="shared" si="5"/>
        <v>-112.28540769824951</v>
      </c>
    </row>
    <row r="18" spans="2:15" x14ac:dyDescent="0.2">
      <c r="B18" s="68" t="s">
        <v>18</v>
      </c>
      <c r="C18" s="73">
        <f>VLOOKUP(B18,'[1]ALL EM Rank'!A$2:AB$26,28,FALSE)</f>
        <v>-0.24340581313980336</v>
      </c>
      <c r="D18" s="70">
        <f t="shared" si="0"/>
        <v>-9.486005337753841E-3</v>
      </c>
      <c r="E18" s="68" t="str">
        <f t="shared" si="1"/>
        <v>Poland</v>
      </c>
      <c r="F18" s="77">
        <f>VLOOKUP(E18,'[1]Stripped Spread'!C$18:E$60,2,FALSE)</f>
        <v>267.02499999999998</v>
      </c>
      <c r="G18" s="70">
        <f t="shared" si="2"/>
        <v>-0.36315540465326435</v>
      </c>
      <c r="H18" s="66"/>
      <c r="I18" s="72">
        <f t="shared" si="3"/>
        <v>-0.1329844143011096</v>
      </c>
      <c r="L18" s="59"/>
      <c r="M18" s="70">
        <f t="shared" si="4"/>
        <v>346.33219276581622</v>
      </c>
      <c r="N18" s="54"/>
      <c r="O18" s="71">
        <f t="shared" si="5"/>
        <v>-79.307192765816239</v>
      </c>
    </row>
    <row r="19" spans="2:15" x14ac:dyDescent="0.2">
      <c r="B19" s="68" t="s">
        <v>9</v>
      </c>
      <c r="C19" s="73">
        <f>VLOOKUP(B19,'[1]ALL EM Rank'!A$2:AB$26,28,FALSE)</f>
        <v>0.26494231214904806</v>
      </c>
      <c r="D19" s="70">
        <f t="shared" si="0"/>
        <v>0.13390293063120495</v>
      </c>
      <c r="E19" s="68" t="str">
        <f t="shared" si="1"/>
        <v>Turkey</v>
      </c>
      <c r="F19" s="77">
        <f>VLOOKUP(E19,'[1]Stripped Spread'!C$18:E$60,2,FALSE)</f>
        <v>307.88799999999998</v>
      </c>
      <c r="G19" s="70">
        <f t="shared" si="2"/>
        <v>-0.24455989205539388</v>
      </c>
      <c r="H19" s="66"/>
      <c r="I19" s="72">
        <f t="shared" si="3"/>
        <v>8.240848055003136E-3</v>
      </c>
      <c r="L19" s="59"/>
      <c r="M19" s="70">
        <f t="shared" si="4"/>
        <v>394.99244785679559</v>
      </c>
      <c r="N19" s="54"/>
      <c r="O19" s="71">
        <f t="shared" si="5"/>
        <v>-87.104447856795616</v>
      </c>
    </row>
    <row r="20" spans="2:15" x14ac:dyDescent="0.2">
      <c r="B20" s="68" t="s">
        <v>16</v>
      </c>
      <c r="C20" s="73">
        <f>VLOOKUP(B20,'[1]ALL EM Rank'!A$2:AB$26,28,FALSE)</f>
        <v>0.48965584082404273</v>
      </c>
      <c r="D20" s="70">
        <f t="shared" si="0"/>
        <v>0.19728751330519209</v>
      </c>
      <c r="E20" s="68" t="str">
        <f t="shared" si="1"/>
        <v>Kazakhstan</v>
      </c>
      <c r="F20" s="77">
        <f>VLOOKUP(E20,'[1]Stripped Spread'!C$18:E$60,2,FALSE)</f>
        <v>436.54399999999998</v>
      </c>
      <c r="G20" s="70">
        <f t="shared" si="2"/>
        <v>0.12883472578450098</v>
      </c>
      <c r="H20" s="66"/>
      <c r="I20" s="72">
        <f t="shared" si="3"/>
        <v>7.4367570949385953E-2</v>
      </c>
      <c r="L20" s="59"/>
      <c r="M20" s="70">
        <f t="shared" si="4"/>
        <v>417.77692105010664</v>
      </c>
      <c r="N20" s="54"/>
      <c r="O20" s="71">
        <f t="shared" si="5"/>
        <v>18.767078949893346</v>
      </c>
    </row>
    <row r="21" spans="2:15" x14ac:dyDescent="0.2">
      <c r="B21" s="68" t="s">
        <v>20</v>
      </c>
      <c r="C21" s="73">
        <f>VLOOKUP(B21,'[1]ALL EM Rank'!A$2:AB$26,28,FALSE)</f>
        <v>0.50587421775804353</v>
      </c>
      <c r="D21" s="70">
        <f t="shared" si="0"/>
        <v>0.20186220473419753</v>
      </c>
      <c r="E21" s="68" t="str">
        <f t="shared" si="1"/>
        <v>Vietnam</v>
      </c>
      <c r="F21" s="77">
        <f>VLOOKUP(E21,'[1]Stripped Spread'!C$18:E$60,2,FALSE)</f>
        <v>549.45899999999995</v>
      </c>
      <c r="G21" s="70">
        <f t="shared" si="2"/>
        <v>0.45654469091159733</v>
      </c>
      <c r="H21" s="66"/>
      <c r="I21" s="72">
        <f t="shared" si="3"/>
        <v>7.9227906341923449E-2</v>
      </c>
      <c r="L21" s="59"/>
      <c r="M21" s="70">
        <f t="shared" si="4"/>
        <v>419.45158715504346</v>
      </c>
      <c r="N21" s="54"/>
      <c r="O21" s="71">
        <f t="shared" si="5"/>
        <v>130.00741284495649</v>
      </c>
    </row>
    <row r="22" spans="2:15" x14ac:dyDescent="0.2">
      <c r="B22" s="68" t="s">
        <v>5</v>
      </c>
      <c r="C22" s="73">
        <f>VLOOKUP(B22,'[1]ALL EM Rank'!A$2:AB$26,28,FALSE)</f>
        <v>1.85622761995257</v>
      </c>
      <c r="D22" s="70">
        <f t="shared" si="0"/>
        <v>0.58275421139344386</v>
      </c>
      <c r="E22" s="68" t="str">
        <f t="shared" si="1"/>
        <v>Argentina</v>
      </c>
      <c r="F22" s="77">
        <f>VLOOKUP(E22,'[1]Stripped Spread'!C$18:E$60,2,FALSE)</f>
        <v>883.33399999999995</v>
      </c>
      <c r="G22" s="70">
        <f t="shared" si="2"/>
        <v>1.4255405250063531</v>
      </c>
      <c r="H22" s="66"/>
      <c r="I22" s="72">
        <f t="shared" si="3"/>
        <v>0.52533576726856845</v>
      </c>
      <c r="K22" s="60"/>
      <c r="L22" s="59"/>
      <c r="M22" s="70">
        <f t="shared" si="4"/>
        <v>573.16149676061843</v>
      </c>
      <c r="N22" s="54"/>
      <c r="O22" s="71">
        <f t="shared" si="5"/>
        <v>310.17250323938151</v>
      </c>
    </row>
    <row r="23" spans="2:15" x14ac:dyDescent="0.2">
      <c r="B23" s="68" t="s">
        <v>26</v>
      </c>
      <c r="C23" s="73">
        <f>VLOOKUP(B23,'[1]ALL EM Rank'!A$2:AB$26,28,FALSE)</f>
        <v>1.993366696390162</v>
      </c>
      <c r="D23" s="70">
        <f t="shared" si="0"/>
        <v>0.62143680954206204</v>
      </c>
      <c r="E23" s="68" t="str">
        <f t="shared" si="1"/>
        <v>Sri Lanka</v>
      </c>
      <c r="F23" s="77">
        <f>VLOOKUP(E23,'[1]Stripped Spread'!C$18:E$60,2,FALSE)</f>
        <v>449.82900000000001</v>
      </c>
      <c r="G23" s="70">
        <f t="shared" si="2"/>
        <v>0.16739140015649304</v>
      </c>
      <c r="H23" s="66"/>
      <c r="I23" s="72">
        <f t="shared" si="3"/>
        <v>0.57522172417227779</v>
      </c>
      <c r="L23" s="59"/>
      <c r="M23" s="70">
        <f t="shared" si="4"/>
        <v>590.3500885741073</v>
      </c>
      <c r="N23" s="54"/>
      <c r="O23" s="71">
        <f t="shared" si="5"/>
        <v>-140.5210885741073</v>
      </c>
    </row>
    <row r="24" spans="2:15" x14ac:dyDescent="0.2">
      <c r="B24" s="75" t="s">
        <v>21</v>
      </c>
      <c r="C24" s="73">
        <f>VLOOKUP(B24,'[1]ALL EM Rank'!A$2:AB$26,28,FALSE)</f>
        <v>2.0956869336598878</v>
      </c>
      <c r="D24" s="70">
        <f t="shared" si="0"/>
        <v>0.65029811387334235</v>
      </c>
      <c r="E24" s="68" t="str">
        <f t="shared" si="1"/>
        <v>Egypt</v>
      </c>
      <c r="F24" s="77">
        <f>VLOOKUP(E24,'[1]Stripped Spread'!C$18:E$60,2,FALSE)</f>
        <v>410.12299999999999</v>
      </c>
      <c r="G24" s="70">
        <f t="shared" si="2"/>
        <v>5.2153815465916083E-2</v>
      </c>
      <c r="H24" s="66"/>
      <c r="I24" s="72">
        <f t="shared" si="3"/>
        <v>0.61299203969211991</v>
      </c>
      <c r="L24" s="59"/>
      <c r="M24" s="70">
        <f t="shared" si="4"/>
        <v>603.36414255708257</v>
      </c>
      <c r="N24" s="54"/>
      <c r="O24" s="71">
        <f t="shared" si="5"/>
        <v>-193.24114255708258</v>
      </c>
    </row>
    <row r="25" spans="2:15" x14ac:dyDescent="0.2">
      <c r="B25" s="68" t="s">
        <v>14</v>
      </c>
      <c r="C25" s="73">
        <f>VLOOKUP(B25,'[1]ALL EM Rank'!A$2:AB$26,28,FALSE)</f>
        <v>3.0553775931159812</v>
      </c>
      <c r="D25" s="70">
        <f t="shared" si="0"/>
        <v>0.92099651064733656</v>
      </c>
      <c r="E25" s="68" t="str">
        <f t="shared" si="1"/>
        <v>Ecuador</v>
      </c>
      <c r="F25" s="77">
        <f>VLOOKUP(E25,'[1]Stripped Spread'!C$18:E$60,2,FALSE)</f>
        <v>882.23199999999997</v>
      </c>
      <c r="G25" s="70">
        <f t="shared" si="2"/>
        <v>1.4223422220211868</v>
      </c>
      <c r="H25" s="66"/>
      <c r="I25" s="72">
        <f t="shared" si="3"/>
        <v>0.99013428220749378</v>
      </c>
      <c r="L25" s="59"/>
      <c r="M25" s="70">
        <f t="shared" si="4"/>
        <v>733.31141558891602</v>
      </c>
      <c r="N25" s="54"/>
      <c r="O25" s="71">
        <f t="shared" si="5"/>
        <v>148.92058441108395</v>
      </c>
    </row>
    <row r="26" spans="2:15" x14ac:dyDescent="0.2">
      <c r="B26" s="68" t="s">
        <v>19</v>
      </c>
      <c r="C26" s="73">
        <f>VLOOKUP(B26,'[1]ALL EM Rank'!A$2:AB$26,28,FALSE)</f>
        <v>3.7345593708690727</v>
      </c>
      <c r="D26" s="70">
        <f t="shared" si="0"/>
        <v>1.1125722194909262</v>
      </c>
      <c r="E26" s="68" t="str">
        <f t="shared" si="1"/>
        <v>Ukraine</v>
      </c>
      <c r="F26" s="77">
        <f>VLOOKUP(E26,'[1]Stripped Spread'!C$18:E$60,2,FALSE)</f>
        <v>920.31700000000001</v>
      </c>
      <c r="G26" s="70">
        <f t="shared" si="2"/>
        <v>1.5328752249159792</v>
      </c>
      <c r="H26" s="66"/>
      <c r="I26" s="72">
        <f t="shared" si="3"/>
        <v>1.2820330355515943</v>
      </c>
      <c r="L26" s="59"/>
      <c r="M26" s="70">
        <f t="shared" si="4"/>
        <v>833.88738593228436</v>
      </c>
      <c r="N26" s="54"/>
      <c r="O26" s="71">
        <f t="shared" si="5"/>
        <v>86.429614067715647</v>
      </c>
    </row>
    <row r="27" spans="2:15" x14ac:dyDescent="0.2">
      <c r="B27" s="68" t="s">
        <v>22</v>
      </c>
      <c r="C27" s="73">
        <f>VLOOKUP(B27,'[1]ALL EM Rank'!A$2:AB$26,28,FALSE)</f>
        <v>5.907210594325413</v>
      </c>
      <c r="D27" s="70">
        <f t="shared" si="0"/>
        <v>1.7254084466060402</v>
      </c>
      <c r="E27" s="68" t="str">
        <f t="shared" si="1"/>
        <v>Pakistan</v>
      </c>
      <c r="F27" s="77">
        <f>VLOOKUP(E27,'[1]Stripped Spread'!C$18:E$60,2,FALSE)</f>
        <v>1139.5840000000001</v>
      </c>
      <c r="G27" s="70">
        <f t="shared" si="2"/>
        <v>2.1692475485534328</v>
      </c>
      <c r="H27" s="66"/>
      <c r="I27" s="72">
        <f t="shared" si="3"/>
        <v>2.354912024196631</v>
      </c>
      <c r="L27" s="59"/>
      <c r="M27" s="70">
        <f t="shared" si="4"/>
        <v>1203.5561293159979</v>
      </c>
      <c r="N27" s="54"/>
      <c r="O27" s="71">
        <f t="shared" si="5"/>
        <v>-63.97212931599779</v>
      </c>
    </row>
    <row r="28" spans="2:15" x14ac:dyDescent="0.2">
      <c r="B28" s="68" t="s">
        <v>7</v>
      </c>
      <c r="C28" s="73">
        <f>VLOOKUP(B28,'[1]ALL EM Rank'!A$2:AB$26,28,FALSE)</f>
        <v>6.7371092917938808</v>
      </c>
      <c r="D28" s="70">
        <f t="shared" si="0"/>
        <v>1.9594966339568085</v>
      </c>
      <c r="E28" s="68" t="str">
        <f t="shared" si="1"/>
        <v>Venezuela</v>
      </c>
      <c r="F28" s="77">
        <f>VLOOKUP(E28,'[1]Stripped Spread'!C$18:E$60,2,FALSE)</f>
        <v>1353.403</v>
      </c>
      <c r="G28" s="70">
        <f t="shared" si="2"/>
        <v>2.7898082980863612</v>
      </c>
      <c r="H28" s="66"/>
      <c r="I28" s="72">
        <f t="shared" si="3"/>
        <v>2.8206726588375077</v>
      </c>
      <c r="L28" s="59"/>
      <c r="M28" s="70">
        <f t="shared" si="4"/>
        <v>1364.0375539198483</v>
      </c>
      <c r="N28" s="54"/>
      <c r="O28" s="71">
        <f t="shared" si="5"/>
        <v>-10.634553919848258</v>
      </c>
    </row>
    <row r="29" spans="2:15" x14ac:dyDescent="0.2">
      <c r="B29" s="68"/>
      <c r="C29" s="68"/>
      <c r="D29" s="76"/>
      <c r="E29" s="68"/>
      <c r="F29" s="70"/>
      <c r="G29" s="70"/>
    </row>
    <row r="30" spans="2:15" x14ac:dyDescent="0.2">
      <c r="B30" s="69" t="s">
        <v>79</v>
      </c>
      <c r="C30" s="70">
        <f>AVERAGE(C4:C28)</f>
        <v>-0.20977565194681477</v>
      </c>
      <c r="D30" s="76"/>
      <c r="E30" s="69" t="s">
        <v>86</v>
      </c>
      <c r="F30" s="70">
        <f>VLOOKUP(E30,'[1]Stripped Spread'!C$62:D$63,2,FALSE)</f>
        <v>392.15300000000002</v>
      </c>
      <c r="G30" s="70"/>
    </row>
    <row r="31" spans="2:15" x14ac:dyDescent="0.2">
      <c r="B31" s="69" t="s">
        <v>80</v>
      </c>
      <c r="C31" s="70">
        <f>STDEV(C4:C28)</f>
        <v>3.5452395392549674</v>
      </c>
      <c r="D31" s="76"/>
      <c r="E31" s="69" t="str">
        <f>E30&amp;" "&amp;B31</f>
        <v>EMBI Global Diversified St. Deviation</v>
      </c>
      <c r="F31" s="70">
        <f>VLOOKUP(E31,'[1]Stripped Spread'!C$62:D$63,2,FALSE)</f>
        <v>344.55772486566872</v>
      </c>
      <c r="G31" s="70"/>
    </row>
    <row r="32" spans="2:15" x14ac:dyDescent="0.2">
      <c r="D32" s="61"/>
      <c r="F32" s="54"/>
      <c r="G32" s="54"/>
    </row>
    <row r="33" spans="4:6" x14ac:dyDescent="0.2">
      <c r="D33" s="61"/>
      <c r="F33" s="54"/>
    </row>
    <row r="34" spans="4:6" x14ac:dyDescent="0.2">
      <c r="D34" s="61"/>
      <c r="F34" s="54"/>
    </row>
    <row r="35" spans="4:6" x14ac:dyDescent="0.2">
      <c r="F35" s="54"/>
    </row>
    <row r="36" spans="4:6" x14ac:dyDescent="0.2">
      <c r="F36" s="54"/>
    </row>
    <row r="37" spans="4:6" x14ac:dyDescent="0.2">
      <c r="F37" s="54"/>
    </row>
    <row r="38" spans="4:6" x14ac:dyDescent="0.2">
      <c r="F38" s="54"/>
    </row>
    <row r="39" spans="4:6" x14ac:dyDescent="0.2">
      <c r="F39" s="54"/>
    </row>
    <row r="40" spans="4:6" x14ac:dyDescent="0.2">
      <c r="F40" s="54"/>
    </row>
    <row r="41" spans="4:6" x14ac:dyDescent="0.2">
      <c r="F41" s="54"/>
    </row>
    <row r="42" spans="4:6" x14ac:dyDescent="0.2">
      <c r="F42" s="54"/>
    </row>
    <row r="43" spans="4:6" x14ac:dyDescent="0.2">
      <c r="F43" s="54"/>
    </row>
    <row r="44" spans="4:6" x14ac:dyDescent="0.2">
      <c r="F44" s="54"/>
    </row>
    <row r="45" spans="4:6" x14ac:dyDescent="0.2">
      <c r="F45" s="54"/>
    </row>
    <row r="46" spans="4:6" x14ac:dyDescent="0.2">
      <c r="F46" s="54"/>
    </row>
    <row r="47" spans="4:6" x14ac:dyDescent="0.2">
      <c r="F47" s="54"/>
    </row>
    <row r="54" spans="1:1" hidden="1" x14ac:dyDescent="0.2">
      <c r="A54" t="s">
        <v>81</v>
      </c>
    </row>
    <row r="55" spans="1:1" hidden="1" x14ac:dyDescent="0.2">
      <c r="A55" s="78" t="s">
        <v>91</v>
      </c>
    </row>
  </sheetData>
  <sortState ref="B4:O28">
    <sortCondition ref="C4:C28"/>
  </sortState>
  <phoneticPr fontId="7" type="noConversion"/>
  <pageMargins left="0.75" right="0.75" top="1" bottom="1" header="0.5" footer="0.5"/>
  <pageSetup scale="61" fitToHeight="0" orientation="landscape" r:id="rId1"/>
  <headerFooter alignWithMargins="0">
    <oddHeader>&amp;C10/12/2011 RV Model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7"/>
  <sheetViews>
    <sheetView workbookViewId="0">
      <selection activeCell="A7" sqref="A7"/>
    </sheetView>
  </sheetViews>
  <sheetFormatPr defaultRowHeight="12.75" x14ac:dyDescent="0.2"/>
  <cols>
    <col min="1" max="1" width="15.28515625" customWidth="1"/>
    <col min="2" max="5" width="10.7109375" customWidth="1"/>
    <col min="6" max="6" width="7.140625" customWidth="1"/>
    <col min="7" max="7" width="15.28515625" customWidth="1"/>
    <col min="8" max="11" width="10.7109375" customWidth="1"/>
  </cols>
  <sheetData>
    <row r="1" spans="1:11" ht="18" x14ac:dyDescent="0.25">
      <c r="A1" s="79" t="s">
        <v>41</v>
      </c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ht="15.7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9" t="s">
        <v>76</v>
      </c>
    </row>
    <row r="3" spans="1:11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2"/>
    </row>
    <row r="4" spans="1:11" ht="15.75" x14ac:dyDescent="0.25">
      <c r="A4" s="80" t="s">
        <v>35</v>
      </c>
      <c r="B4" s="80"/>
      <c r="C4" s="80"/>
      <c r="D4" s="80"/>
      <c r="E4" s="80"/>
      <c r="F4" s="3"/>
      <c r="G4" s="80" t="s">
        <v>36</v>
      </c>
      <c r="H4" s="80"/>
      <c r="I4" s="80"/>
      <c r="J4" s="80"/>
      <c r="K4" s="80"/>
    </row>
    <row r="6" spans="1:11" x14ac:dyDescent="0.2">
      <c r="A6" s="4" t="s">
        <v>37</v>
      </c>
      <c r="B6" s="3" t="s">
        <v>32</v>
      </c>
      <c r="C6" s="3" t="s">
        <v>33</v>
      </c>
      <c r="D6" s="3" t="s">
        <v>34</v>
      </c>
      <c r="E6" s="3" t="s">
        <v>25</v>
      </c>
      <c r="G6" s="4" t="s">
        <v>29</v>
      </c>
      <c r="H6" s="3" t="s">
        <v>32</v>
      </c>
      <c r="I6" s="3" t="s">
        <v>33</v>
      </c>
      <c r="J6" s="3" t="s">
        <v>34</v>
      </c>
      <c r="K6" s="3" t="s">
        <v>25</v>
      </c>
    </row>
    <row r="7" spans="1:11" x14ac:dyDescent="0.2">
      <c r="A7" s="5" t="s">
        <v>0</v>
      </c>
      <c r="B7" s="6">
        <v>-0.3612636933038188</v>
      </c>
      <c r="C7" s="6">
        <v>-2.9367367594991531</v>
      </c>
      <c r="D7" s="6">
        <v>0.89742541948717602</v>
      </c>
      <c r="E7" s="6">
        <v>-2.4005750333157962</v>
      </c>
      <c r="G7" s="5" t="s">
        <v>4</v>
      </c>
      <c r="H7" s="6">
        <v>-0.58450831201311615</v>
      </c>
      <c r="I7" s="6">
        <v>-3.3352562654632041</v>
      </c>
      <c r="J7" s="6">
        <v>-1.1496846042071049</v>
      </c>
      <c r="K7" s="6">
        <v>-5.0694491816834253</v>
      </c>
    </row>
    <row r="8" spans="1:11" x14ac:dyDescent="0.2">
      <c r="A8" s="5" t="s">
        <v>12</v>
      </c>
      <c r="B8" s="6">
        <v>-0.3358729470104157</v>
      </c>
      <c r="C8" s="6">
        <v>0.80034329263479664</v>
      </c>
      <c r="D8" s="6">
        <v>-1.3921284885974574</v>
      </c>
      <c r="E8" s="6">
        <v>-0.92765814297307647</v>
      </c>
      <c r="G8" s="5" t="s">
        <v>17</v>
      </c>
      <c r="H8" s="6">
        <v>-0.87532049398406653</v>
      </c>
      <c r="I8" s="6">
        <v>-2.7636612218920908</v>
      </c>
      <c r="J8" s="6">
        <v>-0.58835366041631409</v>
      </c>
      <c r="K8" s="6">
        <v>-4.227335376292471</v>
      </c>
    </row>
    <row r="9" spans="1:11" x14ac:dyDescent="0.2">
      <c r="A9" s="5" t="s">
        <v>2</v>
      </c>
      <c r="B9" s="6">
        <v>-0.2091358917847764</v>
      </c>
      <c r="C9" s="6">
        <v>0.58107087246503952</v>
      </c>
      <c r="D9" s="6">
        <v>-0.35269679721659097</v>
      </c>
      <c r="E9" s="6">
        <v>1.9238183463672121E-2</v>
      </c>
      <c r="G9" s="5" t="s">
        <v>12</v>
      </c>
      <c r="H9" s="6">
        <v>-0.76303177593565263</v>
      </c>
      <c r="I9" s="6">
        <v>0.66737925399372766</v>
      </c>
      <c r="J9" s="6">
        <v>-2.7381434471774337</v>
      </c>
      <c r="K9" s="6">
        <v>-2.8337959691193588</v>
      </c>
    </row>
    <row r="10" spans="1:11" x14ac:dyDescent="0.2">
      <c r="A10" s="5" t="s">
        <v>18</v>
      </c>
      <c r="B10" s="6">
        <v>0.9062725320990116</v>
      </c>
      <c r="C10" s="6">
        <v>1.5553225943993163</v>
      </c>
      <c r="D10" s="6">
        <v>0.84739986632686937</v>
      </c>
      <c r="E10" s="6">
        <v>3.3089949928251974</v>
      </c>
      <c r="G10" s="5" t="s">
        <v>6</v>
      </c>
      <c r="H10" s="6">
        <v>-0.77129035170222471</v>
      </c>
      <c r="I10" s="6">
        <v>0.11305999002774467</v>
      </c>
      <c r="J10" s="6">
        <v>-1.4311440774001505</v>
      </c>
      <c r="K10" s="6">
        <v>-2.0893744390746303</v>
      </c>
    </row>
    <row r="11" spans="1:11" x14ac:dyDescent="0.2">
      <c r="B11" s="7"/>
      <c r="C11" s="7"/>
      <c r="D11" s="7"/>
      <c r="E11" s="7"/>
      <c r="G11" s="8" t="s">
        <v>23</v>
      </c>
      <c r="H11" s="6">
        <v>-1.1076257653185726</v>
      </c>
      <c r="I11" s="6">
        <v>0.87865490815248704</v>
      </c>
      <c r="J11" s="6">
        <v>-1.5094776547624194</v>
      </c>
      <c r="K11" s="6">
        <v>-1.7384485119285049</v>
      </c>
    </row>
    <row r="12" spans="1:11" x14ac:dyDescent="0.2">
      <c r="A12" s="4" t="s">
        <v>38</v>
      </c>
      <c r="B12" s="3" t="s">
        <v>32</v>
      </c>
      <c r="C12" s="3" t="s">
        <v>33</v>
      </c>
      <c r="D12" s="3" t="s">
        <v>34</v>
      </c>
      <c r="E12" s="3" t="s">
        <v>25</v>
      </c>
      <c r="G12" s="8" t="s">
        <v>24</v>
      </c>
      <c r="H12" s="6">
        <v>0.11391490119064712</v>
      </c>
      <c r="I12" s="6">
        <v>-0.784529139841595</v>
      </c>
      <c r="J12" s="6">
        <v>-7.5509344196967337E-2</v>
      </c>
      <c r="K12" s="6">
        <v>-0.74612358284791525</v>
      </c>
    </row>
    <row r="13" spans="1:11" x14ac:dyDescent="0.2">
      <c r="A13" s="5" t="s">
        <v>4</v>
      </c>
      <c r="B13" s="6">
        <v>-0.80543016532801204</v>
      </c>
      <c r="C13" s="6">
        <v>-2.6241903697399587</v>
      </c>
      <c r="D13" s="6">
        <v>-0.50925727059651649</v>
      </c>
      <c r="E13" s="6">
        <v>-3.9388778056644873</v>
      </c>
      <c r="G13" s="5" t="s">
        <v>13</v>
      </c>
      <c r="H13" s="6">
        <v>0.76166127793030314</v>
      </c>
      <c r="I13" s="6">
        <v>0.22906456395585764</v>
      </c>
      <c r="J13" s="6">
        <v>-0.8336039557984789</v>
      </c>
      <c r="K13" s="6">
        <v>0.15712188608768185</v>
      </c>
    </row>
    <row r="14" spans="1:11" x14ac:dyDescent="0.2">
      <c r="A14" s="5" t="s">
        <v>17</v>
      </c>
      <c r="B14" s="6">
        <v>-1.934219753132473</v>
      </c>
      <c r="C14" s="6">
        <v>-1.9279068588743342</v>
      </c>
      <c r="D14" s="6">
        <v>1.2086162383629946</v>
      </c>
      <c r="E14" s="6">
        <v>-2.6535103736438126</v>
      </c>
      <c r="G14" s="5" t="s">
        <v>5</v>
      </c>
      <c r="H14" s="6">
        <v>1.3482628271297807</v>
      </c>
      <c r="I14" s="6">
        <v>0.96384714479100719</v>
      </c>
      <c r="J14" s="6">
        <v>1.3325224548135408</v>
      </c>
      <c r="K14" s="6">
        <v>3.6446324267343284</v>
      </c>
    </row>
    <row r="15" spans="1:11" x14ac:dyDescent="0.2">
      <c r="A15" s="8" t="s">
        <v>23</v>
      </c>
      <c r="B15" s="6">
        <v>-1.6410877024053774</v>
      </c>
      <c r="C15" s="6">
        <v>1.313351025259121</v>
      </c>
      <c r="D15" s="6">
        <v>-1.4404449096804399</v>
      </c>
      <c r="E15" s="6">
        <v>-1.7681815868266963</v>
      </c>
      <c r="G15" s="5" t="s">
        <v>14</v>
      </c>
      <c r="H15" s="6">
        <v>0.5883386288776794</v>
      </c>
      <c r="I15" s="6">
        <v>2.9666517809720796</v>
      </c>
      <c r="J15" s="6">
        <v>2.6035839970410124</v>
      </c>
      <c r="K15" s="6">
        <v>6.1585744068907715</v>
      </c>
    </row>
    <row r="16" spans="1:11" x14ac:dyDescent="0.2">
      <c r="A16" s="5" t="s">
        <v>11</v>
      </c>
      <c r="B16" s="6">
        <v>0.77687233840316872</v>
      </c>
      <c r="C16" s="6">
        <v>-0.75195419205580749</v>
      </c>
      <c r="D16" s="6">
        <v>-1.541873453924921</v>
      </c>
      <c r="E16" s="6">
        <v>-1.5169553075775597</v>
      </c>
      <c r="G16" s="5" t="s">
        <v>7</v>
      </c>
      <c r="H16" s="6">
        <v>3.4976452907946718</v>
      </c>
      <c r="I16" s="6">
        <v>1.0925477706355291</v>
      </c>
      <c r="J16" s="6">
        <v>2.6786047706762104</v>
      </c>
      <c r="K16" s="6">
        <v>7.2687978321064115</v>
      </c>
    </row>
    <row r="17" spans="1:11" x14ac:dyDescent="0.2">
      <c r="A17" s="5" t="s">
        <v>6</v>
      </c>
      <c r="B17" s="6">
        <v>-0.70973266906390386</v>
      </c>
      <c r="C17" s="6">
        <v>0.8780930303512523</v>
      </c>
      <c r="D17" s="6">
        <v>-1.212470968656534</v>
      </c>
      <c r="E17" s="6">
        <v>-1.0441106073691855</v>
      </c>
      <c r="G17" s="4"/>
      <c r="H17" s="3"/>
      <c r="I17" s="3"/>
      <c r="J17" s="3"/>
      <c r="K17" s="3"/>
    </row>
    <row r="18" spans="1:11" x14ac:dyDescent="0.2">
      <c r="A18" s="5" t="s">
        <v>13</v>
      </c>
      <c r="B18" s="6">
        <v>-8.405081174229441E-2</v>
      </c>
      <c r="C18" s="6">
        <v>0.95422145939875325</v>
      </c>
      <c r="D18" s="6">
        <v>0.51668155441881713</v>
      </c>
      <c r="E18" s="6">
        <v>1.3868522020752758</v>
      </c>
    </row>
    <row r="19" spans="1:11" x14ac:dyDescent="0.2">
      <c r="A19" s="5" t="s">
        <v>8</v>
      </c>
      <c r="B19" s="6">
        <v>1.0617818327186523</v>
      </c>
      <c r="C19" s="6">
        <v>-0.7891333811106096</v>
      </c>
      <c r="D19" s="6">
        <v>1.3336211825109074</v>
      </c>
      <c r="E19" s="6">
        <v>1.6062696341189502</v>
      </c>
      <c r="G19" s="4" t="s">
        <v>27</v>
      </c>
      <c r="H19" s="3" t="s">
        <v>32</v>
      </c>
      <c r="I19" s="3" t="s">
        <v>33</v>
      </c>
      <c r="J19" s="3" t="s">
        <v>34</v>
      </c>
      <c r="K19" s="3" t="s">
        <v>25</v>
      </c>
    </row>
    <row r="20" spans="1:11" x14ac:dyDescent="0.2">
      <c r="A20" s="5" t="s">
        <v>15</v>
      </c>
      <c r="B20" s="6">
        <v>1.4389071719516233</v>
      </c>
      <c r="C20" s="6">
        <v>3.1865747700791887</v>
      </c>
      <c r="D20" s="6">
        <v>-0.94621899152207223</v>
      </c>
      <c r="E20" s="6">
        <v>3.6792629505087397</v>
      </c>
      <c r="G20" s="5" t="s">
        <v>11</v>
      </c>
      <c r="H20" s="6">
        <v>1.7171700007442059E-2</v>
      </c>
      <c r="I20" s="6">
        <v>-1.7907262836990123</v>
      </c>
      <c r="J20" s="6">
        <v>-1.5234509566644385</v>
      </c>
      <c r="K20" s="6">
        <v>-3.2970055403560088</v>
      </c>
    </row>
    <row r="21" spans="1:11" x14ac:dyDescent="0.2">
      <c r="A21" s="5" t="s">
        <v>16</v>
      </c>
      <c r="B21" s="6">
        <v>1.896959758598616</v>
      </c>
      <c r="C21" s="6">
        <v>-0.23905548330760573</v>
      </c>
      <c r="D21" s="6">
        <v>2.5913466190877577</v>
      </c>
      <c r="E21" s="6">
        <v>4.2492508943787684</v>
      </c>
      <c r="G21" s="5" t="s">
        <v>8</v>
      </c>
      <c r="H21" s="6">
        <v>-0.31346465034627857</v>
      </c>
      <c r="I21" s="6">
        <v>-1.8094786909521625</v>
      </c>
      <c r="J21" s="6">
        <v>-0.50792421876661098</v>
      </c>
      <c r="K21" s="6">
        <v>-2.6308675600650524</v>
      </c>
    </row>
    <row r="22" spans="1:11" x14ac:dyDescent="0.2">
      <c r="A22" s="4"/>
      <c r="B22" s="3"/>
      <c r="C22" s="3"/>
      <c r="D22" s="3"/>
      <c r="E22" s="3"/>
      <c r="G22" s="8" t="s">
        <v>21</v>
      </c>
      <c r="H22" s="6">
        <v>0.98477503417361689</v>
      </c>
      <c r="I22" s="6">
        <v>-3.0114177020225745</v>
      </c>
      <c r="J22" s="6">
        <v>-0.50842893217161655</v>
      </c>
      <c r="K22" s="6">
        <v>-2.5350716000205744</v>
      </c>
    </row>
    <row r="23" spans="1:11" x14ac:dyDescent="0.2">
      <c r="A23" s="4" t="s">
        <v>39</v>
      </c>
      <c r="B23" s="3" t="s">
        <v>32</v>
      </c>
      <c r="C23" s="3" t="s">
        <v>33</v>
      </c>
      <c r="D23" s="3" t="s">
        <v>34</v>
      </c>
      <c r="E23" s="3" t="s">
        <v>25</v>
      </c>
      <c r="G23" s="5" t="s">
        <v>16</v>
      </c>
      <c r="H23" s="6">
        <v>0.39738422076352148</v>
      </c>
      <c r="I23" s="6">
        <v>-1.7307097888533711</v>
      </c>
      <c r="J23" s="6">
        <v>-6.4089946837789763E-2</v>
      </c>
      <c r="K23" s="6">
        <v>-1.3974155149276395</v>
      </c>
    </row>
    <row r="24" spans="1:11" x14ac:dyDescent="0.2">
      <c r="A24" s="8" t="s">
        <v>21</v>
      </c>
      <c r="B24" s="6">
        <v>-5.675210112021023E-2</v>
      </c>
      <c r="C24" s="6">
        <v>-2.4864331503014694</v>
      </c>
      <c r="D24" s="6">
        <v>-0.77192136581541537</v>
      </c>
      <c r="E24" s="6">
        <v>-3.3151066172370953</v>
      </c>
      <c r="G24" s="5" t="s">
        <v>18</v>
      </c>
      <c r="H24" s="6">
        <v>-0.34119440404053986</v>
      </c>
      <c r="I24" s="6">
        <v>1.8046756662760193</v>
      </c>
      <c r="J24" s="6">
        <v>-1.7041935210943624</v>
      </c>
      <c r="K24" s="6">
        <v>-0.24071225885888303</v>
      </c>
    </row>
    <row r="25" spans="1:11" x14ac:dyDescent="0.2">
      <c r="A25" s="8" t="s">
        <v>20</v>
      </c>
      <c r="B25" s="6">
        <v>-1.3418332619989217</v>
      </c>
      <c r="C25" s="6">
        <v>-0.91290313113925281</v>
      </c>
      <c r="D25" s="6">
        <v>-0.56729646510804965</v>
      </c>
      <c r="E25" s="6">
        <v>-2.8220328582462244</v>
      </c>
      <c r="G25" s="5" t="s">
        <v>9</v>
      </c>
      <c r="H25" s="6">
        <v>0.27585341442188993</v>
      </c>
      <c r="I25" s="6">
        <v>1.8626502043192676</v>
      </c>
      <c r="J25" s="6">
        <v>-0.96026385368914602</v>
      </c>
      <c r="K25" s="6">
        <v>1.1782397650520116</v>
      </c>
    </row>
    <row r="26" spans="1:11" x14ac:dyDescent="0.2">
      <c r="A26" s="5" t="s">
        <v>3</v>
      </c>
      <c r="B26" s="6">
        <v>-0.30618860493164246</v>
      </c>
      <c r="C26" s="6">
        <v>-1.7043776590531527</v>
      </c>
      <c r="D26" s="6">
        <v>-0.10322955704084469</v>
      </c>
      <c r="E26" s="6">
        <v>-2.11379582102564</v>
      </c>
      <c r="G26" s="5" t="s">
        <v>15</v>
      </c>
      <c r="H26" s="6">
        <v>0.86770862666180937</v>
      </c>
      <c r="I26" s="6">
        <v>2.0633241394033282</v>
      </c>
      <c r="J26" s="6">
        <v>-1.3064119754878671</v>
      </c>
      <c r="K26" s="6">
        <v>1.6246207905772705</v>
      </c>
    </row>
    <row r="27" spans="1:11" x14ac:dyDescent="0.2">
      <c r="A27" s="8" t="s">
        <v>24</v>
      </c>
      <c r="B27" s="6">
        <v>-0.38687887493602646</v>
      </c>
      <c r="C27" s="6">
        <v>-0.4327961329879299</v>
      </c>
      <c r="D27" s="6">
        <v>-6.864900600029375E-2</v>
      </c>
      <c r="E27" s="6">
        <v>-0.88832401392425009</v>
      </c>
      <c r="G27" s="5" t="s">
        <v>19</v>
      </c>
      <c r="H27" s="6">
        <v>0.96953484306815685</v>
      </c>
      <c r="I27" s="6">
        <v>0.90924943387952295</v>
      </c>
      <c r="J27" s="6">
        <v>1.9709459167946795</v>
      </c>
      <c r="K27" s="6">
        <v>3.8497301937423591</v>
      </c>
    </row>
    <row r="28" spans="1:11" x14ac:dyDescent="0.2">
      <c r="A28" s="5" t="s">
        <v>1</v>
      </c>
      <c r="B28" s="6">
        <v>-1.0608673811855933</v>
      </c>
      <c r="C28" s="6">
        <v>0.97180426032913458</v>
      </c>
      <c r="D28" s="6">
        <v>-0.78177818067854155</v>
      </c>
      <c r="E28" s="6">
        <v>-0.87084130153500028</v>
      </c>
      <c r="G28" s="8" t="s">
        <v>22</v>
      </c>
      <c r="H28" s="6">
        <v>2.5451726870633107</v>
      </c>
      <c r="I28" s="6">
        <v>2.1801803650451257</v>
      </c>
      <c r="J28" s="6">
        <v>2.289945203366845</v>
      </c>
      <c r="K28" s="6">
        <v>7.0152982554752814</v>
      </c>
    </row>
    <row r="29" spans="1:11" x14ac:dyDescent="0.2">
      <c r="A29" s="5" t="s">
        <v>9</v>
      </c>
      <c r="B29" s="6">
        <v>0.47855081622090412</v>
      </c>
      <c r="C29" s="6">
        <v>2.960510582673979</v>
      </c>
      <c r="D29" s="6">
        <v>-1.3453920149699947</v>
      </c>
      <c r="E29" s="6">
        <v>2.0936693839248885</v>
      </c>
    </row>
    <row r="30" spans="1:11" x14ac:dyDescent="0.2">
      <c r="A30" s="5" t="s">
        <v>7</v>
      </c>
      <c r="B30" s="6">
        <v>2.6739694079514895</v>
      </c>
      <c r="C30" s="6">
        <v>1.6041952304786868</v>
      </c>
      <c r="D30" s="6">
        <v>3.6382665896131483</v>
      </c>
      <c r="E30" s="6">
        <v>7.9164312280433249</v>
      </c>
    </row>
    <row r="31" spans="1:11" x14ac:dyDescent="0.2">
      <c r="G31" s="4" t="s">
        <v>10</v>
      </c>
      <c r="H31" s="3" t="s">
        <v>32</v>
      </c>
      <c r="I31" s="3" t="s">
        <v>33</v>
      </c>
      <c r="J31" s="3" t="s">
        <v>34</v>
      </c>
      <c r="K31" s="3" t="s">
        <v>25</v>
      </c>
    </row>
    <row r="32" spans="1:11" x14ac:dyDescent="0.2">
      <c r="A32" s="4" t="s">
        <v>40</v>
      </c>
      <c r="B32" s="3" t="s">
        <v>32</v>
      </c>
      <c r="C32" s="3" t="s">
        <v>33</v>
      </c>
      <c r="D32" s="3" t="s">
        <v>34</v>
      </c>
      <c r="E32" s="3" t="s">
        <v>25</v>
      </c>
      <c r="G32" s="5" t="s">
        <v>0</v>
      </c>
      <c r="H32" s="6">
        <v>-1.3073180009217489</v>
      </c>
      <c r="I32" s="6">
        <v>-4.0225170228735081</v>
      </c>
      <c r="J32" s="6">
        <v>-1.6949385017940464</v>
      </c>
      <c r="K32" s="6">
        <v>-7.0247735255893033</v>
      </c>
    </row>
    <row r="33" spans="1:11" x14ac:dyDescent="0.2">
      <c r="A33" s="8" t="s">
        <v>26</v>
      </c>
      <c r="B33" s="6">
        <v>-0.68342086947481628</v>
      </c>
      <c r="C33" s="6">
        <v>-0.46335719089130711</v>
      </c>
      <c r="D33" s="6">
        <v>-2.2246866085337906</v>
      </c>
      <c r="E33" s="6">
        <v>-3.3714646688999141</v>
      </c>
      <c r="G33" s="5" t="s">
        <v>2</v>
      </c>
      <c r="H33" s="6">
        <v>0.2288070726512475</v>
      </c>
      <c r="I33" s="6">
        <v>0.11624031549657415</v>
      </c>
      <c r="J33" s="6">
        <v>-2.2749781157426749</v>
      </c>
      <c r="K33" s="6">
        <v>-1.9299307275948534</v>
      </c>
    </row>
    <row r="34" spans="1:11" x14ac:dyDescent="0.2">
      <c r="A34" s="5" t="s">
        <v>5</v>
      </c>
      <c r="B34" s="6">
        <v>0.51033926185749967</v>
      </c>
      <c r="C34" s="6">
        <v>-3.053132918434152</v>
      </c>
      <c r="D34" s="6">
        <v>-0.61959830146907324</v>
      </c>
      <c r="E34" s="6">
        <v>-3.1623919580457254</v>
      </c>
      <c r="G34" s="5" t="s">
        <v>20</v>
      </c>
      <c r="H34" s="6">
        <v>2.0925153495475488</v>
      </c>
      <c r="I34" s="6">
        <v>0.27235065496570598</v>
      </c>
      <c r="J34" s="6">
        <v>0.40766796616517342</v>
      </c>
      <c r="K34" s="6">
        <v>2.7725339706784284</v>
      </c>
    </row>
    <row r="35" spans="1:11" x14ac:dyDescent="0.2">
      <c r="A35" s="5" t="s">
        <v>19</v>
      </c>
      <c r="B35" s="6">
        <v>-8.7275520466138928E-2</v>
      </c>
      <c r="C35" s="6">
        <v>-0.74074200484033981</v>
      </c>
      <c r="D35" s="6">
        <v>0.70250396163375306</v>
      </c>
      <c r="E35" s="6">
        <v>-0.1255135636727257</v>
      </c>
      <c r="G35" s="5" t="s">
        <v>1</v>
      </c>
      <c r="H35" s="6">
        <v>1.0047224402216606</v>
      </c>
      <c r="I35" s="6">
        <v>1.2140259374959388</v>
      </c>
      <c r="J35" s="6">
        <v>0.71197562052005803</v>
      </c>
      <c r="K35" s="6">
        <v>2.9307239982376574</v>
      </c>
    </row>
    <row r="36" spans="1:11" x14ac:dyDescent="0.2">
      <c r="A36" s="5" t="s">
        <v>14</v>
      </c>
      <c r="B36" s="6">
        <v>-0.96695557630266615</v>
      </c>
      <c r="C36" s="6">
        <v>2.1738925311622332</v>
      </c>
      <c r="D36" s="6">
        <v>1.346888713556144</v>
      </c>
      <c r="E36" s="6">
        <v>2.553825668415711</v>
      </c>
      <c r="G36" s="5" t="s">
        <v>3</v>
      </c>
      <c r="H36" s="6">
        <v>1.6422493041250934</v>
      </c>
      <c r="I36" s="6">
        <v>1.1864567213419965</v>
      </c>
      <c r="J36" s="6">
        <v>0.80482086503027161</v>
      </c>
      <c r="K36" s="6">
        <v>3.6335268904973619</v>
      </c>
    </row>
    <row r="37" spans="1:11" x14ac:dyDescent="0.2">
      <c r="A37" s="8" t="s">
        <v>22</v>
      </c>
      <c r="B37" s="6">
        <v>1.2273127043861221</v>
      </c>
      <c r="C37" s="6">
        <v>2.0833395830035677</v>
      </c>
      <c r="D37" s="6">
        <v>0.79489223481297178</v>
      </c>
      <c r="E37" s="6">
        <v>4.1055445222026616</v>
      </c>
      <c r="G37" s="5" t="s">
        <v>26</v>
      </c>
      <c r="H37" s="6">
        <v>2.6433552716678914</v>
      </c>
      <c r="I37" s="6">
        <v>1.4009777236969188</v>
      </c>
      <c r="J37" s="6">
        <v>2.045452165821223</v>
      </c>
      <c r="K37" s="6">
        <v>6.0897851611860325</v>
      </c>
    </row>
  </sheetData>
  <mergeCells count="3">
    <mergeCell ref="A1:K1"/>
    <mergeCell ref="A4:E4"/>
    <mergeCell ref="G4:K4"/>
  </mergeCells>
  <phoneticPr fontId="0" type="noConversion"/>
  <printOptions horizontalCentered="1"/>
  <pageMargins left="0.75" right="0.75" top="1" bottom="1" header="0.5" footer="0.5"/>
  <pageSetup scale="95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2"/>
  <sheetViews>
    <sheetView zoomScale="85" workbookViewId="0">
      <selection activeCell="F18" sqref="F18"/>
    </sheetView>
  </sheetViews>
  <sheetFormatPr defaultRowHeight="12.75" x14ac:dyDescent="0.2"/>
  <cols>
    <col min="1" max="1" width="32.42578125" customWidth="1"/>
    <col min="2" max="4" width="12.5703125" customWidth="1"/>
    <col min="5" max="8" width="18.7109375" customWidth="1"/>
    <col min="9" max="9" width="3" customWidth="1"/>
    <col min="10" max="10" width="14.5703125" customWidth="1"/>
    <col min="11" max="11" width="11.85546875" hidden="1" customWidth="1"/>
    <col min="12" max="12" width="5.5703125" customWidth="1"/>
    <col min="13" max="13" width="14.7109375" customWidth="1"/>
    <col min="14" max="14" width="8.5703125" customWidth="1"/>
    <col min="15" max="15" width="2.7109375" customWidth="1"/>
    <col min="16" max="16" width="14.5703125" customWidth="1"/>
    <col min="17" max="17" width="8" hidden="1" customWidth="1"/>
    <col min="18" max="19" width="8" customWidth="1"/>
    <col min="20" max="20" width="7.85546875" customWidth="1"/>
    <col min="23" max="23" width="14" bestFit="1" customWidth="1"/>
  </cols>
  <sheetData>
    <row r="1" spans="1:25" ht="18" x14ac:dyDescent="0.25">
      <c r="A1" s="10" t="s">
        <v>73</v>
      </c>
      <c r="B1" s="11"/>
      <c r="G1" s="12"/>
      <c r="H1" s="12" t="s">
        <v>74</v>
      </c>
    </row>
    <row r="2" spans="1:25" ht="15.75" x14ac:dyDescent="0.25">
      <c r="A2" s="11" t="s">
        <v>42</v>
      </c>
    </row>
    <row r="3" spans="1:25" ht="27" customHeight="1" x14ac:dyDescent="0.25">
      <c r="A3" s="13" t="s">
        <v>32</v>
      </c>
      <c r="B3" s="14">
        <v>2008</v>
      </c>
      <c r="C3" s="14">
        <v>2009</v>
      </c>
      <c r="D3" s="14">
        <v>2010</v>
      </c>
      <c r="E3" s="15" t="s">
        <v>62</v>
      </c>
      <c r="F3" s="16" t="s">
        <v>63</v>
      </c>
      <c r="G3" s="17" t="s">
        <v>72</v>
      </c>
      <c r="H3" s="18" t="s">
        <v>64</v>
      </c>
      <c r="K3" s="51" t="s">
        <v>54</v>
      </c>
      <c r="L3" s="51"/>
      <c r="M3" s="51" t="s">
        <v>57</v>
      </c>
      <c r="N3" s="51" t="s">
        <v>28</v>
      </c>
      <c r="O3" s="51"/>
      <c r="P3" s="51"/>
      <c r="Q3" s="51" t="s">
        <v>55</v>
      </c>
      <c r="R3" s="51"/>
      <c r="S3" s="51" t="s">
        <v>59</v>
      </c>
      <c r="T3" s="4" t="s">
        <v>28</v>
      </c>
    </row>
    <row r="4" spans="1:25" x14ac:dyDescent="0.2">
      <c r="A4" s="19" t="s">
        <v>44</v>
      </c>
      <c r="B4" s="20">
        <v>93.55</v>
      </c>
      <c r="C4" s="20">
        <v>116.83</v>
      </c>
      <c r="D4" s="21">
        <v>107.77</v>
      </c>
      <c r="E4" s="20">
        <v>109.89</v>
      </c>
      <c r="F4" s="20">
        <f>M4</f>
        <v>-4.8892988929889407E-2</v>
      </c>
      <c r="G4" s="22">
        <v>101.48</v>
      </c>
      <c r="H4" s="21">
        <f>S4</f>
        <v>6.6673733305066693E-2</v>
      </c>
      <c r="J4" s="52" t="s">
        <v>43</v>
      </c>
      <c r="K4" s="53">
        <f>'[1]ALL EM Rank'!AY4</f>
        <v>0</v>
      </c>
      <c r="L4" s="53">
        <v>0</v>
      </c>
      <c r="M4" s="53">
        <f>(D4-E4)/N4</f>
        <v>-4.8892988929889407E-2</v>
      </c>
      <c r="N4" s="54">
        <v>43.36</v>
      </c>
      <c r="P4" s="52" t="s">
        <v>43</v>
      </c>
      <c r="Q4" s="55">
        <f>'[1]ALL EM Rank'!BD4</f>
        <v>0</v>
      </c>
      <c r="R4" s="55">
        <v>0</v>
      </c>
      <c r="S4" s="6">
        <f>(D4-G4)/T4</f>
        <v>6.6673733305066693E-2</v>
      </c>
      <c r="T4" s="53">
        <v>94.34</v>
      </c>
      <c r="W4" s="7" t="s">
        <v>43</v>
      </c>
      <c r="X4" s="54">
        <v>0</v>
      </c>
      <c r="Y4" s="59">
        <f>F4*'[1]ALL EM Rank'!B4</f>
        <v>3.4079037137063874E-2</v>
      </c>
    </row>
    <row r="5" spans="1:25" x14ac:dyDescent="0.2">
      <c r="A5" s="23" t="s">
        <v>61</v>
      </c>
      <c r="B5" s="24">
        <v>5.9</v>
      </c>
      <c r="C5" s="24">
        <v>4</v>
      </c>
      <c r="D5" s="25">
        <v>5.88</v>
      </c>
      <c r="E5" s="24">
        <v>4.59</v>
      </c>
      <c r="F5" s="24">
        <f>M5</f>
        <v>0.61428571428571432</v>
      </c>
      <c r="G5" s="26">
        <v>8.1999999999999993</v>
      </c>
      <c r="H5" s="25">
        <f>S5</f>
        <v>-1.2473118279569888</v>
      </c>
      <c r="J5" s="52" t="s">
        <v>58</v>
      </c>
      <c r="K5" s="53">
        <f>'[1]ALL EM Rank'!K4</f>
        <v>0</v>
      </c>
      <c r="L5" s="53">
        <v>0</v>
      </c>
      <c r="M5" s="53">
        <f>(D5-E5)/N5</f>
        <v>0.61428571428571432</v>
      </c>
      <c r="N5" s="54">
        <v>2.1</v>
      </c>
      <c r="P5" s="52" t="s">
        <v>58</v>
      </c>
      <c r="Q5" s="52">
        <f>'[1]ALL EM Rank'!K4</f>
        <v>0</v>
      </c>
      <c r="R5" s="52">
        <v>0</v>
      </c>
      <c r="S5" s="6">
        <f>(D5-G5)/T5</f>
        <v>-1.2473118279569888</v>
      </c>
      <c r="T5" s="53">
        <v>1.86</v>
      </c>
      <c r="W5" s="7" t="s">
        <v>58</v>
      </c>
      <c r="X5" s="54">
        <v>0</v>
      </c>
      <c r="Y5" s="59">
        <f>F5*'[1]ALL EM Rank'!B5</f>
        <v>-0.28039486522912221</v>
      </c>
    </row>
    <row r="6" spans="1:25" x14ac:dyDescent="0.2">
      <c r="A6" s="23" t="s">
        <v>45</v>
      </c>
      <c r="B6" s="24">
        <v>13.1</v>
      </c>
      <c r="C6" s="24">
        <v>4.9400000000000004</v>
      </c>
      <c r="D6" s="25">
        <v>5.62</v>
      </c>
      <c r="E6" s="24">
        <v>11.35</v>
      </c>
      <c r="F6" s="24">
        <f>M6</f>
        <v>-0.60189075630252098</v>
      </c>
      <c r="G6" s="26">
        <v>4.2</v>
      </c>
      <c r="H6" s="25">
        <f>S6</f>
        <v>0.49650349650349651</v>
      </c>
      <c r="J6" s="52" t="s">
        <v>56</v>
      </c>
      <c r="K6" s="53">
        <f>'[1]ALL EM Rank'!L3</f>
        <v>-0.80669185604126203</v>
      </c>
      <c r="L6" s="53">
        <v>0</v>
      </c>
      <c r="M6" s="53">
        <f>(D6-E6)/N6</f>
        <v>-0.60189075630252098</v>
      </c>
      <c r="N6" s="54">
        <v>9.52</v>
      </c>
      <c r="P6" s="52" t="s">
        <v>56</v>
      </c>
      <c r="Q6" s="52">
        <f>'[1]ALL EM Rank'!BS4</f>
        <v>0</v>
      </c>
      <c r="R6" s="52">
        <v>0</v>
      </c>
      <c r="S6" s="6">
        <f>(D6-G6)/T6</f>
        <v>0.49650349650349651</v>
      </c>
      <c r="T6" s="53">
        <v>2.86</v>
      </c>
      <c r="W6" s="7" t="s">
        <v>56</v>
      </c>
      <c r="X6" s="54">
        <v>0</v>
      </c>
      <c r="Y6" s="59">
        <f>F6*'[1]ALL EM Rank'!B6</f>
        <v>0.42456165644994348</v>
      </c>
    </row>
    <row r="7" spans="1:25" x14ac:dyDescent="0.2">
      <c r="A7" s="27" t="s">
        <v>66</v>
      </c>
      <c r="B7" s="28">
        <v>-1.7</v>
      </c>
      <c r="C7" s="28">
        <v>-1.5</v>
      </c>
      <c r="D7" s="29">
        <v>-1.86</v>
      </c>
      <c r="E7" s="28">
        <v>-4.17</v>
      </c>
      <c r="F7" s="28">
        <f>M7</f>
        <v>0.87499999999999978</v>
      </c>
      <c r="G7" s="30">
        <v>-3.6</v>
      </c>
      <c r="H7" s="29">
        <f>S7</f>
        <v>0.92553191489361708</v>
      </c>
      <c r="J7" s="52" t="s">
        <v>46</v>
      </c>
      <c r="K7" s="53">
        <f>'[1]ALL EM Rank'!R3</f>
        <v>8.9541276619100232E-2</v>
      </c>
      <c r="L7" s="53">
        <v>0</v>
      </c>
      <c r="M7" s="53">
        <f>(D7-E7)/N7</f>
        <v>0.87499999999999978</v>
      </c>
      <c r="N7" s="54">
        <v>2.64</v>
      </c>
      <c r="P7" s="52" t="s">
        <v>46</v>
      </c>
      <c r="Q7" s="52">
        <f>'[1]ALL EM Rank'!CO4</f>
        <v>0</v>
      </c>
      <c r="R7" s="52">
        <v>0</v>
      </c>
      <c r="S7" s="6">
        <f>(D7-G7)/T7</f>
        <v>0.92553191489361708</v>
      </c>
      <c r="T7" s="53">
        <v>1.88</v>
      </c>
      <c r="W7" s="7" t="s">
        <v>46</v>
      </c>
      <c r="X7" s="54">
        <v>0</v>
      </c>
      <c r="Y7" s="59">
        <f>F7*'[1]ALL EM Rank'!B7</f>
        <v>-0.62590144193423658</v>
      </c>
    </row>
    <row r="8" spans="1:25" x14ac:dyDescent="0.2">
      <c r="A8" s="31"/>
      <c r="B8" s="24"/>
      <c r="C8" s="24"/>
      <c r="D8" s="24"/>
      <c r="E8" s="32"/>
      <c r="F8" s="33"/>
      <c r="G8" s="32"/>
      <c r="H8" s="33"/>
      <c r="J8" s="56"/>
      <c r="K8" s="57"/>
      <c r="L8" s="57"/>
      <c r="M8" s="57"/>
      <c r="N8" s="57"/>
      <c r="P8" s="56"/>
      <c r="Q8" s="56"/>
      <c r="R8" s="56"/>
      <c r="S8" s="24"/>
      <c r="T8" s="57"/>
      <c r="W8" s="7"/>
      <c r="X8" s="54"/>
      <c r="Y8" s="59"/>
    </row>
    <row r="9" spans="1:25" x14ac:dyDescent="0.2">
      <c r="A9" s="31"/>
      <c r="B9" s="24"/>
      <c r="C9" s="24"/>
      <c r="D9" s="24"/>
      <c r="E9" s="34" t="s">
        <v>32</v>
      </c>
      <c r="F9" s="35">
        <f>'[1]ALL EM Rank'!B4*Indo!F4+'[1]ALL EM Rank'!B5*Indo!F5+'[1]ALL EM Rank'!B6*Indo!F6+'[1]ALL EM Rank'!B7*Indo!F7</f>
        <v>-0.44765561357635142</v>
      </c>
      <c r="G9" s="33"/>
      <c r="H9" s="35">
        <f>'[1]ALL EM Rank'!B4*Indo!H4+'[1]ALL EM Rank'!B5*Indo!H5+'[1]ALL EM Rank'!B6*Indo!H6+'[1]ALL EM Rank'!B7*Indo!H7</f>
        <v>-0.4893998553152456</v>
      </c>
      <c r="J9" s="56"/>
      <c r="K9" s="57"/>
      <c r="L9" s="57"/>
      <c r="M9" s="57"/>
      <c r="N9" s="57"/>
      <c r="P9" s="56"/>
      <c r="Q9" s="56"/>
      <c r="R9" s="56"/>
      <c r="S9" s="24"/>
      <c r="T9" s="57"/>
      <c r="W9" s="7"/>
      <c r="X9" s="54"/>
      <c r="Y9" s="59"/>
    </row>
    <row r="10" spans="1:25" x14ac:dyDescent="0.2">
      <c r="J10" s="7"/>
      <c r="K10" s="54"/>
      <c r="L10" s="54"/>
      <c r="M10" s="54"/>
      <c r="N10" s="54"/>
      <c r="P10" s="7"/>
      <c r="Q10" s="7"/>
      <c r="R10" s="7"/>
      <c r="S10" s="7"/>
      <c r="W10" s="7"/>
      <c r="X10" s="54"/>
      <c r="Y10" s="59"/>
    </row>
    <row r="11" spans="1:25" ht="27" customHeight="1" x14ac:dyDescent="0.25">
      <c r="A11" s="36" t="s">
        <v>33</v>
      </c>
      <c r="B11" s="37">
        <v>2008</v>
      </c>
      <c r="C11" s="37">
        <v>2009</v>
      </c>
      <c r="D11" s="38">
        <v>2010</v>
      </c>
      <c r="E11" s="15" t="s">
        <v>62</v>
      </c>
      <c r="F11" s="16" t="s">
        <v>63</v>
      </c>
      <c r="G11" s="17" t="s">
        <v>72</v>
      </c>
      <c r="H11" s="18" t="s">
        <v>64</v>
      </c>
      <c r="J11" s="7"/>
      <c r="K11" s="54"/>
      <c r="L11" s="54"/>
      <c r="M11" s="51" t="s">
        <v>57</v>
      </c>
      <c r="N11" s="51" t="s">
        <v>28</v>
      </c>
      <c r="P11" s="7"/>
      <c r="Q11" s="7"/>
      <c r="R11" s="7"/>
      <c r="S11" s="51" t="s">
        <v>59</v>
      </c>
      <c r="T11" s="4" t="s">
        <v>28</v>
      </c>
      <c r="W11" s="7"/>
      <c r="X11" s="54"/>
      <c r="Y11" s="59"/>
    </row>
    <row r="12" spans="1:25" x14ac:dyDescent="0.2">
      <c r="A12" s="23" t="s">
        <v>47</v>
      </c>
      <c r="B12" s="24">
        <v>26</v>
      </c>
      <c r="C12" s="24">
        <v>30.4</v>
      </c>
      <c r="D12" s="25">
        <v>30.7</v>
      </c>
      <c r="E12" s="20">
        <v>22.06</v>
      </c>
      <c r="F12" s="20">
        <f>M12</f>
        <v>1.416393442622951</v>
      </c>
      <c r="G12" s="22">
        <v>33.04</v>
      </c>
      <c r="H12" s="21">
        <f>S12</f>
        <v>-0.19322873658133774</v>
      </c>
      <c r="J12" s="52" t="s">
        <v>50</v>
      </c>
      <c r="K12" s="53">
        <f>'[1]ALL EM Rank'!G3</f>
        <v>0</v>
      </c>
      <c r="L12" s="53">
        <v>0</v>
      </c>
      <c r="M12" s="53">
        <f>(D12-E12)/N12</f>
        <v>1.416393442622951</v>
      </c>
      <c r="N12" s="54">
        <v>6.1</v>
      </c>
      <c r="P12" s="52" t="s">
        <v>50</v>
      </c>
      <c r="Q12" s="52">
        <f>'[1]ALL EM Rank'!EI4</f>
        <v>0</v>
      </c>
      <c r="R12" s="52">
        <v>0</v>
      </c>
      <c r="S12" s="6">
        <f>(D12-G12)/T12</f>
        <v>-0.19322873658133774</v>
      </c>
      <c r="T12" s="53">
        <v>12.11</v>
      </c>
      <c r="W12" s="7" t="s">
        <v>50</v>
      </c>
      <c r="X12" s="54">
        <v>0</v>
      </c>
      <c r="Y12" s="59">
        <f>F12*'[1]ALL EM Rank'!B13</f>
        <v>-0.98082490311553561</v>
      </c>
    </row>
    <row r="13" spans="1:25" x14ac:dyDescent="0.2">
      <c r="A13" s="23" t="s">
        <v>48</v>
      </c>
      <c r="B13" s="24">
        <v>2.17</v>
      </c>
      <c r="C13" s="24">
        <v>0.74</v>
      </c>
      <c r="D13" s="25">
        <v>1.24</v>
      </c>
      <c r="E13" s="24">
        <v>2.88</v>
      </c>
      <c r="F13" s="24">
        <f>M13</f>
        <v>-0.53246753246753242</v>
      </c>
      <c r="G13" s="26">
        <v>2.2999999999999998</v>
      </c>
      <c r="H13" s="25">
        <f>S13</f>
        <v>-0.31360946745562124</v>
      </c>
      <c r="J13" s="52" t="s">
        <v>51</v>
      </c>
      <c r="K13" s="53">
        <f>'[1]ALL EM Rank'!AE3</f>
        <v>-1.095581298622653</v>
      </c>
      <c r="L13" s="53">
        <v>0</v>
      </c>
      <c r="M13" s="53">
        <f>(D13-E13)/N13</f>
        <v>-0.53246753246753242</v>
      </c>
      <c r="N13" s="54">
        <v>3.08</v>
      </c>
      <c r="P13" s="52" t="s">
        <v>51</v>
      </c>
      <c r="Q13" s="6">
        <f>'[1]ALL EM Rank'!EU4</f>
        <v>0</v>
      </c>
      <c r="R13" s="6">
        <v>0</v>
      </c>
      <c r="S13" s="6">
        <f>(D13-G13)/T13</f>
        <v>-0.31360946745562124</v>
      </c>
      <c r="T13" s="53">
        <v>3.38</v>
      </c>
      <c r="W13" s="7" t="s">
        <v>51</v>
      </c>
      <c r="X13" s="54">
        <v>0</v>
      </c>
      <c r="Y13" s="59">
        <f>F13*'[1]ALL EM Rank'!B14</f>
        <v>-0.73292845436847676</v>
      </c>
    </row>
    <row r="14" spans="1:25" x14ac:dyDescent="0.2">
      <c r="A14" s="23" t="s">
        <v>49</v>
      </c>
      <c r="B14" s="24">
        <v>0.5</v>
      </c>
      <c r="C14" s="24">
        <v>-0.5</v>
      </c>
      <c r="D14" s="25">
        <v>1.02</v>
      </c>
      <c r="E14" s="24">
        <v>-0.6</v>
      </c>
      <c r="F14" s="24">
        <f>M14</f>
        <v>0.32464929859719438</v>
      </c>
      <c r="G14" s="39">
        <v>4.0999999999999996</v>
      </c>
      <c r="H14" s="25">
        <f>S14</f>
        <v>-0.38166047087980165</v>
      </c>
      <c r="J14" s="52" t="s">
        <v>52</v>
      </c>
      <c r="K14" s="53">
        <f>'[1]ALL EM Rank'!Z3</f>
        <v>-0.83333998492838868</v>
      </c>
      <c r="L14" s="53">
        <v>0</v>
      </c>
      <c r="M14" s="53">
        <f>(D14-E14)/N14</f>
        <v>0.32464929859719438</v>
      </c>
      <c r="N14" s="54">
        <v>4.99</v>
      </c>
      <c r="P14" s="52" t="s">
        <v>52</v>
      </c>
      <c r="Q14" s="52">
        <f>'[1]ALL EM Rank'!CD4</f>
        <v>0</v>
      </c>
      <c r="R14" s="52">
        <v>0</v>
      </c>
      <c r="S14" s="6">
        <f>(D14-G14)/T14</f>
        <v>-0.38166047087980165</v>
      </c>
      <c r="T14" s="53">
        <v>8.07</v>
      </c>
      <c r="W14" s="7" t="s">
        <v>52</v>
      </c>
      <c r="X14" s="54">
        <v>0</v>
      </c>
      <c r="Y14" s="59">
        <f>F14*'[1]ALL EM Rank'!B15</f>
        <v>-0.14626425345320068</v>
      </c>
    </row>
    <row r="15" spans="1:25" x14ac:dyDescent="0.2">
      <c r="A15" s="27" t="s">
        <v>67</v>
      </c>
      <c r="B15" s="28">
        <v>0.46</v>
      </c>
      <c r="C15" s="28">
        <v>0.42</v>
      </c>
      <c r="D15" s="29">
        <v>0.45</v>
      </c>
      <c r="E15" s="28">
        <v>0.61</v>
      </c>
      <c r="F15" s="28">
        <f>M15</f>
        <v>-0.59259259259259245</v>
      </c>
      <c r="G15" s="30">
        <v>1.82</v>
      </c>
      <c r="H15" s="29">
        <f>S15</f>
        <v>-0.51893939393939392</v>
      </c>
      <c r="J15" s="52" t="s">
        <v>53</v>
      </c>
      <c r="K15" s="53">
        <f>'[1]ALL EM Rank'!EX4</f>
        <v>0</v>
      </c>
      <c r="L15" s="53">
        <v>0</v>
      </c>
      <c r="M15" s="53">
        <f>(D15-E15)/N15</f>
        <v>-0.59259259259259245</v>
      </c>
      <c r="N15" s="54">
        <v>0.27</v>
      </c>
      <c r="P15" s="52" t="s">
        <v>53</v>
      </c>
      <c r="Q15" s="6">
        <f>'[1]ALL EM Rank'!FC4</f>
        <v>0</v>
      </c>
      <c r="R15" s="6">
        <v>0</v>
      </c>
      <c r="S15" s="6">
        <f>(D15-G15)/T15</f>
        <v>-0.51893939393939392</v>
      </c>
      <c r="T15" s="53">
        <v>2.64</v>
      </c>
      <c r="W15" s="7" t="s">
        <v>53</v>
      </c>
      <c r="X15" s="54">
        <v>0</v>
      </c>
      <c r="Y15" s="59">
        <f>F15*'[1]ALL EM Rank'!B16</f>
        <v>0.50694278655823499</v>
      </c>
    </row>
    <row r="16" spans="1:25" x14ac:dyDescent="0.2">
      <c r="A16" s="31"/>
      <c r="B16" s="40"/>
      <c r="C16" s="40"/>
      <c r="D16" s="40"/>
      <c r="E16" s="32"/>
      <c r="F16" s="24"/>
      <c r="G16" s="32"/>
      <c r="H16" s="24"/>
      <c r="J16" s="7" t="s">
        <v>31</v>
      </c>
      <c r="K16" s="57"/>
      <c r="L16" s="57"/>
      <c r="M16" s="57">
        <v>-0.02</v>
      </c>
      <c r="N16" s="57"/>
      <c r="P16" s="7" t="s">
        <v>31</v>
      </c>
      <c r="Q16" s="24"/>
      <c r="R16" s="24"/>
      <c r="S16" s="24">
        <v>0.63</v>
      </c>
      <c r="T16" s="57"/>
    </row>
    <row r="17" spans="1:20" x14ac:dyDescent="0.2">
      <c r="A17" s="31"/>
      <c r="B17" s="40"/>
      <c r="C17" s="40"/>
      <c r="D17" s="40"/>
      <c r="E17" s="32"/>
      <c r="F17" s="41"/>
      <c r="G17" s="32"/>
      <c r="H17" s="41"/>
      <c r="J17" s="7" t="s">
        <v>68</v>
      </c>
      <c r="K17" s="57"/>
      <c r="L17" s="57"/>
      <c r="M17" s="57">
        <v>1.04</v>
      </c>
      <c r="N17" s="57"/>
      <c r="P17" s="7" t="s">
        <v>68</v>
      </c>
      <c r="Q17" s="24"/>
      <c r="R17" s="24"/>
      <c r="S17" s="24">
        <v>-0.1</v>
      </c>
      <c r="T17" s="57"/>
    </row>
    <row r="18" spans="1:20" x14ac:dyDescent="0.2">
      <c r="A18" s="31"/>
      <c r="B18" s="40"/>
      <c r="C18" s="40"/>
      <c r="D18" s="40"/>
      <c r="E18" s="34" t="s">
        <v>33</v>
      </c>
      <c r="F18" s="35">
        <f>'[1]ALL EM Rank'!B13*Indo!F12+'[1]ALL EM Rank'!B14*Indo!F13+'[1]ALL EM Rank'!B15*Indo!F14+'[1]ALL EM Rank'!B16*Indo!F15</f>
        <v>-1.3530748243789779</v>
      </c>
      <c r="G18" s="33"/>
      <c r="H18" s="35">
        <f>'[1]ALL EM Rank'!B13*Indo!H12+'[1]ALL EM Rank'!B14*Indo!H13+'[1]ALL EM Rank'!B15*Indo!H14+'[1]ALL EM Rank'!B16*Indo!H15</f>
        <v>0.31801590742937969</v>
      </c>
      <c r="J18" s="56"/>
      <c r="K18" s="57"/>
      <c r="L18" s="57"/>
      <c r="M18" s="57"/>
      <c r="N18" s="57"/>
      <c r="P18" s="56"/>
      <c r="Q18" s="24"/>
      <c r="R18" s="24"/>
      <c r="S18" s="24"/>
      <c r="T18" s="57"/>
    </row>
    <row r="19" spans="1:20" x14ac:dyDescent="0.2">
      <c r="A19" s="40"/>
      <c r="B19" s="24"/>
      <c r="C19" s="24"/>
      <c r="D19" s="24"/>
      <c r="E19" s="42"/>
      <c r="F19" s="24"/>
      <c r="G19" s="24"/>
      <c r="H19" s="24"/>
      <c r="J19" s="56"/>
      <c r="K19" s="57"/>
      <c r="L19" s="57"/>
      <c r="M19" s="57"/>
      <c r="N19" s="57"/>
      <c r="P19" s="56"/>
      <c r="Q19" s="24"/>
      <c r="R19" s="24"/>
      <c r="S19" s="24"/>
      <c r="T19" s="57"/>
    </row>
    <row r="20" spans="1:20" x14ac:dyDescent="0.2">
      <c r="A20" s="31"/>
      <c r="E20" s="34" t="s">
        <v>60</v>
      </c>
      <c r="F20" s="43">
        <f>'[1]ALL EM Rank'!B18*Indo!M16</f>
        <v>1.2378384336243367E-2</v>
      </c>
      <c r="G20" s="24"/>
      <c r="H20" s="43">
        <f>'[1]ALL EM Rank'!B18*Indo!S16</f>
        <v>-0.38991910659166606</v>
      </c>
    </row>
    <row r="21" spans="1:20" x14ac:dyDescent="0.2">
      <c r="A21" s="31"/>
      <c r="E21" s="34"/>
      <c r="F21" s="43"/>
      <c r="G21" s="24"/>
      <c r="H21" s="43"/>
    </row>
    <row r="22" spans="1:20" x14ac:dyDescent="0.2">
      <c r="A22" s="31"/>
      <c r="E22" s="44" t="s">
        <v>65</v>
      </c>
      <c r="F22" s="43">
        <f>'[1]ALL EM Rank'!B20*Indo!M17</f>
        <v>-0.4845046110379404</v>
      </c>
      <c r="G22" s="24"/>
      <c r="H22" s="43">
        <f>'[1]ALL EM Rank'!B20*Indo!S17</f>
        <v>4.6586981830571195E-2</v>
      </c>
    </row>
    <row r="23" spans="1:20" ht="15" x14ac:dyDescent="0.25">
      <c r="A23" s="45"/>
      <c r="B23" s="46"/>
      <c r="C23" s="46"/>
      <c r="D23" s="46"/>
      <c r="E23" s="47"/>
      <c r="F23" s="48"/>
      <c r="G23" s="46"/>
      <c r="H23" s="48"/>
      <c r="J23" s="7" t="s">
        <v>71</v>
      </c>
      <c r="L23" s="7">
        <v>0</v>
      </c>
      <c r="M23" s="58">
        <f>M4</f>
        <v>-4.8892988929889407E-2</v>
      </c>
      <c r="P23" s="7" t="s">
        <v>71</v>
      </c>
      <c r="R23" s="7">
        <v>0</v>
      </c>
      <c r="S23" s="58">
        <f>S4</f>
        <v>6.6673733305066693E-2</v>
      </c>
    </row>
    <row r="24" spans="1:20" x14ac:dyDescent="0.2">
      <c r="E24" s="34" t="s">
        <v>25</v>
      </c>
      <c r="F24" s="49">
        <f>F9+F18+F20+F22</f>
        <v>-2.2728566646570263</v>
      </c>
      <c r="G24" s="24"/>
      <c r="H24" s="49">
        <f>H9+H18+H20+H22</f>
        <v>-0.51471607264696073</v>
      </c>
      <c r="J24" s="7" t="s">
        <v>30</v>
      </c>
      <c r="L24" s="7">
        <v>0</v>
      </c>
      <c r="M24" s="58">
        <f>-M5</f>
        <v>-0.61428571428571432</v>
      </c>
      <c r="P24" s="7" t="s">
        <v>30</v>
      </c>
      <c r="R24" s="7">
        <v>0</v>
      </c>
      <c r="S24" s="58">
        <f>-S5</f>
        <v>1.2473118279569888</v>
      </c>
    </row>
    <row r="25" spans="1:20" x14ac:dyDescent="0.2">
      <c r="E25" s="50"/>
      <c r="F25" s="41"/>
      <c r="G25" s="24"/>
      <c r="H25" s="41"/>
      <c r="J25" s="7" t="s">
        <v>56</v>
      </c>
      <c r="L25" s="7">
        <v>0</v>
      </c>
      <c r="M25" s="58">
        <f>M6</f>
        <v>-0.60189075630252098</v>
      </c>
      <c r="P25" s="7" t="s">
        <v>56</v>
      </c>
      <c r="R25" s="7">
        <v>0</v>
      </c>
      <c r="S25" s="58">
        <f>S6</f>
        <v>0.49650349650349651</v>
      </c>
    </row>
    <row r="26" spans="1:20" x14ac:dyDescent="0.2">
      <c r="E26" s="50"/>
      <c r="F26" s="41"/>
      <c r="G26" s="24"/>
      <c r="H26" s="41"/>
      <c r="J26" s="7" t="s">
        <v>70</v>
      </c>
      <c r="L26" s="7">
        <v>0</v>
      </c>
      <c r="M26" s="58">
        <f>-M7</f>
        <v>-0.87499999999999978</v>
      </c>
      <c r="P26" s="7" t="s">
        <v>70</v>
      </c>
      <c r="R26" s="7">
        <v>0</v>
      </c>
      <c r="S26" s="58">
        <f>-S7</f>
        <v>-0.92553191489361708</v>
      </c>
    </row>
    <row r="27" spans="1:20" x14ac:dyDescent="0.2">
      <c r="E27" s="50"/>
      <c r="F27" s="41"/>
      <c r="G27" s="24"/>
      <c r="H27" s="41"/>
      <c r="J27" s="7" t="s">
        <v>50</v>
      </c>
      <c r="L27" s="7">
        <v>0</v>
      </c>
      <c r="M27" s="58">
        <f>-M12</f>
        <v>-1.416393442622951</v>
      </c>
      <c r="P27" s="7" t="s">
        <v>50</v>
      </c>
      <c r="R27" s="7">
        <v>0</v>
      </c>
      <c r="S27" s="58">
        <f>-S12</f>
        <v>0.19322873658133774</v>
      </c>
    </row>
    <row r="28" spans="1:20" x14ac:dyDescent="0.2">
      <c r="E28" s="50"/>
      <c r="F28" s="41"/>
      <c r="G28" s="24"/>
      <c r="H28" s="41"/>
      <c r="J28" s="7" t="s">
        <v>51</v>
      </c>
      <c r="L28" s="7">
        <v>0</v>
      </c>
      <c r="M28" s="58">
        <f>-M13</f>
        <v>0.53246753246753242</v>
      </c>
      <c r="P28" s="7" t="s">
        <v>51</v>
      </c>
      <c r="R28" s="7">
        <v>0</v>
      </c>
      <c r="S28" s="58">
        <f>-S13</f>
        <v>0.31360946745562124</v>
      </c>
    </row>
    <row r="29" spans="1:20" x14ac:dyDescent="0.2">
      <c r="E29" s="50"/>
      <c r="F29" s="41"/>
      <c r="G29" s="24"/>
      <c r="H29" s="41"/>
      <c r="J29" s="7" t="s">
        <v>52</v>
      </c>
      <c r="L29" s="7">
        <v>0</v>
      </c>
      <c r="M29" s="58">
        <f>-M14</f>
        <v>-0.32464929859719438</v>
      </c>
      <c r="P29" s="7" t="s">
        <v>52</v>
      </c>
      <c r="R29" s="7">
        <v>0</v>
      </c>
      <c r="S29" s="58">
        <f>-S14</f>
        <v>0.38166047087980165</v>
      </c>
    </row>
    <row r="30" spans="1:20" x14ac:dyDescent="0.2">
      <c r="E30" s="50"/>
      <c r="F30" s="41"/>
      <c r="G30" s="24"/>
      <c r="H30" s="41"/>
      <c r="J30" s="7" t="s">
        <v>69</v>
      </c>
      <c r="L30" s="7">
        <v>0</v>
      </c>
      <c r="M30" s="58">
        <f>-M15</f>
        <v>0.59259259259259245</v>
      </c>
      <c r="P30" s="7" t="s">
        <v>69</v>
      </c>
      <c r="R30" s="7">
        <v>0</v>
      </c>
      <c r="S30" s="58">
        <f>-S15</f>
        <v>0.51893939393939392</v>
      </c>
    </row>
    <row r="31" spans="1:20" x14ac:dyDescent="0.2">
      <c r="E31" s="50"/>
      <c r="F31" s="41"/>
      <c r="G31" s="24"/>
      <c r="H31" s="41"/>
      <c r="J31" s="7" t="s">
        <v>31</v>
      </c>
      <c r="L31" s="7">
        <v>0</v>
      </c>
      <c r="M31" s="58">
        <f>M16</f>
        <v>-0.02</v>
      </c>
      <c r="P31" s="7" t="s">
        <v>31</v>
      </c>
      <c r="R31" s="7">
        <v>0</v>
      </c>
      <c r="S31" s="58">
        <f>S16</f>
        <v>0.63</v>
      </c>
    </row>
    <row r="32" spans="1:20" x14ac:dyDescent="0.2">
      <c r="E32" s="50"/>
      <c r="F32" s="41"/>
      <c r="G32" s="24"/>
      <c r="H32" s="41"/>
      <c r="J32" s="7" t="s">
        <v>68</v>
      </c>
      <c r="L32" s="7">
        <v>0</v>
      </c>
      <c r="M32" s="58">
        <f>-M17</f>
        <v>-1.04</v>
      </c>
      <c r="P32" s="7" t="s">
        <v>68</v>
      </c>
      <c r="R32" s="7">
        <v>0</v>
      </c>
      <c r="S32" s="58">
        <f>-S17</f>
        <v>0.1</v>
      </c>
    </row>
  </sheetData>
  <phoneticPr fontId="7" type="noConversion"/>
  <pageMargins left="0.75" right="0.75" top="0.75" bottom="0.75" header="0.5" footer="0.5"/>
  <pageSetup scale="85" orientation="landscape" r:id="rId1"/>
  <headerFooter alignWithMargins="0">
    <oddHeader>&amp;C&amp;"Arial,Bold"&amp;14MacKay Shields' Sovereign Snapshot&amp;R&amp;"Arial,Bold"March 2010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Rich Cheap</vt:lpstr>
      <vt:lpstr>Rating Region</vt:lpstr>
      <vt:lpstr>Indo</vt:lpstr>
    </vt:vector>
  </TitlesOfParts>
  <Company>MacKay Shields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MacKay Shields LLC</dc:creator>
  <cp:lastModifiedBy>Brian Fagan</cp:lastModifiedBy>
  <cp:lastPrinted>2011-10-19T14:41:03Z</cp:lastPrinted>
  <dcterms:created xsi:type="dcterms:W3CDTF">2010-04-05T15:02:25Z</dcterms:created>
  <dcterms:modified xsi:type="dcterms:W3CDTF">2011-10-19T14:41:05Z</dcterms:modified>
</cp:coreProperties>
</file>