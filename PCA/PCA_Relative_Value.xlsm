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BFagan\Quant_Research\Credit\PCA\"/>
    </mc:Choice>
  </mc:AlternateContent>
  <bookViews>
    <workbookView xWindow="0" yWindow="0" windowWidth="28635" windowHeight="15060"/>
  </bookViews>
  <sheets>
    <sheet name="PCA RelativeValue" sheetId="7" r:id="rId1"/>
    <sheet name="Data" sheetId="6" r:id="rId2"/>
  </sheets>
  <definedNames>
    <definedName name="extbnds" localSheetId="1">Data!$B$1:$M$944</definedName>
    <definedName name="solver_adj" localSheetId="0" hidden="1">'PCA RelativeValue'!$B$78,'PCA RelativeValue'!$B$79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'PCA RelativeValue'!$B$78</definedName>
    <definedName name="solver_lhs2" localSheetId="0" hidden="1">'PCA RelativeValue'!$B$79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'PCA RelativeValue'!$D$86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1</definedName>
    <definedName name="solver_rhs1" localSheetId="0" hidden="1">0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52511"/>
  <fileRecoveryPr repairLoad="1"/>
</workbook>
</file>

<file path=xl/calcChain.xml><?xml version="1.0" encoding="utf-8"?>
<calcChain xmlns="http://schemas.openxmlformats.org/spreadsheetml/2006/main">
  <c r="P3" i="6" l="1"/>
  <c r="J47" i="7" s="1"/>
  <c r="Q3" i="6"/>
  <c r="R3" i="6"/>
  <c r="S3" i="6"/>
  <c r="T3" i="6"/>
  <c r="F11" i="7"/>
  <c r="H11" i="7"/>
  <c r="F12" i="7"/>
  <c r="H12" i="7"/>
  <c r="E60" i="7" s="1"/>
  <c r="F13" i="7"/>
  <c r="H13" i="7"/>
  <c r="F14" i="7"/>
  <c r="F15" i="7"/>
  <c r="H15" i="7"/>
  <c r="B47" i="7"/>
  <c r="D47" i="7"/>
  <c r="I47" i="7"/>
  <c r="B48" i="7"/>
  <c r="D48" i="7"/>
  <c r="J48" i="7"/>
  <c r="B49" i="7"/>
  <c r="D49" i="7"/>
  <c r="I49" i="7"/>
  <c r="J49" i="7"/>
  <c r="C113" i="7" s="1"/>
  <c r="B50" i="7"/>
  <c r="D50" i="7"/>
  <c r="J50" i="7"/>
  <c r="B51" i="7"/>
  <c r="D51" i="7"/>
  <c r="I51" i="7"/>
  <c r="J51" i="7"/>
  <c r="C115" i="7" s="1"/>
  <c r="E59" i="7"/>
  <c r="E61" i="7"/>
  <c r="E63" i="7"/>
  <c r="C78" i="7"/>
  <c r="C80" i="7"/>
  <c r="D98" i="7"/>
  <c r="L105" i="7"/>
  <c r="Q105" i="7"/>
  <c r="B110" i="7" s="1"/>
  <c r="C135" i="7" s="1"/>
  <c r="E107" i="7"/>
  <c r="H107" i="7"/>
  <c r="B111" i="7"/>
  <c r="B112" i="7"/>
  <c r="C112" i="7"/>
  <c r="B113" i="7"/>
  <c r="B114" i="7"/>
  <c r="C114" i="7"/>
  <c r="B115" i="7"/>
  <c r="H150" i="7"/>
  <c r="H163" i="7" s="1"/>
  <c r="H174" i="7" s="1"/>
  <c r="K150" i="7"/>
  <c r="H151" i="7"/>
  <c r="H164" i="7" s="1"/>
  <c r="H175" i="7" s="1"/>
  <c r="K151" i="7"/>
  <c r="H152" i="7"/>
  <c r="H165" i="7" s="1"/>
  <c r="H176" i="7" s="1"/>
  <c r="K152" i="7"/>
  <c r="K163" i="7"/>
  <c r="K164" i="7"/>
  <c r="K165" i="7"/>
  <c r="K174" i="7"/>
  <c r="K175" i="7"/>
  <c r="K176" i="7"/>
  <c r="G111" i="7" l="1"/>
  <c r="G113" i="7"/>
  <c r="C150" i="7" s="1"/>
  <c r="N150" i="7" s="1"/>
  <c r="G115" i="7"/>
  <c r="C152" i="7" s="1"/>
  <c r="N152" i="7" s="1"/>
  <c r="D113" i="7"/>
  <c r="D114" i="7"/>
  <c r="G112" i="7"/>
  <c r="D112" i="7"/>
  <c r="E121" i="7"/>
  <c r="G114" i="7"/>
  <c r="C151" i="7" s="1"/>
  <c r="N151" i="7" s="1"/>
  <c r="D115" i="7"/>
  <c r="D111" i="7"/>
  <c r="D97" i="7"/>
  <c r="C111" i="7"/>
  <c r="T47" i="7"/>
  <c r="I50" i="7"/>
  <c r="I48" i="7"/>
  <c r="S47" i="7" s="1"/>
  <c r="H14" i="7"/>
  <c r="D124" i="7" l="1"/>
  <c r="N47" i="7"/>
  <c r="C79" i="7"/>
  <c r="E62" i="7"/>
  <c r="R47" i="7"/>
  <c r="D120" i="7"/>
  <c r="C154" i="7"/>
  <c r="C136" i="7"/>
  <c r="C137" i="7"/>
  <c r="O47" i="7"/>
  <c r="C56" i="7" s="1"/>
  <c r="E120" i="7"/>
  <c r="D121" i="7"/>
  <c r="D101" i="7" l="1"/>
  <c r="C81" i="7"/>
  <c r="Y48" i="7"/>
  <c r="Z48" i="7" s="1"/>
  <c r="Y49" i="7"/>
  <c r="Z49" i="7" s="1"/>
  <c r="Y50" i="7"/>
  <c r="Z50" i="7" s="1"/>
  <c r="Y51" i="7"/>
  <c r="Z51" i="7" s="1"/>
  <c r="W47" i="7"/>
  <c r="X47" i="7" s="1"/>
  <c r="W48" i="7"/>
  <c r="X48" i="7" s="1"/>
  <c r="C55" i="7"/>
  <c r="W49" i="7"/>
  <c r="X49" i="7" s="1"/>
  <c r="W51" i="7"/>
  <c r="X51" i="7" s="1"/>
  <c r="W50" i="7"/>
  <c r="X50" i="7" s="1"/>
  <c r="Y47" i="7"/>
  <c r="Z47" i="7" s="1"/>
  <c r="D126" i="7"/>
  <c r="F141" i="7"/>
  <c r="F140" i="7"/>
  <c r="F142" i="7"/>
  <c r="J142" i="7" l="1"/>
  <c r="C142" i="7"/>
  <c r="M142" i="7" s="1"/>
  <c r="C176" i="7" s="1"/>
  <c r="N176" i="7" s="1"/>
  <c r="C140" i="7"/>
  <c r="M140" i="7" s="1"/>
  <c r="C174" i="7" s="1"/>
  <c r="N174" i="7" s="1"/>
  <c r="C178" i="7" s="1"/>
  <c r="J140" i="7"/>
  <c r="J72" i="7"/>
  <c r="K72" i="7" s="1"/>
  <c r="H73" i="7"/>
  <c r="I73" i="7" s="1"/>
  <c r="L73" i="7" s="1"/>
  <c r="B60" i="7"/>
  <c r="C60" i="7" s="1"/>
  <c r="G60" i="7" s="1"/>
  <c r="B62" i="7"/>
  <c r="C62" i="7" s="1"/>
  <c r="B72" i="7"/>
  <c r="C72" i="7" s="1"/>
  <c r="J73" i="7"/>
  <c r="K73" i="7" s="1"/>
  <c r="H74" i="7"/>
  <c r="I74" i="7" s="1"/>
  <c r="H72" i="7"/>
  <c r="I72" i="7" s="1"/>
  <c r="D72" i="7"/>
  <c r="E72" i="7" s="1"/>
  <c r="B73" i="7"/>
  <c r="C73" i="7" s="1"/>
  <c r="F73" i="7" s="1"/>
  <c r="J74" i="7"/>
  <c r="K74" i="7" s="1"/>
  <c r="B61" i="7"/>
  <c r="C61" i="7" s="1"/>
  <c r="B63" i="7"/>
  <c r="C63" i="7" s="1"/>
  <c r="D73" i="7"/>
  <c r="E73" i="7" s="1"/>
  <c r="B74" i="7"/>
  <c r="C74" i="7" s="1"/>
  <c r="F74" i="7" s="1"/>
  <c r="D74" i="7"/>
  <c r="E74" i="7" s="1"/>
  <c r="B59" i="7"/>
  <c r="C59" i="7" s="1"/>
  <c r="G59" i="7" s="1"/>
  <c r="E124" i="7"/>
  <c r="E126" i="7" s="1"/>
  <c r="C155" i="7" s="1"/>
  <c r="C156" i="7" s="1"/>
  <c r="D103" i="7"/>
  <c r="J141" i="7"/>
  <c r="C164" i="7" s="1"/>
  <c r="N164" i="7" s="1"/>
  <c r="C141" i="7"/>
  <c r="M141" i="7" s="1"/>
  <c r="C175" i="7" s="1"/>
  <c r="N175" i="7" s="1"/>
  <c r="D130" i="7" l="1"/>
  <c r="L72" i="7"/>
  <c r="C163" i="7"/>
  <c r="N163" i="7" s="1"/>
  <c r="G63" i="7"/>
  <c r="P142" i="7"/>
  <c r="F72" i="7"/>
  <c r="C83" i="7" s="1"/>
  <c r="D83" i="7" s="1"/>
  <c r="C165" i="7"/>
  <c r="N165" i="7" s="1"/>
  <c r="L74" i="7"/>
  <c r="G61" i="7"/>
  <c r="P140" i="7"/>
  <c r="P141" i="7"/>
  <c r="G62" i="7"/>
  <c r="D128" i="7"/>
  <c r="C167" i="7" l="1"/>
  <c r="C84" i="7"/>
  <c r="D84" i="7" s="1"/>
  <c r="D86" i="7" s="1"/>
  <c r="C180" i="7"/>
</calcChain>
</file>

<file path=xl/connections.xml><?xml version="1.0" encoding="utf-8"?>
<connections xmlns="http://schemas.openxmlformats.org/spreadsheetml/2006/main">
  <connection id="1" name="extbnds" type="6" refreshedVersion="4" background="1" saveData="1">
    <textPr codePage="437" sourceFile="C:\Users\Filippo\Desktop\extbnds.txt" delimited="0">
      <textFields count="12">
        <textField/>
        <textField position="9"/>
        <textField position="21"/>
        <textField position="33"/>
        <textField position="45"/>
        <textField position="57"/>
        <textField position="69"/>
        <textField position="80"/>
        <textField position="93"/>
        <textField position="104"/>
        <textField position="117"/>
        <textField position="128"/>
      </textFields>
    </textPr>
  </connection>
</connections>
</file>

<file path=xl/sharedStrings.xml><?xml version="1.0" encoding="utf-8"?>
<sst xmlns="http://schemas.openxmlformats.org/spreadsheetml/2006/main" count="193" uniqueCount="123">
  <si>
    <t>180d</t>
  </si>
  <si>
    <t>5yr</t>
  </si>
  <si>
    <t>15yr</t>
  </si>
  <si>
    <t>25yr</t>
  </si>
  <si>
    <t>Note that we have cut the data at the 300th line</t>
  </si>
  <si>
    <t>Actual Prices</t>
  </si>
  <si>
    <t>Diff</t>
  </si>
  <si>
    <t xml:space="preserve"> &lt;------ Invoke Solver to minimze this criterion over B78 and B80.</t>
  </si>
  <si>
    <t>Now what happens if we close out this position n weeks later?</t>
  </si>
  <si>
    <t>n=</t>
  </si>
  <si>
    <t>Days</t>
  </si>
  <si>
    <t>Excel Formatted Date</t>
  </si>
  <si>
    <t>Fraction of year</t>
  </si>
  <si>
    <t>Here I have used 365 days per year consistently with the</t>
  </si>
  <si>
    <t>above part, so my P&amp;L result is slightly different than yours</t>
  </si>
  <si>
    <t>Factor Realizations on :</t>
  </si>
  <si>
    <t>"Model Implied Yield"</t>
  </si>
  <si>
    <t>5y</t>
  </si>
  <si>
    <t>15y</t>
  </si>
  <si>
    <t>25y</t>
  </si>
  <si>
    <t>Difference between new date market price (at original yields) and initial market price</t>
  </si>
  <si>
    <t>Difference between new date implied price (with changed factors) and initial implied price</t>
  </si>
  <si>
    <t>Net positions</t>
  </si>
  <si>
    <t>Size</t>
  </si>
  <si>
    <t>week</t>
  </si>
  <si>
    <t>P&amp;L result by week</t>
  </si>
  <si>
    <t>To construct a portfolio that is not exposed to movements in the factors we first have to compute the sensitivity of the security prices to the factors:</t>
  </si>
  <si>
    <t>+ 1 bp</t>
  </si>
  <si>
    <t>yld</t>
  </si>
  <si>
    <t>price</t>
  </si>
  <si>
    <t>- 1 bp</t>
  </si>
  <si>
    <t>Derivative</t>
  </si>
  <si>
    <t>WRT Factor 1</t>
  </si>
  <si>
    <t>WRT Factor 2</t>
  </si>
  <si>
    <t>Market</t>
  </si>
  <si>
    <t>P&amp;L:</t>
  </si>
  <si>
    <t xml:space="preserve">    What would the effect on our position be if the factors changed from their original values to the new ones immediately?</t>
  </si>
  <si>
    <t xml:space="preserve">   What is the effect on the portfolio if the accuracy of the model changed instantaneously from what it was originally to its ending value?</t>
  </si>
  <si>
    <t xml:space="preserve">  We have the total and the 3 identified effects.  What we can't name is 2nd derivative and index number problems.</t>
  </si>
  <si>
    <t xml:space="preserve">  Because the loadings that link the yields to the factors are orthogonal, the inverse of the loadings matrix is the transpose</t>
  </si>
  <si>
    <t xml:space="preserve">     thus, the loadings also link the factors to the yields as we use in these equations.</t>
  </si>
  <si>
    <t xml:space="preserve">  If the last 3 factors are truly noise, and the yield structure is linear, normal, and stable over time, then the first 2 factors are all that we need.</t>
  </si>
  <si>
    <t>Principal Components and Relative Value Trades.</t>
  </si>
  <si>
    <t>When we use the first 300 weeks of our data (ending 3/9/95), we find that the first factor explains 93.9% of the variation, and the second 5.5%), we obtain factor loadings for the first two factors as follows:</t>
  </si>
  <si>
    <t>Yield</t>
  </si>
  <si>
    <t>Factor 1 Loading</t>
  </si>
  <si>
    <t>Factor 2 Loading</t>
  </si>
  <si>
    <t>90-Day</t>
  </si>
  <si>
    <t>180-Day</t>
  </si>
  <si>
    <t>5-Year</t>
  </si>
  <si>
    <t>15-Year</t>
  </si>
  <si>
    <t>25-Year</t>
  </si>
  <si>
    <t>Factor 1:</t>
  </si>
  <si>
    <t>Factor 2:</t>
  </si>
  <si>
    <t>Implied Yields:</t>
  </si>
  <si>
    <t>If we focus on the 3 STRIPS, it looks as if the 15-Year is trading rich, while the 5- and 25-Year STRIPS are trading cheap.</t>
  </si>
  <si>
    <t>Net Bond position:</t>
  </si>
  <si>
    <t>Bonds</t>
  </si>
  <si>
    <t>We put on a spread trade to immunize our exposure to the risk factors.  Then we examine the profitability of the trade after 1 week.</t>
  </si>
  <si>
    <t>Factor 1</t>
  </si>
  <si>
    <t>Factor 2</t>
  </si>
  <si>
    <t>Factor 3</t>
  </si>
  <si>
    <t>Factor 4</t>
  </si>
  <si>
    <t>Factor 5</t>
  </si>
  <si>
    <t>5 factors</t>
  </si>
  <si>
    <t>2 factors</t>
  </si>
  <si>
    <t>diff</t>
  </si>
  <si>
    <t>Date</t>
  </si>
  <si>
    <t>Delta-t</t>
  </si>
  <si>
    <t>Term</t>
  </si>
  <si>
    <t>(Weeks)</t>
  </si>
  <si>
    <t>300 weeks means</t>
  </si>
  <si>
    <t>90d</t>
  </si>
  <si>
    <t>Means</t>
    <phoneticPr fontId="4" type="noConversion"/>
  </si>
  <si>
    <t xml:space="preserve">     We don't want to include the mean effect of the factors, so we use the means separately from the factors.</t>
    <phoneticPr fontId="0" type="noConversion"/>
  </si>
  <si>
    <t>Ylds minus means</t>
    <phoneticPr fontId="0" type="noConversion"/>
  </si>
  <si>
    <t xml:space="preserve">Our objective is to put on a Relative Value Trade with these 3 STRIPS that has no exposure to the 2 factors, but profits from the </t>
  </si>
  <si>
    <t xml:space="preserve">  perceived mispricing.</t>
  </si>
  <si>
    <t>n1</t>
  </si>
  <si>
    <t>n2</t>
  </si>
  <si>
    <t>n3</t>
  </si>
  <si>
    <t>Exposure to factor 1:</t>
  </si>
  <si>
    <t>Prices (Assume full terms)</t>
  </si>
  <si>
    <t>$ Position</t>
  </si>
  <si>
    <t>Exposure to factor 2:</t>
  </si>
  <si>
    <t>Market Yields</t>
  </si>
  <si>
    <t>Assumptions on financing:</t>
  </si>
  <si>
    <t>Overnight Repo Rate:</t>
  </si>
  <si>
    <t>Lend:</t>
  </si>
  <si>
    <t>Borrow:</t>
  </si>
  <si>
    <t>Assume constant over</t>
  </si>
  <si>
    <t xml:space="preserve">  the holding period.</t>
  </si>
  <si>
    <t>Reverse In:</t>
  </si>
  <si>
    <t>Size (X)</t>
  </si>
  <si>
    <t>Short:</t>
  </si>
  <si>
    <t>Sell long position and pay financing:</t>
  </si>
  <si>
    <t>Prices (Adjusted for term)</t>
  </si>
  <si>
    <t>Close Short Position:</t>
  </si>
  <si>
    <t>Attribution Analysis:</t>
  </si>
  <si>
    <t>"Model" Implied Prices:</t>
  </si>
  <si>
    <t>Old 5-Year</t>
  </si>
  <si>
    <t>Old 15-Year</t>
  </si>
  <si>
    <t>Old 25-Year</t>
  </si>
  <si>
    <t>1) Carry:</t>
  </si>
  <si>
    <t xml:space="preserve">   To extract the carry we look at the passage of time only.  Assume that the yields on all securities remained at the initial levels over the holding period.</t>
  </si>
  <si>
    <t>Prices at Original Yields (Adjusted for term)</t>
  </si>
  <si>
    <t>Return on STRIPS</t>
  </si>
  <si>
    <t xml:space="preserve">  Financing</t>
  </si>
  <si>
    <t>Total</t>
  </si>
  <si>
    <t>@ New Factors / no passage of time</t>
  </si>
  <si>
    <t>Implied Prices</t>
  </si>
  <si>
    <t>3) Convergence</t>
  </si>
  <si>
    <t>Actual / Model</t>
  </si>
  <si>
    <t>4) Cross Effects</t>
  </si>
  <si>
    <r>
      <t xml:space="preserve">2) Factor Exposure (Systematic Risk </t>
    </r>
    <r>
      <rPr>
        <b/>
        <i/>
        <sz val="10"/>
        <rFont val="Arial"/>
        <family val="2"/>
      </rPr>
      <t>under our model.</t>
    </r>
    <r>
      <rPr>
        <b/>
        <sz val="10"/>
        <rFont val="Arial"/>
        <family val="2"/>
      </rPr>
      <t>)</t>
    </r>
  </si>
  <si>
    <t>Factor Realizations on 3/9/95:</t>
  </si>
  <si>
    <t>Factor Realizations on 3/9/95:</t>
    <phoneticPr fontId="0" type="noConversion"/>
  </si>
  <si>
    <t>Verify that if we use all 5 factors we reconstruct the data exactly:</t>
    <phoneticPr fontId="4" type="noConversion"/>
  </si>
  <si>
    <t>Actual Yields</t>
    <phoneticPr fontId="4" type="noConversion"/>
  </si>
  <si>
    <t>Here we look at actual prices relative to a model.  In this case the model is that all yields are explained by the first 2 factors from PCA on the first 300 weeks in the sample.</t>
  </si>
  <si>
    <t>Reconstructed Yields:</t>
    <phoneticPr fontId="4" type="noConversion"/>
  </si>
  <si>
    <t>Finally, we do attribution analysis to anlayze the sources of our profit/loss.</t>
  </si>
  <si>
    <t>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</si>
</sst>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0"/>
    <numFmt numFmtId="165" formatCode="0.000000"/>
    <numFmt numFmtId="166" formatCode="0.0000000"/>
    <numFmt numFmtId="167" formatCode="0.0000"/>
    <numFmt numFmtId="168" formatCode="0.000"/>
    <numFmt numFmtId="169" formatCode="0.00000000"/>
    <numFmt numFmtId="171" formatCode="0.000000000"/>
    <numFmt numFmtId="172" formatCode="0.0000000000"/>
  </numFmts>
  <fonts count="8" x14ac:knownFonts="1">
    <font>
      <sz val="10"/>
      <name val="Arial"/>
    </font>
    <font>
      <b/>
      <sz val="10"/>
      <name val="Arial"/>
      <family val="2"/>
    </font>
    <font>
      <b/>
      <i/>
      <sz val="10"/>
      <name val="Arial"/>
      <family val="2"/>
    </font>
    <font>
      <sz val="14"/>
      <color indexed="27"/>
      <name val="Tahoma"/>
      <family val="2"/>
    </font>
    <font>
      <sz val="8"/>
      <name val="Verdana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2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" fontId="0" fillId="0" borderId="0" xfId="0" applyNumberFormat="1"/>
    <xf numFmtId="0" fontId="0" fillId="0" borderId="0" xfId="0" quotePrefix="1"/>
    <xf numFmtId="0" fontId="1" fillId="0" borderId="0" xfId="0" applyFont="1"/>
    <xf numFmtId="0" fontId="3" fillId="2" borderId="0" xfId="0" applyFont="1" applyFill="1"/>
    <xf numFmtId="4" fontId="1" fillId="0" borderId="0" xfId="0" applyNumberFormat="1" applyFont="1"/>
    <xf numFmtId="0" fontId="0" fillId="0" borderId="0" xfId="0" applyAlignmen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3" borderId="0" xfId="0" applyFill="1"/>
    <xf numFmtId="164" fontId="6" fillId="0" borderId="0" xfId="0" applyNumberFormat="1" applyFont="1"/>
    <xf numFmtId="164" fontId="7" fillId="0" borderId="0" xfId="0" applyNumberFormat="1" applyFont="1"/>
    <xf numFmtId="169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5" fillId="0" borderId="0" xfId="0" applyFont="1"/>
    <xf numFmtId="0" fontId="0" fillId="0" borderId="0" xfId="0" applyNumberFormat="1"/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3" borderId="0" xfId="0" applyFont="1" applyFill="1"/>
    <xf numFmtId="14" fontId="0" fillId="0" borderId="0" xfId="0" applyNumberFormat="1"/>
    <xf numFmtId="4" fontId="5" fillId="0" borderId="0" xfId="0" applyNumberFormat="1" applyFont="1"/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15</xdr:row>
      <xdr:rowOff>85725</xdr:rowOff>
    </xdr:from>
    <xdr:to>
      <xdr:col>9</xdr:col>
      <xdr:colOff>352425</xdr:colOff>
      <xdr:row>41</xdr:row>
      <xdr:rowOff>57150</xdr:rowOff>
    </xdr:to>
    <xdr:pic>
      <xdr:nvPicPr>
        <xdr:cNvPr id="3105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981325"/>
          <a:ext cx="7400925" cy="418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542925</xdr:colOff>
      <xdr:row>23</xdr:row>
      <xdr:rowOff>123825</xdr:rowOff>
    </xdr:from>
    <xdr:to>
      <xdr:col>20</xdr:col>
      <xdr:colOff>314325</xdr:colOff>
      <xdr:row>41</xdr:row>
      <xdr:rowOff>57150</xdr:rowOff>
    </xdr:to>
    <xdr:pic>
      <xdr:nvPicPr>
        <xdr:cNvPr id="3106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96450" y="4314825"/>
          <a:ext cx="4953000" cy="2847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57149</xdr:colOff>
      <xdr:row>48</xdr:row>
      <xdr:rowOff>62926</xdr:rowOff>
    </xdr:from>
    <xdr:ext cx="7105379" cy="380769"/>
    <xdr:sp macro="" textlink="">
      <xdr:nvSpPr>
        <xdr:cNvPr id="5" name="TextBox 4"/>
        <xdr:cNvSpPr txBox="1"/>
      </xdr:nvSpPr>
      <xdr:spPr>
        <a:xfrm>
          <a:off x="6953249" y="872551"/>
          <a:ext cx="7191375" cy="384749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>
              <a:solidFill>
                <a:schemeClr val="tx2"/>
              </a:solidFill>
            </a:rPr>
            <a:t>Factor</a:t>
          </a:r>
          <a:r>
            <a:rPr lang="en-US" sz="1100" b="0" baseline="0">
              <a:solidFill>
                <a:schemeClr val="tx2"/>
              </a:solidFill>
            </a:rPr>
            <a:t> 1 Realization</a:t>
          </a:r>
          <a:r>
            <a:rPr lang="en-US" sz="1100" b="0" baseline="0"/>
            <a:t> = F1Load*(ActualYield90day-Means90day)+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F2Load*(ActualYield180day-Means180day)+..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name="extbnd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81"/>
  <sheetViews>
    <sheetView tabSelected="1" zoomScaleNormal="100" workbookViewId="0">
      <selection activeCell="A8" sqref="A8"/>
    </sheetView>
  </sheetViews>
  <sheetFormatPr defaultColWidth="8.85546875" defaultRowHeight="12.75" x14ac:dyDescent="0.2"/>
  <cols>
    <col min="2" max="2" width="15.28515625" bestFit="1" customWidth="1"/>
    <col min="3" max="3" width="13.28515625" bestFit="1" customWidth="1"/>
    <col min="4" max="4" width="14.42578125" bestFit="1" customWidth="1"/>
    <col min="5" max="5" width="13.42578125" customWidth="1"/>
    <col min="6" max="6" width="13.140625" bestFit="1" customWidth="1"/>
    <col min="7" max="7" width="10.140625" bestFit="1" customWidth="1"/>
    <col min="8" max="8" width="10.42578125" bestFit="1" customWidth="1"/>
    <col min="10" max="10" width="10.42578125" bestFit="1" customWidth="1"/>
    <col min="11" max="11" width="10.140625" bestFit="1" customWidth="1"/>
    <col min="14" max="14" width="14.140625" customWidth="1"/>
    <col min="16" max="16" width="10.42578125" bestFit="1" customWidth="1"/>
    <col min="23" max="25" width="9.42578125" bestFit="1" customWidth="1"/>
  </cols>
  <sheetData>
    <row r="1" spans="1:24" ht="18" x14ac:dyDescent="0.25">
      <c r="A1" s="6"/>
      <c r="B1" s="6"/>
      <c r="C1" s="6"/>
      <c r="D1" s="6"/>
      <c r="E1" s="6"/>
      <c r="F1" s="6" t="s">
        <v>42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</row>
    <row r="2" spans="1:24" ht="18" x14ac:dyDescent="0.25">
      <c r="A2" s="6" t="s">
        <v>119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ht="18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ht="18" x14ac:dyDescent="0.25">
      <c r="A4" s="6" t="s">
        <v>58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 spans="1:24" ht="18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1:24" ht="18" x14ac:dyDescent="0.25">
      <c r="A6" s="6" t="s">
        <v>121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1:24" ht="18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1:24" x14ac:dyDescent="0.2">
      <c r="A8" t="s">
        <v>43</v>
      </c>
    </row>
    <row r="9" spans="1:24" x14ac:dyDescent="0.2">
      <c r="F9" s="1" t="s">
        <v>85</v>
      </c>
      <c r="H9" t="s">
        <v>34</v>
      </c>
    </row>
    <row r="10" spans="1:24" x14ac:dyDescent="0.2">
      <c r="A10" t="s">
        <v>44</v>
      </c>
      <c r="B10" t="s">
        <v>45</v>
      </c>
      <c r="D10" t="s">
        <v>46</v>
      </c>
      <c r="F10" s="2">
        <v>34767</v>
      </c>
      <c r="H10" t="s">
        <v>82</v>
      </c>
    </row>
    <row r="11" spans="1:24" x14ac:dyDescent="0.2">
      <c r="A11" t="s">
        <v>47</v>
      </c>
      <c r="B11">
        <v>0.62907599000000003</v>
      </c>
      <c r="D11">
        <v>-0.32140437999999999</v>
      </c>
      <c r="F11" s="1">
        <f>Data!D302</f>
        <v>5.91E-2</v>
      </c>
      <c r="H11">
        <f>100/(1+F11/2)^0.5</f>
        <v>98.554459055085999</v>
      </c>
    </row>
    <row r="12" spans="1:24" x14ac:dyDescent="0.2">
      <c r="A12" t="s">
        <v>48</v>
      </c>
      <c r="B12">
        <v>0.61948409000000004</v>
      </c>
      <c r="D12">
        <v>-0.28208913000000002</v>
      </c>
      <c r="F12" s="1">
        <f>Data!F302</f>
        <v>6.2399999999999997E-2</v>
      </c>
      <c r="H12">
        <f>100/(1+F12/2)</f>
        <v>96.974398758727702</v>
      </c>
    </row>
    <row r="13" spans="1:24" x14ac:dyDescent="0.2">
      <c r="A13" t="s">
        <v>49</v>
      </c>
      <c r="B13">
        <v>0.37678740999999999</v>
      </c>
      <c r="D13">
        <v>0.41055534999999999</v>
      </c>
      <c r="F13" s="1">
        <f>Data!H302</f>
        <v>7.22E-2</v>
      </c>
      <c r="H13">
        <f>100/(1+F13/2)^10</f>
        <v>70.142826595172053</v>
      </c>
    </row>
    <row r="14" spans="1:24" x14ac:dyDescent="0.2">
      <c r="A14" t="s">
        <v>50</v>
      </c>
      <c r="B14">
        <v>0.24422947</v>
      </c>
      <c r="D14">
        <v>0.62243921999999996</v>
      </c>
      <c r="F14" s="1">
        <f>Data!J302</f>
        <v>7.5499999999999998E-2</v>
      </c>
      <c r="H14">
        <f>100/(1+F14/2)^30</f>
        <v>32.901654572287264</v>
      </c>
    </row>
    <row r="15" spans="1:24" x14ac:dyDescent="0.2">
      <c r="A15" t="s">
        <v>51</v>
      </c>
      <c r="B15">
        <v>0.13742658999999999</v>
      </c>
      <c r="D15">
        <v>0.51101644000000002</v>
      </c>
      <c r="F15" s="1">
        <f>Data!L302</f>
        <v>7.8200000000000006E-2</v>
      </c>
      <c r="H15">
        <f>100/(1+F15/2)^50</f>
        <v>14.693753803604855</v>
      </c>
    </row>
    <row r="22" spans="14:14" x14ac:dyDescent="0.2">
      <c r="N22" t="s">
        <v>4</v>
      </c>
    </row>
    <row r="44" spans="1:26" x14ac:dyDescent="0.2">
      <c r="A44" t="s">
        <v>117</v>
      </c>
    </row>
    <row r="45" spans="1:26" x14ac:dyDescent="0.2">
      <c r="I45" t="s">
        <v>118</v>
      </c>
      <c r="J45" s="1" t="s">
        <v>73</v>
      </c>
      <c r="M45" s="8" t="s">
        <v>115</v>
      </c>
      <c r="N45" s="8"/>
      <c r="V45" t="s">
        <v>120</v>
      </c>
    </row>
    <row r="46" spans="1:26" x14ac:dyDescent="0.2">
      <c r="A46" t="s">
        <v>44</v>
      </c>
      <c r="B46" t="s">
        <v>45</v>
      </c>
      <c r="D46" t="s">
        <v>46</v>
      </c>
      <c r="F46" s="1">
        <v>3</v>
      </c>
      <c r="G46" s="1">
        <v>4</v>
      </c>
      <c r="H46" s="1">
        <v>5</v>
      </c>
      <c r="I46" s="2">
        <v>34767</v>
      </c>
      <c r="N46" t="s">
        <v>59</v>
      </c>
      <c r="O46" t="s">
        <v>60</v>
      </c>
      <c r="R46" t="s">
        <v>61</v>
      </c>
      <c r="S46" t="s">
        <v>62</v>
      </c>
      <c r="T46" t="s">
        <v>63</v>
      </c>
      <c r="W46" t="s">
        <v>64</v>
      </c>
      <c r="X46" t="s">
        <v>66</v>
      </c>
      <c r="Y46" t="s">
        <v>65</v>
      </c>
      <c r="Z46" t="s">
        <v>66</v>
      </c>
    </row>
    <row r="47" spans="1:26" x14ac:dyDescent="0.2">
      <c r="A47" t="s">
        <v>47</v>
      </c>
      <c r="B47">
        <f>B11</f>
        <v>0.62907599000000003</v>
      </c>
      <c r="D47">
        <f>D11</f>
        <v>-0.32140437999999999</v>
      </c>
      <c r="F47">
        <v>-0.449989583191232</v>
      </c>
      <c r="G47">
        <v>-0.412340550318334</v>
      </c>
      <c r="H47">
        <v>-0.35839540589127</v>
      </c>
      <c r="I47" s="1">
        <f>F11</f>
        <v>5.91E-2</v>
      </c>
      <c r="J47">
        <f>Data!P3</f>
        <v>5.1668666666666675E-2</v>
      </c>
      <c r="N47">
        <f>B47*($I47-$J47)+B48*($I48-$J48)+B49*($I49-$J49)+B50*($I50-$J50)+B51*($I51-$J51)</f>
        <v>1.0059263986726663E-2</v>
      </c>
      <c r="O47">
        <f>D47*($I47-$J47)+D48*($I48-$J48)+D49*($I49-$J49)+D50*($I50-$J50)+D51*($I51-$J51)</f>
        <v>-6.4171077200499667E-3</v>
      </c>
      <c r="R47">
        <f>F47*($I47-$J47)+F48*($I48-$J48)+F49*($I49-$J49)+F50*($I50-$J50)+F51*($I51-$J51)</f>
        <v>1.3392229400772085E-3</v>
      </c>
      <c r="S47">
        <f>G47*($I47-$J47)+G48*($I48-$J48)+G49*($I49-$J49)+G50*($I50-$J50)+G51*($I51-$J51)</f>
        <v>1.124968451391207E-3</v>
      </c>
      <c r="T47">
        <f>H47*($I47-$J47)+H48*($I48-$J48)+H49*($I49-$J49)+H50*($I50-$J50)+H51*($I51-$J51)</f>
        <v>-2.9942138263069863E-4</v>
      </c>
      <c r="W47" s="11">
        <f>B47*N$47+D47*O$47+F47*R$47+G47*S$47+H47*T$47+J47</f>
        <v>5.9099999410961529E-2</v>
      </c>
      <c r="X47" s="12">
        <f>W47-I47</f>
        <v>-5.8903847077740323E-10</v>
      </c>
      <c r="Y47" s="11">
        <f>B47*N$47+D47*O$47+J47</f>
        <v>6.0059194645943975E-2</v>
      </c>
      <c r="Z47" s="12">
        <f>Y47-I47</f>
        <v>9.5919464594397541E-4</v>
      </c>
    </row>
    <row r="48" spans="1:26" x14ac:dyDescent="0.2">
      <c r="A48" t="s">
        <v>48</v>
      </c>
      <c r="B48">
        <f>B12</f>
        <v>0.61948409000000004</v>
      </c>
      <c r="D48">
        <f>D12</f>
        <v>-0.28208913000000002</v>
      </c>
      <c r="F48">
        <v>0.21970087887785</v>
      </c>
      <c r="G48">
        <v>0.54515437629095798</v>
      </c>
      <c r="H48">
        <v>0.43726812638920498</v>
      </c>
      <c r="I48" s="1">
        <f>F12</f>
        <v>6.2399999999999997E-2</v>
      </c>
      <c r="J48">
        <f>Data!Q3</f>
        <v>5.3581666666666694E-2</v>
      </c>
      <c r="W48" s="11">
        <f>B48*N$47+D48*O$47+F48*R$47+G48*S$47+H48*T$47+J48</f>
        <v>6.2399999501848741E-2</v>
      </c>
      <c r="X48" s="12">
        <f>W48-I48</f>
        <v>-4.9815125635621627E-10</v>
      </c>
      <c r="Y48" s="11">
        <f>B48*N$47+D48*O$47+J48</f>
        <v>6.1623416997419009E-2</v>
      </c>
      <c r="Z48" s="12">
        <f>Y48-I48</f>
        <v>-7.7658300258098834E-4</v>
      </c>
    </row>
    <row r="49" spans="1:26" x14ac:dyDescent="0.2">
      <c r="A49" t="s">
        <v>49</v>
      </c>
      <c r="B49">
        <f>B13</f>
        <v>0.37678740999999999</v>
      </c>
      <c r="D49">
        <f>D13</f>
        <v>0.41055534999999999</v>
      </c>
      <c r="F49">
        <v>0.71803726491078002</v>
      </c>
      <c r="G49">
        <v>-0.22189265182460899</v>
      </c>
      <c r="H49">
        <v>-0.35307462316617599</v>
      </c>
      <c r="I49" s="1">
        <f>F13</f>
        <v>7.22E-2</v>
      </c>
      <c r="J49">
        <f>Data!R3</f>
        <v>7.0226666666666618E-2</v>
      </c>
      <c r="W49" s="11">
        <f>B49*N$47+D49*O$47+F49*R$47+G49*S$47+H49*T$47+J49</f>
        <v>7.2200000620679633E-2</v>
      </c>
      <c r="X49" s="12">
        <f>W49-I49</f>
        <v>6.2067963269019089E-10</v>
      </c>
      <c r="Y49" s="11">
        <f>B49*N$47+D49*O$47+J49</f>
        <v>7.1382292784738816E-2</v>
      </c>
      <c r="Z49" s="12">
        <f>Y49-I49</f>
        <v>-8.1770721526118473E-4</v>
      </c>
    </row>
    <row r="50" spans="1:26" x14ac:dyDescent="0.2">
      <c r="A50" t="s">
        <v>50</v>
      </c>
      <c r="B50">
        <f>B14</f>
        <v>0.24422947</v>
      </c>
      <c r="D50">
        <f>D14</f>
        <v>0.62243921999999996</v>
      </c>
      <c r="F50">
        <v>-0.28716011181023199</v>
      </c>
      <c r="G50">
        <v>-0.32444232008113799</v>
      </c>
      <c r="H50">
        <v>0.60431511905583402</v>
      </c>
      <c r="I50" s="1">
        <f>F14</f>
        <v>7.5499999999999998E-2</v>
      </c>
      <c r="J50">
        <f>Data!S3</f>
        <v>7.7967999999999996E-2</v>
      </c>
      <c r="W50" s="11">
        <f>B50*N$47+D50*O$47+F50*R$47+G50*S$47+H50*T$47+J50</f>
        <v>7.550000553605328E-2</v>
      </c>
      <c r="X50" s="12">
        <f>W50-I50</f>
        <v>5.5360532824622055E-9</v>
      </c>
      <c r="Y50" s="11">
        <f>B50*N$47+D50*O$47+J50</f>
        <v>7.6430509188144452E-2</v>
      </c>
      <c r="Z50" s="12">
        <f>Y50-I50</f>
        <v>9.3050918814445438E-4</v>
      </c>
    </row>
    <row r="51" spans="1:26" x14ac:dyDescent="0.2">
      <c r="A51" t="s">
        <v>51</v>
      </c>
      <c r="B51">
        <f>B15</f>
        <v>0.13742658999999999</v>
      </c>
      <c r="D51">
        <f>D15</f>
        <v>0.51101644000000002</v>
      </c>
      <c r="F51">
        <v>-0.38884759896939602</v>
      </c>
      <c r="G51">
        <v>0.61504699705030796</v>
      </c>
      <c r="H51">
        <v>-0.436452593114879</v>
      </c>
      <c r="I51" s="1">
        <f>F15</f>
        <v>7.8200000000000006E-2</v>
      </c>
      <c r="J51">
        <f>Data!T3</f>
        <v>7.9795000000000005E-2</v>
      </c>
      <c r="W51" s="11">
        <f>B51*N$47+D51*O$47+F51*R$47+G51*S$47+H51*T$47+J51</f>
        <v>7.8200000887363161E-2</v>
      </c>
      <c r="X51" s="12">
        <f>W51-I51</f>
        <v>8.8736315517756736E-10</v>
      </c>
      <c r="Y51" s="11">
        <f>B51*N$47+D51*O$47+J51</f>
        <v>7.7898162805409205E-2</v>
      </c>
      <c r="Z51" s="12">
        <f>Y51-I51</f>
        <v>-3.0183719459080105E-4</v>
      </c>
    </row>
    <row r="54" spans="1:26" x14ac:dyDescent="0.2">
      <c r="A54" t="s">
        <v>116</v>
      </c>
    </row>
    <row r="55" spans="1:26" ht="18" x14ac:dyDescent="0.25">
      <c r="B55" t="s">
        <v>52</v>
      </c>
      <c r="C55">
        <f>N47</f>
        <v>1.0059263986726663E-2</v>
      </c>
      <c r="D55" s="6" t="s">
        <v>39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</row>
    <row r="56" spans="1:26" ht="18" x14ac:dyDescent="0.25">
      <c r="B56" t="s">
        <v>53</v>
      </c>
      <c r="C56">
        <f>O47</f>
        <v>-6.4171077200499667E-3</v>
      </c>
      <c r="D56" s="6" t="s">
        <v>40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</row>
    <row r="58" spans="1:26" x14ac:dyDescent="0.2">
      <c r="A58" t="s">
        <v>54</v>
      </c>
      <c r="C58" t="s">
        <v>110</v>
      </c>
      <c r="E58" t="s">
        <v>5</v>
      </c>
      <c r="G58" t="s">
        <v>6</v>
      </c>
    </row>
    <row r="59" spans="1:26" ht="18" x14ac:dyDescent="0.25">
      <c r="A59" t="s">
        <v>47</v>
      </c>
      <c r="B59">
        <f>B47*$C$55+D47*$C$56+J47</f>
        <v>6.0059194645943975E-2</v>
      </c>
      <c r="C59">
        <f>100/(1+B59/2)^0.5</f>
        <v>98.531512162041579</v>
      </c>
      <c r="E59">
        <f>H11</f>
        <v>98.554459055085999</v>
      </c>
      <c r="G59" s="9">
        <f>E59-C59</f>
        <v>2.294689304441988E-2</v>
      </c>
      <c r="H59" s="6" t="s">
        <v>41</v>
      </c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1:26" ht="18" x14ac:dyDescent="0.25">
      <c r="A60" t="s">
        <v>48</v>
      </c>
      <c r="B60">
        <f>B48*$C$55+D48*$C$56+J48</f>
        <v>6.1623416997419009E-2</v>
      </c>
      <c r="C60">
        <f>100/(1+B60/2)</f>
        <v>97.010927578268962</v>
      </c>
      <c r="E60">
        <f>H12</f>
        <v>96.974398758727702</v>
      </c>
      <c r="G60" s="9">
        <f>E60-C60</f>
        <v>-3.6528819541260305E-2</v>
      </c>
      <c r="H60" s="6" t="s">
        <v>74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</row>
    <row r="61" spans="1:26" ht="18" x14ac:dyDescent="0.25">
      <c r="A61" t="s">
        <v>49</v>
      </c>
      <c r="B61">
        <f>B49*$C$55+D49*$C$56+J49</f>
        <v>7.1382292784738816E-2</v>
      </c>
      <c r="C61">
        <f>100/(1+B61/2)^10</f>
        <v>70.420217653546629</v>
      </c>
      <c r="E61">
        <f>H13</f>
        <v>70.142826595172053</v>
      </c>
      <c r="G61" s="15">
        <f>E61-C61</f>
        <v>-0.27739105837457601</v>
      </c>
      <c r="H61" s="6" t="s">
        <v>55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1:26" ht="18" x14ac:dyDescent="0.25">
      <c r="A62" t="s">
        <v>50</v>
      </c>
      <c r="B62">
        <f>B50*$C$55+D50*$C$56+J50</f>
        <v>7.6430509188144452E-2</v>
      </c>
      <c r="C62">
        <f>100/(1+B62/2)^30</f>
        <v>32.462190978549948</v>
      </c>
      <c r="E62">
        <f>H14</f>
        <v>32.901654572287264</v>
      </c>
      <c r="G62" s="16">
        <f>E62-C62</f>
        <v>0.43946359373731525</v>
      </c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1:26" ht="18" x14ac:dyDescent="0.25">
      <c r="A63" t="s">
        <v>51</v>
      </c>
      <c r="B63">
        <f>B51*$C$55+D51*$C$56+J51</f>
        <v>7.7898162805409205E-2</v>
      </c>
      <c r="C63">
        <f>100/(1+B63/2)^50</f>
        <v>14.800855834958872</v>
      </c>
      <c r="E63">
        <f>H15</f>
        <v>14.693753803604855</v>
      </c>
      <c r="G63" s="15">
        <f>E63-C63</f>
        <v>-0.10710203135401741</v>
      </c>
      <c r="H63" s="6" t="s">
        <v>76</v>
      </c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</row>
    <row r="64" spans="1:26" ht="18" x14ac:dyDescent="0.25">
      <c r="H64" s="6" t="s">
        <v>77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7" spans="1:18" ht="18" x14ac:dyDescent="0.25">
      <c r="A67" s="6" t="s">
        <v>26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9" spans="1:18" x14ac:dyDescent="0.2">
      <c r="B69" t="s">
        <v>52</v>
      </c>
      <c r="H69" t="s">
        <v>53</v>
      </c>
    </row>
    <row r="70" spans="1:18" x14ac:dyDescent="0.2">
      <c r="B70" s="4" t="s">
        <v>27</v>
      </c>
      <c r="C70">
        <v>1E-4</v>
      </c>
      <c r="D70" s="4" t="s">
        <v>30</v>
      </c>
      <c r="F70" t="s">
        <v>31</v>
      </c>
      <c r="H70" s="4" t="s">
        <v>27</v>
      </c>
      <c r="I70">
        <v>1E-4</v>
      </c>
      <c r="J70" s="4" t="s">
        <v>30</v>
      </c>
      <c r="L70" t="s">
        <v>31</v>
      </c>
    </row>
    <row r="71" spans="1:18" x14ac:dyDescent="0.2">
      <c r="B71" t="s">
        <v>28</v>
      </c>
      <c r="C71" t="s">
        <v>29</v>
      </c>
      <c r="D71" t="s">
        <v>28</v>
      </c>
      <c r="E71" t="s">
        <v>29</v>
      </c>
      <c r="F71" t="s">
        <v>32</v>
      </c>
      <c r="H71" t="s">
        <v>28</v>
      </c>
      <c r="I71" t="s">
        <v>29</v>
      </c>
      <c r="J71" t="s">
        <v>28</v>
      </c>
      <c r="K71" t="s">
        <v>29</v>
      </c>
      <c r="L71" t="s">
        <v>33</v>
      </c>
    </row>
    <row r="72" spans="1:18" x14ac:dyDescent="0.2">
      <c r="A72" t="s">
        <v>49</v>
      </c>
      <c r="B72" s="17">
        <f>B49*($C$55+$C$70)+D49*$C$56+J49</f>
        <v>7.1419971525738812E-2</v>
      </c>
      <c r="C72">
        <f>100/(1+B72/2)^10</f>
        <v>70.407409396400396</v>
      </c>
      <c r="D72">
        <f>B49*($C$55-$C$70)+D49*$C$56+J49</f>
        <v>7.1344614043738819E-2</v>
      </c>
      <c r="E72">
        <f>100/(1+D72/2)^10</f>
        <v>70.433028473773845</v>
      </c>
      <c r="F72">
        <f>(C72-E72)/(2*C70)</f>
        <v>-128.09538686724409</v>
      </c>
      <c r="H72" s="17">
        <f>B49*$C$55+D49*($C$56+$I$70)+J49</f>
        <v>7.1423348319738816E-2</v>
      </c>
      <c r="I72">
        <f>100/(1+H72/2)^10</f>
        <v>70.406261636944507</v>
      </c>
      <c r="J72" s="17">
        <f>B49*$C$55+D49*($C$56-$I$70)+J49</f>
        <v>7.1341237249738815E-2</v>
      </c>
      <c r="K72">
        <f>100/(1+J72/2)^10</f>
        <v>70.434176713226051</v>
      </c>
      <c r="L72">
        <f>(I72-K72)/(2*I70)</f>
        <v>-139.57538140772385</v>
      </c>
    </row>
    <row r="73" spans="1:18" x14ac:dyDescent="0.2">
      <c r="A73" t="s">
        <v>50</v>
      </c>
      <c r="B73" s="17">
        <f>B50*($C$55+$C$70)+D50*$C$56+J50</f>
        <v>7.6454932135144454E-2</v>
      </c>
      <c r="C73">
        <f>100/(1+B73/2)^30</f>
        <v>32.450738471312114</v>
      </c>
      <c r="D73">
        <f>B50*($C$55-$C$70)+D50*$C$56+J50</f>
        <v>7.640608624114445E-2</v>
      </c>
      <c r="E73">
        <f>100/(1+D73/2)^30</f>
        <v>32.473647662380188</v>
      </c>
      <c r="F73">
        <f>(C73-E73)/(2*C70)</f>
        <v>-114.54595534036827</v>
      </c>
      <c r="H73" s="17">
        <f>B50*$C$55+D50*($C$56+$I$70)+J50</f>
        <v>7.649275311014446E-2</v>
      </c>
      <c r="I73">
        <f>100/(1+H73/2)^30</f>
        <v>32.433011544712656</v>
      </c>
      <c r="J73" s="17">
        <f>B50*$C$55+D50*($C$56-$I$70)+J50</f>
        <v>7.6368265266144458E-2</v>
      </c>
      <c r="K73">
        <f>100/(1+J73/2)^30</f>
        <v>32.491397540520218</v>
      </c>
      <c r="L73">
        <f>(I73-K73)/(2*I70)</f>
        <v>-291.92997903781048</v>
      </c>
    </row>
    <row r="74" spans="1:18" x14ac:dyDescent="0.2">
      <c r="A74" t="s">
        <v>51</v>
      </c>
      <c r="B74" s="17">
        <f>B51*($C$55+$C$70)+D51*$C$56+J51</f>
        <v>7.7911905464409209E-2</v>
      </c>
      <c r="C74">
        <f>100/(1+B74/2)^50</f>
        <v>14.795962216535811</v>
      </c>
      <c r="D74">
        <f>B51*($C$55-$C$70)+D51*$C$56+J51</f>
        <v>7.78844201464092E-2</v>
      </c>
      <c r="E74">
        <f>100/(1+D74/2)^50</f>
        <v>14.805751104279183</v>
      </c>
      <c r="F74">
        <f>(C74-E74)/(2*C70)</f>
        <v>-48.944438716862493</v>
      </c>
      <c r="H74" s="17">
        <f>B51*$C$55+D51*($C$56+$I$70)+J51</f>
        <v>7.7949264449409209E-2</v>
      </c>
      <c r="I74">
        <f>100/(1+H74/2)^50</f>
        <v>14.782667408781995</v>
      </c>
      <c r="J74" s="17">
        <f>B51*$C$55+D51*($C$56-$I$70)+J51</f>
        <v>7.7847061161409201E-2</v>
      </c>
      <c r="K74">
        <f>100/(1+J74/2)^50</f>
        <v>14.819067088107262</v>
      </c>
      <c r="L74">
        <f>(I74-K74)/(2*I70)</f>
        <v>-181.99839662633721</v>
      </c>
    </row>
    <row r="77" spans="1:18" x14ac:dyDescent="0.2">
      <c r="C77" t="s">
        <v>83</v>
      </c>
    </row>
    <row r="78" spans="1:18" x14ac:dyDescent="0.2">
      <c r="A78" t="s">
        <v>78</v>
      </c>
      <c r="B78">
        <v>39.79458931449539</v>
      </c>
      <c r="C78">
        <f>B78*H13</f>
        <v>2791.3049777127367</v>
      </c>
    </row>
    <row r="79" spans="1:18" x14ac:dyDescent="0.2">
      <c r="A79" t="s">
        <v>79</v>
      </c>
      <c r="B79">
        <v>-100</v>
      </c>
      <c r="C79">
        <f>B79*H14</f>
        <v>-3290.1654572287262</v>
      </c>
    </row>
    <row r="80" spans="1:18" x14ac:dyDescent="0.2">
      <c r="A80" t="s">
        <v>80</v>
      </c>
      <c r="B80">
        <v>129.88385225347932</v>
      </c>
      <c r="C80">
        <f>B80*H15</f>
        <v>1908.4813480764128</v>
      </c>
    </row>
    <row r="81" spans="1:18" x14ac:dyDescent="0.2">
      <c r="C81">
        <f>SUM(C78:C80)</f>
        <v>1409.6208685604233</v>
      </c>
    </row>
    <row r="83" spans="1:18" x14ac:dyDescent="0.2">
      <c r="A83" t="s">
        <v>81</v>
      </c>
      <c r="C83">
        <f>B78*F72+B79*F73+B80*F74</f>
        <v>-2.6356998205301352E-5</v>
      </c>
      <c r="D83">
        <f>(C83*10000)^2</f>
        <v>6.9469135439425872E-2</v>
      </c>
    </row>
    <row r="84" spans="1:18" x14ac:dyDescent="0.2">
      <c r="A84" t="s">
        <v>84</v>
      </c>
      <c r="C84">
        <f>B78*L72+B79*L73+B80*L74</f>
        <v>6.4461310103069991E-5</v>
      </c>
      <c r="D84">
        <f>(C84*10000)^2</f>
        <v>0.41552605002041532</v>
      </c>
    </row>
    <row r="86" spans="1:18" ht="18" x14ac:dyDescent="0.25">
      <c r="D86">
        <f>D83+D84</f>
        <v>0.48499518545984122</v>
      </c>
      <c r="E86" s="6" t="s">
        <v>7</v>
      </c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</row>
    <row r="90" spans="1:18" x14ac:dyDescent="0.2">
      <c r="A90" t="s">
        <v>86</v>
      </c>
    </row>
    <row r="91" spans="1:18" x14ac:dyDescent="0.2">
      <c r="B91" t="s">
        <v>87</v>
      </c>
      <c r="D91" t="s">
        <v>88</v>
      </c>
      <c r="E91">
        <v>4.3999999999999997E-2</v>
      </c>
    </row>
    <row r="92" spans="1:18" x14ac:dyDescent="0.2">
      <c r="B92" t="s">
        <v>90</v>
      </c>
      <c r="D92" t="s">
        <v>89</v>
      </c>
      <c r="E92">
        <v>4.4499999999999998E-2</v>
      </c>
    </row>
    <row r="93" spans="1:18" x14ac:dyDescent="0.2">
      <c r="B93" t="s">
        <v>91</v>
      </c>
    </row>
    <row r="95" spans="1:18" x14ac:dyDescent="0.2">
      <c r="A95" t="s">
        <v>93</v>
      </c>
      <c r="B95" s="3">
        <v>100000</v>
      </c>
    </row>
    <row r="96" spans="1:18" x14ac:dyDescent="0.2">
      <c r="B96" t="s">
        <v>92</v>
      </c>
    </row>
    <row r="97" spans="2:17" x14ac:dyDescent="0.2">
      <c r="C97" t="s">
        <v>49</v>
      </c>
      <c r="D97" s="27">
        <f>-C78*B95</f>
        <v>-279130497.77127367</v>
      </c>
      <c r="E97" s="27"/>
    </row>
    <row r="98" spans="2:17" x14ac:dyDescent="0.2">
      <c r="C98" t="s">
        <v>51</v>
      </c>
      <c r="D98" s="27">
        <f>-C80*B95</f>
        <v>-190848134.80764127</v>
      </c>
      <c r="E98" s="27"/>
    </row>
    <row r="100" spans="2:17" x14ac:dyDescent="0.2">
      <c r="B100" t="s">
        <v>94</v>
      </c>
    </row>
    <row r="101" spans="2:17" x14ac:dyDescent="0.2">
      <c r="C101" t="s">
        <v>50</v>
      </c>
      <c r="D101" s="27">
        <f>-C79*B95</f>
        <v>329016545.72287261</v>
      </c>
      <c r="E101" s="27"/>
    </row>
    <row r="103" spans="2:17" x14ac:dyDescent="0.2">
      <c r="B103" s="28" t="s">
        <v>56</v>
      </c>
      <c r="C103" s="28"/>
      <c r="D103" s="27">
        <f>D97+D98+D101</f>
        <v>-140962086.85604233</v>
      </c>
      <c r="E103" s="27"/>
    </row>
    <row r="105" spans="2:17" x14ac:dyDescent="0.2">
      <c r="B105" s="20" t="s">
        <v>8</v>
      </c>
      <c r="H105" s="20" t="s">
        <v>9</v>
      </c>
      <c r="I105">
        <v>6</v>
      </c>
      <c r="K105" s="20" t="s">
        <v>67</v>
      </c>
      <c r="L105" s="21">
        <f>LOOKUP(300+I105,Data!A3:A944,Data!B3:B944)</f>
        <v>19950420</v>
      </c>
      <c r="N105" s="20" t="s">
        <v>11</v>
      </c>
      <c r="Q105" t="str">
        <f>(MID(L105,5,2)&amp;"/"&amp;RIGHT(L105,2))&amp;"/"&amp;LEFT(L105,4)</f>
        <v>04/20/1995</v>
      </c>
    </row>
    <row r="106" spans="2:17" x14ac:dyDescent="0.2">
      <c r="B106" s="20"/>
    </row>
    <row r="107" spans="2:17" x14ac:dyDescent="0.2">
      <c r="D107" s="20" t="s">
        <v>10</v>
      </c>
      <c r="E107" s="22">
        <f>Q105-F10</f>
        <v>42</v>
      </c>
      <c r="F107" s="20" t="s">
        <v>12</v>
      </c>
      <c r="H107">
        <f>E107/365</f>
        <v>0.11506849315068493</v>
      </c>
    </row>
    <row r="109" spans="2:17" x14ac:dyDescent="0.2">
      <c r="B109" s="1" t="s">
        <v>85</v>
      </c>
      <c r="C109" t="s">
        <v>75</v>
      </c>
    </row>
    <row r="110" spans="2:17" x14ac:dyDescent="0.2">
      <c r="B110" s="2" t="str">
        <f>Q105</f>
        <v>04/20/1995</v>
      </c>
      <c r="D110" t="s">
        <v>96</v>
      </c>
      <c r="G110" t="s">
        <v>105</v>
      </c>
    </row>
    <row r="111" spans="2:17" x14ac:dyDescent="0.2">
      <c r="B111" s="23">
        <f>LOOKUP(300+$I$105,Data!$A$3:$A$944,Data!$D$3:$D$944)</f>
        <v>5.7599999999999998E-2</v>
      </c>
      <c r="C111" s="19">
        <f>B111-J47</f>
        <v>5.9313333333333232E-3</v>
      </c>
      <c r="D111" s="18">
        <f>100/(1+B111/2)^(0.5-2*H107)</f>
        <v>99.236703948130582</v>
      </c>
      <c r="G111">
        <f>100/(1+F11/2)^(0.5-2*$H$107)</f>
        <v>99.217190004401473</v>
      </c>
    </row>
    <row r="112" spans="2:17" x14ac:dyDescent="0.2">
      <c r="B112" s="23">
        <f>LOOKUP(300+$I$105,Data!$A$3:$A$944,Data!$F$3:$F$944)</f>
        <v>5.9400000000000001E-2</v>
      </c>
      <c r="C112" s="19">
        <f>B112-J48</f>
        <v>5.8183333333333073E-3</v>
      </c>
      <c r="D112" s="18">
        <f>100/(1+B112/2)^(1-2*H107)</f>
        <v>97.771998488377051</v>
      </c>
      <c r="G112">
        <f>100/(1+F12/2)^(1-2*$H$107)</f>
        <v>97.66248968528069</v>
      </c>
    </row>
    <row r="113" spans="2:14" x14ac:dyDescent="0.2">
      <c r="B113" s="23">
        <f>LOOKUP(300+$I$105,Data!$A$3:$A$944,Data!$H$3:$H$944)</f>
        <v>6.7799999999999999E-2</v>
      </c>
      <c r="C113" s="19">
        <f>B113-J49</f>
        <v>-2.4266666666666187E-3</v>
      </c>
      <c r="D113" s="18">
        <f>100/(1+B113/2)^(10-2*H107)</f>
        <v>72.201578637920022</v>
      </c>
      <c r="G113">
        <f>100/(1+F13/2)^(10-2*$H$107)</f>
        <v>70.717639810487</v>
      </c>
    </row>
    <row r="114" spans="2:14" x14ac:dyDescent="0.2">
      <c r="B114" s="23">
        <f>LOOKUP(300+$I$105,Data!$A$3:$A$944,Data!$J$3:$J$944)</f>
        <v>7.2700000000000001E-2</v>
      </c>
      <c r="C114" s="19">
        <f>B114-J50</f>
        <v>-5.2679999999999949E-3</v>
      </c>
      <c r="D114" s="18">
        <f>100/(1+B114/2)^(30-2*H107)</f>
        <v>34.544193355077716</v>
      </c>
      <c r="G114">
        <f>100/(1+F14/2)^(30-2*$H$107)</f>
        <v>33.183429912211167</v>
      </c>
    </row>
    <row r="115" spans="2:14" x14ac:dyDescent="0.2">
      <c r="B115" s="23">
        <f>LOOKUP(300+$I$105,Data!$A$3:$A$944,Data!$L$3:$L$944)</f>
        <v>7.6999999999999999E-2</v>
      </c>
      <c r="C115" s="19">
        <f>B115-J51</f>
        <v>-2.7950000000000058E-3</v>
      </c>
      <c r="D115" s="18">
        <f>100/(1+B115/2)^(50-2*H107)</f>
        <v>15.256351956420838</v>
      </c>
      <c r="G115">
        <f>100/(1+F15/2)^(50-2*$H$107)</f>
        <v>14.824028116361987</v>
      </c>
    </row>
    <row r="119" spans="2:14" x14ac:dyDescent="0.2">
      <c r="B119" t="s">
        <v>95</v>
      </c>
      <c r="G119" s="14"/>
      <c r="H119" s="14"/>
      <c r="I119" s="14"/>
      <c r="J119" s="14"/>
      <c r="K119" s="14"/>
    </row>
    <row r="120" spans="2:14" x14ac:dyDescent="0.2">
      <c r="D120" s="3">
        <f>B95*D113*B78</f>
        <v>287323216.97542709</v>
      </c>
      <c r="E120" s="3">
        <f>D97*E92*H107</f>
        <v>-1429301.096806878</v>
      </c>
      <c r="G120" s="24" t="s">
        <v>13</v>
      </c>
      <c r="H120" s="14"/>
      <c r="I120" s="14"/>
      <c r="J120" s="14"/>
      <c r="K120" s="14"/>
    </row>
    <row r="121" spans="2:14" x14ac:dyDescent="0.2">
      <c r="D121" s="3">
        <f>D115*B95*B80</f>
        <v>198155376.34348443</v>
      </c>
      <c r="E121" s="3">
        <f>D98*E92*H107</f>
        <v>-977247.02453556575</v>
      </c>
      <c r="G121" s="24" t="s">
        <v>14</v>
      </c>
      <c r="H121" s="14"/>
      <c r="I121" s="14"/>
      <c r="J121" s="14"/>
      <c r="K121" s="14"/>
      <c r="N121" s="20" t="s">
        <v>25</v>
      </c>
    </row>
    <row r="122" spans="2:14" x14ac:dyDescent="0.2">
      <c r="G122" s="14"/>
      <c r="H122" s="14"/>
      <c r="I122" s="14"/>
      <c r="J122" s="14"/>
      <c r="K122" s="14"/>
      <c r="M122" s="20" t="s">
        <v>24</v>
      </c>
    </row>
    <row r="123" spans="2:14" x14ac:dyDescent="0.2">
      <c r="B123" t="s">
        <v>97</v>
      </c>
      <c r="M123">
        <v>1</v>
      </c>
      <c r="N123" s="26">
        <v>-1131789.6565386355</v>
      </c>
    </row>
    <row r="124" spans="2:14" x14ac:dyDescent="0.2">
      <c r="D124" s="3">
        <f>D114*B95*B79</f>
        <v>-345441933.55077714</v>
      </c>
      <c r="E124" s="3">
        <f>D101*E91*H107</f>
        <v>1665815.2780708729</v>
      </c>
      <c r="M124">
        <v>2</v>
      </c>
      <c r="N124" s="26">
        <v>-85278.718869388103</v>
      </c>
    </row>
    <row r="125" spans="2:14" x14ac:dyDescent="0.2">
      <c r="M125">
        <v>3</v>
      </c>
      <c r="N125" s="26">
        <v>-207533.0338948071</v>
      </c>
    </row>
    <row r="126" spans="2:14" x14ac:dyDescent="0.2">
      <c r="B126" t="s">
        <v>57</v>
      </c>
      <c r="D126" s="3">
        <f>D120+D121+D124</f>
        <v>140036659.76813442</v>
      </c>
      <c r="E126" s="3">
        <f>E120+E121+E124</f>
        <v>-740732.84327157098</v>
      </c>
      <c r="M126">
        <v>4</v>
      </c>
      <c r="N126" s="26">
        <v>-1432641.7243797779</v>
      </c>
    </row>
    <row r="127" spans="2:14" x14ac:dyDescent="0.2">
      <c r="M127">
        <v>6</v>
      </c>
      <c r="N127" s="26">
        <v>-1666159.9311794937</v>
      </c>
    </row>
    <row r="128" spans="2:14" x14ac:dyDescent="0.2">
      <c r="D128" s="3">
        <f>D126+E126</f>
        <v>139295926.92486283</v>
      </c>
      <c r="M128">
        <v>12</v>
      </c>
      <c r="N128" s="26">
        <v>4375712.2495056689</v>
      </c>
    </row>
    <row r="129" spans="1:18" x14ac:dyDescent="0.2">
      <c r="D129" s="3"/>
      <c r="M129">
        <v>26</v>
      </c>
      <c r="N129" s="26">
        <v>4119227.1405137777</v>
      </c>
    </row>
    <row r="130" spans="1:18" x14ac:dyDescent="0.2">
      <c r="B130" s="5" t="s">
        <v>35</v>
      </c>
      <c r="C130" s="5"/>
      <c r="D130" s="7">
        <f>D103+D128</f>
        <v>-1666159.9311794937</v>
      </c>
      <c r="M130">
        <v>52</v>
      </c>
      <c r="N130" s="26">
        <v>29810666.515349835</v>
      </c>
    </row>
    <row r="133" spans="1:18" ht="18" x14ac:dyDescent="0.25">
      <c r="A133" s="6" t="s">
        <v>98</v>
      </c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</row>
    <row r="135" spans="1:18" x14ac:dyDescent="0.2">
      <c r="A135" s="20" t="s">
        <v>15</v>
      </c>
      <c r="C135" s="25" t="str">
        <f>B110</f>
        <v>04/20/1995</v>
      </c>
    </row>
    <row r="136" spans="1:18" x14ac:dyDescent="0.2">
      <c r="B136" t="s">
        <v>52</v>
      </c>
      <c r="C136">
        <f>C111*B47+C112*B48+B49*C113+C114*B50+B51*C115</f>
        <v>4.7505787037266621E-3</v>
      </c>
    </row>
    <row r="137" spans="1:18" x14ac:dyDescent="0.2">
      <c r="B137" t="s">
        <v>53</v>
      </c>
      <c r="C137">
        <f>C111*D47+D48*C112+C113*D49+D50*C114+C115*D51</f>
        <v>-9.2512268440499684E-3</v>
      </c>
    </row>
    <row r="138" spans="1:18" x14ac:dyDescent="0.2">
      <c r="P138" t="s">
        <v>122</v>
      </c>
    </row>
    <row r="139" spans="1:18" x14ac:dyDescent="0.2">
      <c r="A139" t="s">
        <v>99</v>
      </c>
      <c r="F139" s="20" t="s">
        <v>16</v>
      </c>
      <c r="I139" s="4" t="s">
        <v>109</v>
      </c>
      <c r="M139" t="s">
        <v>112</v>
      </c>
      <c r="P139" t="s">
        <v>112</v>
      </c>
    </row>
    <row r="140" spans="1:18" x14ac:dyDescent="0.2">
      <c r="A140" t="s">
        <v>100</v>
      </c>
      <c r="C140">
        <f>100/(1+F140/2)^(10-2*E107/365)</f>
        <v>72.058974357754678</v>
      </c>
      <c r="F140">
        <f>C136*B49+D49*C137+J49</f>
        <v>6.8218484237556609E-2</v>
      </c>
      <c r="I140" t="s">
        <v>49</v>
      </c>
      <c r="J140" s="10">
        <f>100/(1+F140/2)^10</f>
        <v>71.504900137968008</v>
      </c>
      <c r="M140">
        <f>D113/C140</f>
        <v>1.0019789940314352</v>
      </c>
      <c r="P140" s="17">
        <f>E61/C61</f>
        <v>0.99606091733855062</v>
      </c>
    </row>
    <row r="141" spans="1:18" x14ac:dyDescent="0.2">
      <c r="A141" t="s">
        <v>101</v>
      </c>
      <c r="C141">
        <f>100/(1+F141/2)^(30-2*E107/365)</f>
        <v>34.213465249747145</v>
      </c>
      <c r="F141">
        <f>C136*B50+D50*C137+J50</f>
        <v>7.3369904898150928E-2</v>
      </c>
      <c r="I141" t="s">
        <v>50</v>
      </c>
      <c r="J141" s="10">
        <f>100/(1+F141/2)^30</f>
        <v>33.930960762449892</v>
      </c>
      <c r="M141">
        <f>D114/C141</f>
        <v>1.0096666064929807</v>
      </c>
      <c r="P141" s="17">
        <f>E62/C62</f>
        <v>1.0135377058815191</v>
      </c>
    </row>
    <row r="142" spans="1:18" x14ac:dyDescent="0.2">
      <c r="A142" t="s">
        <v>102</v>
      </c>
      <c r="C142">
        <f>100/(1+F142/2)^(50-2*E107/365)</f>
        <v>15.731568137892818</v>
      </c>
      <c r="F142">
        <f>C136*B51+D51*C137+J51</f>
        <v>7.5720326824300924E-2</v>
      </c>
      <c r="I142" t="s">
        <v>51</v>
      </c>
      <c r="J142" s="10">
        <f>100/(1+F142/2)^50</f>
        <v>15.597603318601863</v>
      </c>
      <c r="M142">
        <f>D115/C142</f>
        <v>0.9697921925324583</v>
      </c>
      <c r="P142" s="17">
        <f>E63/C63</f>
        <v>0.99276379470563803</v>
      </c>
    </row>
    <row r="146" spans="1:18" x14ac:dyDescent="0.2">
      <c r="A146" s="5" t="s">
        <v>103</v>
      </c>
    </row>
    <row r="147" spans="1:18" ht="18" x14ac:dyDescent="0.25">
      <c r="A147" s="6" t="s">
        <v>104</v>
      </c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</row>
    <row r="149" spans="1:18" x14ac:dyDescent="0.2">
      <c r="A149" s="20" t="s">
        <v>20</v>
      </c>
      <c r="H149" s="20" t="s">
        <v>22</v>
      </c>
      <c r="K149" s="20" t="s">
        <v>23</v>
      </c>
    </row>
    <row r="150" spans="1:18" x14ac:dyDescent="0.2">
      <c r="B150" s="20" t="s">
        <v>17</v>
      </c>
      <c r="C150" s="3">
        <f>(G113-H13)</f>
        <v>0.574813215314947</v>
      </c>
      <c r="H150" s="3">
        <f>B78</f>
        <v>39.79458931449539</v>
      </c>
      <c r="K150" s="3">
        <f>$B$95</f>
        <v>100000</v>
      </c>
      <c r="N150" s="3">
        <f>C150*H150*K150</f>
        <v>2287445.5836002924</v>
      </c>
    </row>
    <row r="151" spans="1:18" x14ac:dyDescent="0.2">
      <c r="B151" s="20" t="s">
        <v>18</v>
      </c>
      <c r="C151" s="3">
        <f>(G114-H14)</f>
        <v>0.2817753399239038</v>
      </c>
      <c r="H151" s="3">
        <f>B79</f>
        <v>-100</v>
      </c>
      <c r="K151" s="3">
        <f>$B$95</f>
        <v>100000</v>
      </c>
      <c r="N151" s="3">
        <f>C151*H151*K151</f>
        <v>-2817753.3992390381</v>
      </c>
    </row>
    <row r="152" spans="1:18" x14ac:dyDescent="0.2">
      <c r="B152" s="20" t="s">
        <v>19</v>
      </c>
      <c r="C152" s="3">
        <f>(G115-H15)</f>
        <v>0.13027431275713219</v>
      </c>
      <c r="H152" s="3">
        <f>B80</f>
        <v>129.88385225347932</v>
      </c>
      <c r="K152" s="3">
        <f>$B$95</f>
        <v>100000</v>
      </c>
      <c r="N152" s="3">
        <f>C152*H152*K152</f>
        <v>1692052.9590570915</v>
      </c>
    </row>
    <row r="153" spans="1:18" x14ac:dyDescent="0.2">
      <c r="C153" s="3"/>
    </row>
    <row r="154" spans="1:18" x14ac:dyDescent="0.2">
      <c r="A154" t="s">
        <v>106</v>
      </c>
      <c r="C154" s="3">
        <f>N150+N151+N152</f>
        <v>1161745.1434183458</v>
      </c>
    </row>
    <row r="155" spans="1:18" x14ac:dyDescent="0.2">
      <c r="A155" t="s">
        <v>107</v>
      </c>
      <c r="C155" s="3">
        <f>E126</f>
        <v>-740732.84327157098</v>
      </c>
    </row>
    <row r="156" spans="1:18" x14ac:dyDescent="0.2">
      <c r="A156" t="s">
        <v>108</v>
      </c>
      <c r="C156" s="7">
        <f>C154+C155</f>
        <v>421012.30014677485</v>
      </c>
    </row>
    <row r="159" spans="1:18" x14ac:dyDescent="0.2">
      <c r="A159" s="5" t="s">
        <v>114</v>
      </c>
    </row>
    <row r="160" spans="1:18" ht="18" x14ac:dyDescent="0.25">
      <c r="A160" s="6" t="s">
        <v>36</v>
      </c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</row>
    <row r="162" spans="1:18" x14ac:dyDescent="0.2">
      <c r="A162" s="20" t="s">
        <v>21</v>
      </c>
      <c r="H162" s="20" t="s">
        <v>22</v>
      </c>
      <c r="K162" s="20" t="s">
        <v>23</v>
      </c>
    </row>
    <row r="163" spans="1:18" x14ac:dyDescent="0.2">
      <c r="B163" s="20" t="s">
        <v>17</v>
      </c>
      <c r="C163" s="3">
        <f>(J140-C61)</f>
        <v>1.0846824844213785</v>
      </c>
      <c r="H163" s="3">
        <f>H150</f>
        <v>39.79458931449539</v>
      </c>
      <c r="K163" s="3">
        <f>$B$95</f>
        <v>100000</v>
      </c>
      <c r="N163" s="3">
        <f>C163*H163*K163</f>
        <v>4316449.40041753</v>
      </c>
    </row>
    <row r="164" spans="1:18" x14ac:dyDescent="0.2">
      <c r="B164" s="20" t="s">
        <v>18</v>
      </c>
      <c r="C164" s="3">
        <f>(J141-C62)</f>
        <v>1.4687697838999441</v>
      </c>
      <c r="H164" s="3">
        <f>H151</f>
        <v>-100</v>
      </c>
      <c r="K164" s="3">
        <f>$B$95</f>
        <v>100000</v>
      </c>
      <c r="N164" s="3">
        <f>C164*H164*K164</f>
        <v>-14687697.838999441</v>
      </c>
    </row>
    <row r="165" spans="1:18" x14ac:dyDescent="0.2">
      <c r="B165" s="20" t="s">
        <v>19</v>
      </c>
      <c r="C165" s="3">
        <f>(J142-C63)</f>
        <v>0.79674748364299042</v>
      </c>
      <c r="H165" s="3">
        <f>H152</f>
        <v>129.88385225347932</v>
      </c>
      <c r="K165" s="3">
        <f>$B$95</f>
        <v>100000</v>
      </c>
      <c r="N165" s="3">
        <f>C165*H165*K165</f>
        <v>10348463.244881758</v>
      </c>
    </row>
    <row r="166" spans="1:18" x14ac:dyDescent="0.2">
      <c r="C166" s="3"/>
    </row>
    <row r="167" spans="1:18" x14ac:dyDescent="0.2">
      <c r="B167" s="20" t="s">
        <v>108</v>
      </c>
      <c r="C167" s="7">
        <f>SUM(N163:N165)</f>
        <v>-22785.193700151518</v>
      </c>
    </row>
    <row r="168" spans="1:18" x14ac:dyDescent="0.2">
      <c r="C168" s="3"/>
    </row>
    <row r="169" spans="1:18" x14ac:dyDescent="0.2">
      <c r="A169" s="5" t="s">
        <v>111</v>
      </c>
      <c r="C169" s="3"/>
    </row>
    <row r="170" spans="1:18" ht="18" x14ac:dyDescent="0.25">
      <c r="A170" s="6" t="s">
        <v>37</v>
      </c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</row>
    <row r="173" spans="1:18" x14ac:dyDescent="0.2">
      <c r="A173" s="20" t="s">
        <v>20</v>
      </c>
      <c r="H173" s="20" t="s">
        <v>22</v>
      </c>
      <c r="K173" s="20" t="s">
        <v>23</v>
      </c>
    </row>
    <row r="174" spans="1:18" x14ac:dyDescent="0.2">
      <c r="B174" t="s">
        <v>49</v>
      </c>
      <c r="C174" s="3">
        <f>M140*C61-E61</f>
        <v>0.41675224880330575</v>
      </c>
      <c r="H174" s="3">
        <f>H163</f>
        <v>39.79458931449539</v>
      </c>
      <c r="K174" s="3">
        <f>$B$95</f>
        <v>100000</v>
      </c>
      <c r="N174" s="3">
        <f>C174*H174*K174</f>
        <v>1658448.4587019954</v>
      </c>
    </row>
    <row r="175" spans="1:18" x14ac:dyDescent="0.2">
      <c r="B175" t="s">
        <v>50</v>
      </c>
      <c r="C175" s="3">
        <f>M141*C62-E62</f>
        <v>-0.12566436764768696</v>
      </c>
      <c r="H175" s="3">
        <f>H164</f>
        <v>-100</v>
      </c>
      <c r="K175" s="3">
        <f>$B$95</f>
        <v>100000</v>
      </c>
      <c r="N175" s="3">
        <f>C175*H175*K175</f>
        <v>1256643.6764768695</v>
      </c>
    </row>
    <row r="176" spans="1:18" x14ac:dyDescent="0.2">
      <c r="B176" t="s">
        <v>51</v>
      </c>
      <c r="C176" s="3">
        <f>M142*C63-E63</f>
        <v>-0.33999937206326081</v>
      </c>
      <c r="H176" s="3">
        <f>H165</f>
        <v>129.88385225347932</v>
      </c>
      <c r="K176" s="3">
        <f>$B$95</f>
        <v>100000</v>
      </c>
      <c r="N176" s="3">
        <f>C176*H176*K176</f>
        <v>-4416042.8207340306</v>
      </c>
    </row>
    <row r="178" spans="1:18" x14ac:dyDescent="0.2">
      <c r="C178" s="7">
        <f>SUM(N174:N176)</f>
        <v>-1500950.6855551656</v>
      </c>
    </row>
    <row r="180" spans="1:18" x14ac:dyDescent="0.2">
      <c r="A180" s="5" t="s">
        <v>113</v>
      </c>
      <c r="C180" s="7">
        <f>D130-C156-C167-C178</f>
        <v>-563436.35207095137</v>
      </c>
    </row>
    <row r="181" spans="1:18" ht="18" x14ac:dyDescent="0.25">
      <c r="A181" s="6" t="s">
        <v>38</v>
      </c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</row>
  </sheetData>
  <mergeCells count="5">
    <mergeCell ref="D97:E97"/>
    <mergeCell ref="D98:E98"/>
    <mergeCell ref="D101:E101"/>
    <mergeCell ref="D103:E103"/>
    <mergeCell ref="B103:C103"/>
  </mergeCells>
  <phoneticPr fontId="4" type="noConversion"/>
  <pageMargins left="0.7" right="0.7" top="0.75" bottom="0.75" header="0.3" footer="0.3"/>
  <pageSetup orientation="portrait" horizontalDpi="4294967293" verticalDpi="4294967293"/>
  <ignoredErrors>
    <ignoredError sqref="D72:D74 J72:J74" 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944"/>
  <sheetViews>
    <sheetView workbookViewId="0">
      <selection activeCell="P3" sqref="P3"/>
    </sheetView>
  </sheetViews>
  <sheetFormatPr defaultColWidth="8.85546875" defaultRowHeight="12.75" x14ac:dyDescent="0.2"/>
  <cols>
    <col min="2" max="2" width="9" bestFit="1" customWidth="1"/>
    <col min="3" max="3" width="9" style="13" bestFit="1" customWidth="1"/>
    <col min="4" max="4" width="9" style="9" bestFit="1" customWidth="1"/>
    <col min="5" max="5" width="10" style="13" bestFit="1" customWidth="1"/>
    <col min="6" max="6" width="9" bestFit="1" customWidth="1"/>
    <col min="7" max="7" width="10" style="13" bestFit="1" customWidth="1"/>
    <col min="8" max="8" width="8" bestFit="1" customWidth="1"/>
    <col min="9" max="9" width="11" bestFit="1" customWidth="1"/>
    <col min="10" max="10" width="8" bestFit="1" customWidth="1"/>
    <col min="11" max="11" width="11" bestFit="1" customWidth="1"/>
    <col min="12" max="12" width="8" bestFit="1" customWidth="1"/>
    <col min="13" max="13" width="11.42578125" style="13" bestFit="1" customWidth="1"/>
  </cols>
  <sheetData>
    <row r="1" spans="1:20" x14ac:dyDescent="0.2">
      <c r="B1" t="s">
        <v>67</v>
      </c>
      <c r="C1" s="13" t="s">
        <v>68</v>
      </c>
      <c r="D1" s="9" t="s">
        <v>47</v>
      </c>
      <c r="E1" s="13" t="s">
        <v>69</v>
      </c>
      <c r="F1" t="s">
        <v>48</v>
      </c>
      <c r="G1" s="13" t="s">
        <v>69</v>
      </c>
      <c r="H1" t="s">
        <v>49</v>
      </c>
      <c r="I1" t="s">
        <v>69</v>
      </c>
      <c r="J1" t="s">
        <v>50</v>
      </c>
      <c r="K1" t="s">
        <v>69</v>
      </c>
      <c r="L1" t="s">
        <v>51</v>
      </c>
      <c r="M1" s="13" t="s">
        <v>69</v>
      </c>
      <c r="P1" t="s">
        <v>71</v>
      </c>
    </row>
    <row r="2" spans="1:20" x14ac:dyDescent="0.2">
      <c r="C2" s="13" t="s">
        <v>70</v>
      </c>
      <c r="D2" s="9" t="s">
        <v>44</v>
      </c>
      <c r="E2" s="13" t="s">
        <v>70</v>
      </c>
      <c r="F2" t="s">
        <v>44</v>
      </c>
      <c r="G2" s="13" t="s">
        <v>70</v>
      </c>
      <c r="H2" t="s">
        <v>44</v>
      </c>
      <c r="I2" t="s">
        <v>70</v>
      </c>
      <c r="J2" t="s">
        <v>44</v>
      </c>
      <c r="K2" t="s">
        <v>70</v>
      </c>
      <c r="L2" t="s">
        <v>44</v>
      </c>
      <c r="M2" s="13" t="s">
        <v>70</v>
      </c>
      <c r="P2" t="s">
        <v>72</v>
      </c>
      <c r="Q2" t="s">
        <v>0</v>
      </c>
      <c r="R2" t="s">
        <v>1</v>
      </c>
      <c r="S2" t="s">
        <v>2</v>
      </c>
      <c r="T2" t="s">
        <v>3</v>
      </c>
    </row>
    <row r="3" spans="1:20" x14ac:dyDescent="0.2">
      <c r="A3">
        <v>1</v>
      </c>
      <c r="B3">
        <v>19890615</v>
      </c>
      <c r="C3" s="13">
        <v>1</v>
      </c>
      <c r="D3" s="9">
        <v>8.3699999999999997E-2</v>
      </c>
      <c r="E3" s="13">
        <v>13</v>
      </c>
      <c r="F3">
        <v>8.2000000000000003E-2</v>
      </c>
      <c r="G3" s="13">
        <v>26</v>
      </c>
      <c r="H3">
        <v>8.3299999999999999E-2</v>
      </c>
      <c r="I3">
        <v>282.71429999999998</v>
      </c>
      <c r="J3">
        <v>8.2500000000000004E-2</v>
      </c>
      <c r="K3">
        <v>830.42859999999996</v>
      </c>
      <c r="L3">
        <v>8.1100000000000005E-2</v>
      </c>
      <c r="M3" s="13">
        <v>1339.4286</v>
      </c>
      <c r="P3">
        <f>SUM(D3:D302)/300</f>
        <v>5.1668666666666675E-2</v>
      </c>
      <c r="Q3">
        <f>SUM(F3:F302)/300</f>
        <v>5.3581666666666694E-2</v>
      </c>
      <c r="R3">
        <f>SUM(H3:H302)/300</f>
        <v>7.0226666666666618E-2</v>
      </c>
      <c r="S3">
        <f>SUM(J3:J302)/300</f>
        <v>7.7967999999999996E-2</v>
      </c>
      <c r="T3">
        <f>SUM(L3:L302)/300</f>
        <v>7.9795000000000005E-2</v>
      </c>
    </row>
    <row r="4" spans="1:20" x14ac:dyDescent="0.2">
      <c r="A4">
        <v>2</v>
      </c>
      <c r="B4">
        <v>19890622</v>
      </c>
      <c r="C4" s="13">
        <v>1</v>
      </c>
      <c r="D4" s="9">
        <v>8.4099999999999994E-2</v>
      </c>
      <c r="E4" s="13">
        <v>13</v>
      </c>
      <c r="F4">
        <v>8.5699999999999998E-2</v>
      </c>
      <c r="G4" s="13">
        <v>26</v>
      </c>
      <c r="H4">
        <v>8.43E-2</v>
      </c>
      <c r="I4">
        <v>281.71429999999998</v>
      </c>
      <c r="J4">
        <v>8.4000000000000005E-2</v>
      </c>
      <c r="K4">
        <v>803.57140000000004</v>
      </c>
      <c r="L4">
        <v>8.2799999999999999E-2</v>
      </c>
      <c r="M4" s="13">
        <v>1338.4286</v>
      </c>
    </row>
    <row r="5" spans="1:20" x14ac:dyDescent="0.2">
      <c r="A5">
        <v>3</v>
      </c>
      <c r="B5">
        <v>19890629</v>
      </c>
      <c r="C5" s="13">
        <v>1</v>
      </c>
      <c r="D5" s="9">
        <v>8.2799999999999999E-2</v>
      </c>
      <c r="E5" s="13">
        <v>13</v>
      </c>
      <c r="F5">
        <v>8.1900000000000001E-2</v>
      </c>
      <c r="G5" s="13">
        <v>26</v>
      </c>
      <c r="H5">
        <v>8.2100000000000006E-2</v>
      </c>
      <c r="I5">
        <v>280.71429999999998</v>
      </c>
      <c r="J5">
        <v>8.2500000000000004E-2</v>
      </c>
      <c r="K5">
        <v>802.57140000000004</v>
      </c>
      <c r="L5">
        <v>8.0799999999999997E-2</v>
      </c>
      <c r="M5" s="13">
        <v>1337.4286</v>
      </c>
    </row>
    <row r="6" spans="1:20" x14ac:dyDescent="0.2">
      <c r="A6">
        <v>4</v>
      </c>
      <c r="B6">
        <v>19890706</v>
      </c>
      <c r="C6" s="13">
        <v>1</v>
      </c>
      <c r="D6" s="9">
        <v>7.9899999999999999E-2</v>
      </c>
      <c r="E6" s="13">
        <v>13</v>
      </c>
      <c r="F6">
        <v>7.9299999999999995E-2</v>
      </c>
      <c r="G6" s="13">
        <v>26</v>
      </c>
      <c r="H6">
        <v>8.1100000000000005E-2</v>
      </c>
      <c r="I6">
        <v>279.71429999999998</v>
      </c>
      <c r="J6">
        <v>8.2500000000000004E-2</v>
      </c>
      <c r="K6">
        <v>827.42859999999996</v>
      </c>
      <c r="L6">
        <v>8.0600000000000005E-2</v>
      </c>
      <c r="M6" s="13">
        <v>1336.4286</v>
      </c>
    </row>
    <row r="7" spans="1:20" x14ac:dyDescent="0.2">
      <c r="A7">
        <v>5</v>
      </c>
      <c r="B7">
        <v>19890713</v>
      </c>
      <c r="C7" s="13">
        <v>1</v>
      </c>
      <c r="D7" s="9">
        <v>7.9600000000000004E-2</v>
      </c>
      <c r="E7" s="13">
        <v>13</v>
      </c>
      <c r="F7">
        <v>7.8399999999999997E-2</v>
      </c>
      <c r="G7" s="13">
        <v>26</v>
      </c>
      <c r="H7">
        <v>7.9200000000000007E-2</v>
      </c>
      <c r="I7">
        <v>278.71429999999998</v>
      </c>
      <c r="J7">
        <v>8.2000000000000003E-2</v>
      </c>
      <c r="K7">
        <v>826.42859999999996</v>
      </c>
      <c r="L7">
        <v>7.9500000000000001E-2</v>
      </c>
      <c r="M7" s="13">
        <v>1335.4286</v>
      </c>
    </row>
    <row r="8" spans="1:20" x14ac:dyDescent="0.2">
      <c r="A8">
        <v>6</v>
      </c>
      <c r="B8">
        <v>19890720</v>
      </c>
      <c r="C8" s="13">
        <v>1</v>
      </c>
      <c r="D8" s="9">
        <v>8.1699999999999995E-2</v>
      </c>
      <c r="E8" s="13">
        <v>13</v>
      </c>
      <c r="F8">
        <v>8.1199999999999994E-2</v>
      </c>
      <c r="G8" s="13">
        <v>26</v>
      </c>
      <c r="H8">
        <v>7.9399999999999998E-2</v>
      </c>
      <c r="I8">
        <v>277.71429999999998</v>
      </c>
      <c r="J8">
        <v>8.0500000000000002E-2</v>
      </c>
      <c r="K8">
        <v>408</v>
      </c>
      <c r="L8">
        <v>8.0699999999999994E-2</v>
      </c>
      <c r="M8" s="13">
        <v>1334.4286</v>
      </c>
    </row>
    <row r="9" spans="1:20" x14ac:dyDescent="0.2">
      <c r="A9">
        <v>7</v>
      </c>
      <c r="B9">
        <v>19890727</v>
      </c>
      <c r="C9" s="13">
        <v>1</v>
      </c>
      <c r="D9" s="9">
        <v>8.2699999999999996E-2</v>
      </c>
      <c r="E9" s="13">
        <v>13</v>
      </c>
      <c r="F9">
        <v>8.0199999999999994E-2</v>
      </c>
      <c r="G9" s="13">
        <v>26</v>
      </c>
      <c r="H9">
        <v>7.8799999999999995E-2</v>
      </c>
      <c r="I9">
        <v>276.71429999999998</v>
      </c>
      <c r="J9">
        <v>8.2799999999999999E-2</v>
      </c>
      <c r="K9">
        <v>824.42859999999996</v>
      </c>
      <c r="L9">
        <v>8.0500000000000002E-2</v>
      </c>
      <c r="M9" s="13">
        <v>1333.4286</v>
      </c>
    </row>
    <row r="10" spans="1:20" x14ac:dyDescent="0.2">
      <c r="A10">
        <v>8</v>
      </c>
      <c r="B10">
        <v>19890803</v>
      </c>
      <c r="C10" s="13">
        <v>1</v>
      </c>
      <c r="D10" s="9">
        <v>7.8399999999999997E-2</v>
      </c>
      <c r="E10" s="13">
        <v>13</v>
      </c>
      <c r="F10">
        <v>7.7200000000000005E-2</v>
      </c>
      <c r="G10" s="13">
        <v>26</v>
      </c>
      <c r="H10">
        <v>7.5999999999999998E-2</v>
      </c>
      <c r="I10">
        <v>275.71429999999998</v>
      </c>
      <c r="J10">
        <v>7.9899999999999999E-2</v>
      </c>
      <c r="K10">
        <v>823.42859999999996</v>
      </c>
      <c r="L10">
        <v>7.8100000000000003E-2</v>
      </c>
      <c r="M10" s="13">
        <v>1332.4286</v>
      </c>
    </row>
    <row r="11" spans="1:20" x14ac:dyDescent="0.2">
      <c r="A11">
        <v>9</v>
      </c>
      <c r="B11">
        <v>19890810</v>
      </c>
      <c r="C11" s="13">
        <v>1</v>
      </c>
      <c r="D11" s="9">
        <v>8.1600000000000006E-2</v>
      </c>
      <c r="E11" s="13">
        <v>13</v>
      </c>
      <c r="F11">
        <v>8.09E-2</v>
      </c>
      <c r="G11" s="13">
        <v>21</v>
      </c>
      <c r="H11">
        <v>8.0199999999999994E-2</v>
      </c>
      <c r="I11">
        <v>274.71429999999998</v>
      </c>
      <c r="J11">
        <v>8.2900000000000001E-2</v>
      </c>
      <c r="K11">
        <v>835.57140000000004</v>
      </c>
      <c r="L11">
        <v>8.1000000000000003E-2</v>
      </c>
      <c r="M11" s="13">
        <v>1331.4286</v>
      </c>
    </row>
    <row r="12" spans="1:20" x14ac:dyDescent="0.2">
      <c r="A12">
        <v>10</v>
      </c>
      <c r="B12">
        <v>19890817</v>
      </c>
      <c r="C12" s="13">
        <v>1</v>
      </c>
      <c r="D12" s="9">
        <v>8.14E-2</v>
      </c>
      <c r="E12" s="13">
        <v>13</v>
      </c>
      <c r="F12">
        <v>8.2400000000000001E-2</v>
      </c>
      <c r="G12" s="13">
        <v>26</v>
      </c>
      <c r="H12">
        <v>8.1000000000000003E-2</v>
      </c>
      <c r="I12">
        <v>273.71429999999998</v>
      </c>
      <c r="J12">
        <v>8.2699999999999996E-2</v>
      </c>
      <c r="K12">
        <v>834.57140000000004</v>
      </c>
      <c r="L12">
        <v>8.0500000000000002E-2</v>
      </c>
      <c r="M12" s="13">
        <v>1356.2856999999999</v>
      </c>
    </row>
    <row r="13" spans="1:20" x14ac:dyDescent="0.2">
      <c r="A13">
        <v>11</v>
      </c>
      <c r="B13">
        <v>19890824</v>
      </c>
      <c r="C13" s="13">
        <v>1</v>
      </c>
      <c r="D13" s="9">
        <v>8.2500000000000004E-2</v>
      </c>
      <c r="E13" s="13">
        <v>13.142899999999999</v>
      </c>
      <c r="F13">
        <v>8.3199999999999996E-2</v>
      </c>
      <c r="G13" s="13">
        <v>26</v>
      </c>
      <c r="H13">
        <v>8.3099999999999993E-2</v>
      </c>
      <c r="I13">
        <v>272.71429999999998</v>
      </c>
      <c r="J13">
        <v>8.3299999999999999E-2</v>
      </c>
      <c r="K13">
        <v>833.57140000000004</v>
      </c>
      <c r="L13">
        <v>8.1100000000000005E-2</v>
      </c>
      <c r="M13" s="13">
        <v>1355.2856999999999</v>
      </c>
    </row>
    <row r="14" spans="1:20" x14ac:dyDescent="0.2">
      <c r="A14">
        <v>12</v>
      </c>
      <c r="B14">
        <v>19890831</v>
      </c>
      <c r="C14" s="13">
        <v>1</v>
      </c>
      <c r="D14" s="9">
        <v>8.1100000000000005E-2</v>
      </c>
      <c r="E14" s="13">
        <v>13</v>
      </c>
      <c r="F14">
        <v>8.2000000000000003E-2</v>
      </c>
      <c r="G14" s="13">
        <v>25</v>
      </c>
      <c r="H14">
        <v>8.3299999999999999E-2</v>
      </c>
      <c r="I14">
        <v>271.71429999999998</v>
      </c>
      <c r="J14">
        <v>8.3199999999999996E-2</v>
      </c>
      <c r="K14">
        <v>832.57140000000004</v>
      </c>
      <c r="L14">
        <v>8.09E-2</v>
      </c>
      <c r="M14" s="13">
        <v>1354.2856999999999</v>
      </c>
    </row>
    <row r="15" spans="1:20" x14ac:dyDescent="0.2">
      <c r="A15">
        <v>13</v>
      </c>
      <c r="B15">
        <v>19890907</v>
      </c>
      <c r="C15" s="13">
        <v>1</v>
      </c>
      <c r="D15" s="9">
        <v>8.0500000000000002E-2</v>
      </c>
      <c r="E15" s="13">
        <v>13</v>
      </c>
      <c r="F15">
        <v>8.2500000000000004E-2</v>
      </c>
      <c r="G15" s="13">
        <v>26</v>
      </c>
      <c r="H15">
        <v>8.2600000000000007E-2</v>
      </c>
      <c r="I15">
        <v>270.71429999999998</v>
      </c>
      <c r="J15">
        <v>8.2699999999999996E-2</v>
      </c>
      <c r="K15">
        <v>831.57140000000004</v>
      </c>
      <c r="L15">
        <v>8.0299999999999996E-2</v>
      </c>
      <c r="M15" s="13">
        <v>1353.2856999999999</v>
      </c>
    </row>
    <row r="16" spans="1:20" x14ac:dyDescent="0.2">
      <c r="A16">
        <v>14</v>
      </c>
      <c r="B16">
        <v>19890914</v>
      </c>
      <c r="C16" s="13">
        <v>1</v>
      </c>
      <c r="D16" s="9">
        <v>7.7899999999999997E-2</v>
      </c>
      <c r="E16" s="13">
        <v>13</v>
      </c>
      <c r="F16">
        <v>7.9699999999999993E-2</v>
      </c>
      <c r="G16" s="13">
        <v>26</v>
      </c>
      <c r="H16">
        <v>8.2400000000000001E-2</v>
      </c>
      <c r="I16">
        <v>269.71429999999998</v>
      </c>
      <c r="J16">
        <v>8.2600000000000007E-2</v>
      </c>
      <c r="K16">
        <v>830.57140000000004</v>
      </c>
      <c r="L16">
        <v>8.0699999999999994E-2</v>
      </c>
      <c r="M16" s="13">
        <v>1352.2856999999999</v>
      </c>
    </row>
    <row r="17" spans="1:13" x14ac:dyDescent="0.2">
      <c r="A17">
        <v>15</v>
      </c>
      <c r="B17">
        <v>19890921</v>
      </c>
      <c r="C17" s="13">
        <v>1</v>
      </c>
      <c r="D17" s="9">
        <v>8.0399999999999999E-2</v>
      </c>
      <c r="E17" s="13">
        <v>13</v>
      </c>
      <c r="F17">
        <v>8.1600000000000006E-2</v>
      </c>
      <c r="G17" s="13">
        <v>26</v>
      </c>
      <c r="H17">
        <v>8.14E-2</v>
      </c>
      <c r="I17">
        <v>268.71429999999998</v>
      </c>
      <c r="J17">
        <v>8.2799999999999999E-2</v>
      </c>
      <c r="K17">
        <v>829.57140000000004</v>
      </c>
      <c r="L17">
        <v>8.1000000000000003E-2</v>
      </c>
      <c r="M17" s="13">
        <v>1351.2856999999999</v>
      </c>
    </row>
    <row r="18" spans="1:13" x14ac:dyDescent="0.2">
      <c r="A18">
        <v>16</v>
      </c>
      <c r="B18">
        <v>19890928</v>
      </c>
      <c r="C18" s="13">
        <v>1</v>
      </c>
      <c r="D18" s="9">
        <v>8.0699999999999994E-2</v>
      </c>
      <c r="E18" s="13">
        <v>13</v>
      </c>
      <c r="F18">
        <v>8.2500000000000004E-2</v>
      </c>
      <c r="G18" s="13">
        <v>26</v>
      </c>
      <c r="H18">
        <v>8.3000000000000004E-2</v>
      </c>
      <c r="I18">
        <v>267.71429999999998</v>
      </c>
      <c r="J18">
        <v>8.4099999999999994E-2</v>
      </c>
      <c r="K18">
        <v>828.57140000000004</v>
      </c>
      <c r="L18">
        <v>8.1699999999999995E-2</v>
      </c>
      <c r="M18" s="13">
        <v>1350.2856999999999</v>
      </c>
    </row>
    <row r="19" spans="1:13" x14ac:dyDescent="0.2">
      <c r="A19">
        <v>17</v>
      </c>
      <c r="B19">
        <v>19891005</v>
      </c>
      <c r="C19" s="13">
        <v>1</v>
      </c>
      <c r="D19" s="9">
        <v>8.0299999999999996E-2</v>
      </c>
      <c r="E19" s="13">
        <v>13</v>
      </c>
      <c r="F19">
        <v>8.2900000000000001E-2</v>
      </c>
      <c r="G19" s="13">
        <v>26</v>
      </c>
      <c r="H19">
        <v>8.2799999999999999E-2</v>
      </c>
      <c r="I19">
        <v>266.71429999999998</v>
      </c>
      <c r="J19">
        <v>8.2900000000000001E-2</v>
      </c>
      <c r="K19">
        <v>827.57140000000004</v>
      </c>
      <c r="L19">
        <v>8.0799999999999997E-2</v>
      </c>
      <c r="M19" s="13">
        <v>1349.2856999999999</v>
      </c>
    </row>
    <row r="20" spans="1:13" x14ac:dyDescent="0.2">
      <c r="A20">
        <v>18</v>
      </c>
      <c r="B20">
        <v>19891012</v>
      </c>
      <c r="C20" s="13">
        <v>1</v>
      </c>
      <c r="D20" s="9">
        <v>7.9500000000000001E-2</v>
      </c>
      <c r="E20" s="13">
        <v>13</v>
      </c>
      <c r="F20">
        <v>8.0699999999999994E-2</v>
      </c>
      <c r="G20" s="13">
        <v>26</v>
      </c>
      <c r="H20">
        <v>8.0500000000000002E-2</v>
      </c>
      <c r="I20">
        <v>265.71429999999998</v>
      </c>
      <c r="J20">
        <v>8.1100000000000005E-2</v>
      </c>
      <c r="K20">
        <v>826.57140000000004</v>
      </c>
      <c r="L20">
        <v>7.9799999999999996E-2</v>
      </c>
      <c r="M20" s="13">
        <v>1348.2856999999999</v>
      </c>
    </row>
    <row r="21" spans="1:13" x14ac:dyDescent="0.2">
      <c r="A21">
        <v>19</v>
      </c>
      <c r="B21">
        <v>19891019</v>
      </c>
      <c r="C21" s="13">
        <v>1</v>
      </c>
      <c r="D21" s="9">
        <v>7.7299999999999994E-2</v>
      </c>
      <c r="E21" s="13">
        <v>13</v>
      </c>
      <c r="F21">
        <v>7.8899999999999998E-2</v>
      </c>
      <c r="G21" s="13">
        <v>26</v>
      </c>
      <c r="H21">
        <v>8.0100000000000005E-2</v>
      </c>
      <c r="I21">
        <v>277.8571</v>
      </c>
      <c r="J21">
        <v>8.1600000000000006E-2</v>
      </c>
      <c r="K21">
        <v>825.57140000000004</v>
      </c>
      <c r="L21">
        <v>8.0199999999999994E-2</v>
      </c>
      <c r="M21" s="13">
        <v>1347.2856999999999</v>
      </c>
    </row>
    <row r="22" spans="1:13" x14ac:dyDescent="0.2">
      <c r="A22">
        <v>20</v>
      </c>
      <c r="B22">
        <v>19891026</v>
      </c>
      <c r="C22" s="13">
        <v>1</v>
      </c>
      <c r="D22" s="9">
        <v>7.8200000000000006E-2</v>
      </c>
      <c r="E22" s="13">
        <v>13</v>
      </c>
      <c r="F22">
        <v>7.8399999999999997E-2</v>
      </c>
      <c r="G22" s="13">
        <v>26</v>
      </c>
      <c r="H22">
        <v>7.9200000000000007E-2</v>
      </c>
      <c r="I22">
        <v>263.71429999999998</v>
      </c>
      <c r="J22">
        <v>8.0799999999999997E-2</v>
      </c>
      <c r="K22">
        <v>824.57140000000004</v>
      </c>
      <c r="L22">
        <v>7.8600000000000003E-2</v>
      </c>
      <c r="M22" s="13">
        <v>1346.2856999999999</v>
      </c>
    </row>
    <row r="23" spans="1:13" x14ac:dyDescent="0.2">
      <c r="A23">
        <v>21</v>
      </c>
      <c r="B23">
        <v>19891102</v>
      </c>
      <c r="C23" s="13">
        <v>1</v>
      </c>
      <c r="D23" s="9">
        <v>8.0100000000000005E-2</v>
      </c>
      <c r="E23" s="13">
        <v>13</v>
      </c>
      <c r="F23">
        <v>7.9399999999999998E-2</v>
      </c>
      <c r="G23" s="13">
        <v>26</v>
      </c>
      <c r="H23">
        <v>7.9200000000000007E-2</v>
      </c>
      <c r="I23">
        <v>262.71429999999998</v>
      </c>
      <c r="J23">
        <v>8.0600000000000005E-2</v>
      </c>
      <c r="K23">
        <v>823.57140000000004</v>
      </c>
      <c r="L23">
        <v>7.8299999999999995E-2</v>
      </c>
      <c r="M23" s="13">
        <v>1345.2856999999999</v>
      </c>
    </row>
    <row r="24" spans="1:13" x14ac:dyDescent="0.2">
      <c r="A24">
        <v>22</v>
      </c>
      <c r="B24">
        <v>19891109</v>
      </c>
      <c r="C24" s="13">
        <v>1</v>
      </c>
      <c r="D24" s="9">
        <v>7.8799999999999995E-2</v>
      </c>
      <c r="E24" s="13">
        <v>13</v>
      </c>
      <c r="F24">
        <v>7.8700000000000006E-2</v>
      </c>
      <c r="G24" s="13">
        <v>26</v>
      </c>
      <c r="H24">
        <v>7.8799999999999995E-2</v>
      </c>
      <c r="I24">
        <v>261.71429999999998</v>
      </c>
      <c r="J24">
        <v>8.0100000000000005E-2</v>
      </c>
      <c r="K24">
        <v>822.57140000000004</v>
      </c>
      <c r="L24">
        <v>7.8299999999999995E-2</v>
      </c>
      <c r="M24" s="13">
        <v>1344.2856999999999</v>
      </c>
    </row>
    <row r="25" spans="1:13" x14ac:dyDescent="0.2">
      <c r="A25">
        <v>23</v>
      </c>
      <c r="B25">
        <v>19891116</v>
      </c>
      <c r="C25" s="13">
        <v>1</v>
      </c>
      <c r="D25" s="9">
        <v>7.8799999999999995E-2</v>
      </c>
      <c r="E25" s="13">
        <v>13</v>
      </c>
      <c r="F25">
        <v>7.7700000000000005E-2</v>
      </c>
      <c r="G25" s="13">
        <v>26</v>
      </c>
      <c r="H25">
        <v>7.85E-2</v>
      </c>
      <c r="I25">
        <v>273.8571</v>
      </c>
      <c r="J25">
        <v>7.9899999999999999E-2</v>
      </c>
      <c r="K25">
        <v>821.57140000000004</v>
      </c>
      <c r="L25">
        <v>7.8100000000000003E-2</v>
      </c>
      <c r="M25" s="13">
        <v>1343.2856999999999</v>
      </c>
    </row>
    <row r="26" spans="1:13" x14ac:dyDescent="0.2">
      <c r="A26">
        <v>24</v>
      </c>
      <c r="B26">
        <v>19891124</v>
      </c>
      <c r="C26" s="13">
        <v>1.142857</v>
      </c>
      <c r="D26" s="9">
        <v>7.8200000000000006E-2</v>
      </c>
      <c r="E26" s="13">
        <v>12.857100000000001</v>
      </c>
      <c r="F26">
        <v>7.8E-2</v>
      </c>
      <c r="G26" s="13">
        <v>25.857099999999999</v>
      </c>
      <c r="H26">
        <v>7.7799999999999994E-2</v>
      </c>
      <c r="I26">
        <v>259.57139999999998</v>
      </c>
      <c r="J26">
        <v>0.08</v>
      </c>
      <c r="K26">
        <v>820.42859999999996</v>
      </c>
      <c r="L26">
        <v>7.8399999999999997E-2</v>
      </c>
      <c r="M26" s="13">
        <v>1342.1429000000001</v>
      </c>
    </row>
    <row r="27" spans="1:13" x14ac:dyDescent="0.2">
      <c r="A27">
        <v>25</v>
      </c>
      <c r="B27">
        <v>19891130</v>
      </c>
      <c r="C27" s="13">
        <v>0.85714299999999999</v>
      </c>
      <c r="D27" s="9">
        <v>7.8799999999999995E-2</v>
      </c>
      <c r="E27" s="13">
        <v>13</v>
      </c>
      <c r="F27">
        <v>7.8E-2</v>
      </c>
      <c r="G27" s="13">
        <v>26</v>
      </c>
      <c r="H27">
        <v>7.9000000000000001E-2</v>
      </c>
      <c r="I27">
        <v>258.71429999999998</v>
      </c>
      <c r="J27">
        <v>8.0600000000000005E-2</v>
      </c>
      <c r="K27">
        <v>819.57140000000004</v>
      </c>
      <c r="L27">
        <v>7.8899999999999998E-2</v>
      </c>
      <c r="M27" s="13">
        <v>1341.2856999999999</v>
      </c>
    </row>
    <row r="28" spans="1:13" x14ac:dyDescent="0.2">
      <c r="A28">
        <v>26</v>
      </c>
      <c r="B28">
        <v>19891207</v>
      </c>
      <c r="C28" s="13">
        <v>1</v>
      </c>
      <c r="D28" s="9">
        <v>7.8799999999999995E-2</v>
      </c>
      <c r="E28" s="13">
        <v>13</v>
      </c>
      <c r="F28">
        <v>7.7299999999999994E-2</v>
      </c>
      <c r="G28" s="13">
        <v>26</v>
      </c>
      <c r="H28">
        <v>7.8399999999999997E-2</v>
      </c>
      <c r="I28">
        <v>257.71429999999998</v>
      </c>
      <c r="J28">
        <v>8.0299999999999996E-2</v>
      </c>
      <c r="K28">
        <v>818.57140000000004</v>
      </c>
      <c r="L28">
        <v>7.8600000000000003E-2</v>
      </c>
      <c r="M28" s="13">
        <v>1340.2856999999999</v>
      </c>
    </row>
    <row r="29" spans="1:13" x14ac:dyDescent="0.2">
      <c r="A29">
        <v>27</v>
      </c>
      <c r="B29">
        <v>19891214</v>
      </c>
      <c r="C29" s="13">
        <v>1</v>
      </c>
      <c r="D29" s="9">
        <v>7.9500000000000001E-2</v>
      </c>
      <c r="E29" s="13">
        <v>13</v>
      </c>
      <c r="F29">
        <v>7.7200000000000005E-2</v>
      </c>
      <c r="G29" s="13">
        <v>25</v>
      </c>
      <c r="H29">
        <v>7.85E-2</v>
      </c>
      <c r="I29">
        <v>256.71429999999998</v>
      </c>
      <c r="J29">
        <v>8.0199999999999994E-2</v>
      </c>
      <c r="K29">
        <v>817.57140000000004</v>
      </c>
      <c r="L29">
        <v>7.8600000000000003E-2</v>
      </c>
      <c r="M29" s="13">
        <v>1313.4286</v>
      </c>
    </row>
    <row r="30" spans="1:13" x14ac:dyDescent="0.2">
      <c r="A30">
        <v>28</v>
      </c>
      <c r="B30">
        <v>19891221</v>
      </c>
      <c r="C30" s="13">
        <v>1</v>
      </c>
      <c r="D30" s="9">
        <v>7.7799999999999994E-2</v>
      </c>
      <c r="E30" s="13">
        <v>13</v>
      </c>
      <c r="F30">
        <v>7.7700000000000005E-2</v>
      </c>
      <c r="G30" s="13">
        <v>26</v>
      </c>
      <c r="H30">
        <v>7.7899999999999997E-2</v>
      </c>
      <c r="I30">
        <v>255.71430000000001</v>
      </c>
      <c r="J30">
        <v>7.9699999999999993E-2</v>
      </c>
      <c r="K30">
        <v>816.57140000000004</v>
      </c>
      <c r="L30">
        <v>7.8E-2</v>
      </c>
      <c r="M30" s="13">
        <v>1338.2856999999999</v>
      </c>
    </row>
    <row r="31" spans="1:13" x14ac:dyDescent="0.2">
      <c r="A31">
        <v>29</v>
      </c>
      <c r="B31">
        <v>19891228</v>
      </c>
      <c r="C31" s="13">
        <v>1</v>
      </c>
      <c r="D31" s="9">
        <v>7.9500000000000001E-2</v>
      </c>
      <c r="E31" s="13">
        <v>13</v>
      </c>
      <c r="F31">
        <v>7.8700000000000006E-2</v>
      </c>
      <c r="G31" s="13">
        <v>21</v>
      </c>
      <c r="H31">
        <v>7.9699999999999993E-2</v>
      </c>
      <c r="I31">
        <v>254.71430000000001</v>
      </c>
      <c r="J31">
        <v>8.1000000000000003E-2</v>
      </c>
      <c r="K31">
        <v>815.57140000000004</v>
      </c>
      <c r="L31">
        <v>7.9299999999999995E-2</v>
      </c>
      <c r="M31" s="13">
        <v>1337.2856999999999</v>
      </c>
    </row>
    <row r="32" spans="1:13" x14ac:dyDescent="0.2">
      <c r="A32">
        <v>30</v>
      </c>
      <c r="B32">
        <v>19900104</v>
      </c>
      <c r="C32" s="13">
        <v>1</v>
      </c>
      <c r="D32" s="9">
        <v>7.85E-2</v>
      </c>
      <c r="E32" s="13">
        <v>13</v>
      </c>
      <c r="F32">
        <v>7.9000000000000001E-2</v>
      </c>
      <c r="G32" s="13">
        <v>26</v>
      </c>
      <c r="H32">
        <v>8.0299999999999996E-2</v>
      </c>
      <c r="I32">
        <v>266.8571</v>
      </c>
      <c r="J32">
        <v>8.1500000000000003E-2</v>
      </c>
      <c r="K32">
        <v>814.57140000000004</v>
      </c>
      <c r="L32">
        <v>7.9799999999999996E-2</v>
      </c>
      <c r="M32" s="13">
        <v>1336.2856999999999</v>
      </c>
    </row>
    <row r="33" spans="1:13" x14ac:dyDescent="0.2">
      <c r="A33">
        <v>31</v>
      </c>
      <c r="B33">
        <v>19900111</v>
      </c>
      <c r="C33" s="13">
        <v>1</v>
      </c>
      <c r="D33" s="9">
        <v>7.7200000000000005E-2</v>
      </c>
      <c r="E33" s="13">
        <v>13</v>
      </c>
      <c r="F33">
        <v>7.7700000000000005E-2</v>
      </c>
      <c r="G33" s="13">
        <v>26</v>
      </c>
      <c r="H33">
        <v>8.0399999999999999E-2</v>
      </c>
      <c r="I33">
        <v>265.8571</v>
      </c>
      <c r="J33">
        <v>8.2299999999999998E-2</v>
      </c>
      <c r="K33">
        <v>813.57140000000004</v>
      </c>
      <c r="L33">
        <v>8.0699999999999994E-2</v>
      </c>
      <c r="M33" s="13">
        <v>1335.2856999999999</v>
      </c>
    </row>
    <row r="34" spans="1:13" x14ac:dyDescent="0.2">
      <c r="A34">
        <v>32</v>
      </c>
      <c r="B34">
        <v>19900118</v>
      </c>
      <c r="C34" s="13">
        <v>1</v>
      </c>
      <c r="D34" s="9">
        <v>7.9200000000000007E-2</v>
      </c>
      <c r="E34" s="13">
        <v>13</v>
      </c>
      <c r="F34">
        <v>7.9399999999999998E-2</v>
      </c>
      <c r="G34" s="13">
        <v>26</v>
      </c>
      <c r="H34">
        <v>8.1900000000000001E-2</v>
      </c>
      <c r="I34">
        <v>264.8571</v>
      </c>
      <c r="J34">
        <v>8.3799999999999999E-2</v>
      </c>
      <c r="K34">
        <v>812.57140000000004</v>
      </c>
      <c r="L34">
        <v>8.1799999999999998E-2</v>
      </c>
      <c r="M34" s="13">
        <v>1334.2856999999999</v>
      </c>
    </row>
    <row r="35" spans="1:13" x14ac:dyDescent="0.2">
      <c r="A35">
        <v>33</v>
      </c>
      <c r="B35">
        <v>19900125</v>
      </c>
      <c r="C35" s="13">
        <v>1</v>
      </c>
      <c r="D35" s="9">
        <v>7.8799999999999995E-2</v>
      </c>
      <c r="E35" s="13">
        <v>13</v>
      </c>
      <c r="F35">
        <v>7.9699999999999993E-2</v>
      </c>
      <c r="G35" s="13">
        <v>26</v>
      </c>
      <c r="H35">
        <v>8.3599999999999994E-2</v>
      </c>
      <c r="I35">
        <v>263.8571</v>
      </c>
      <c r="J35">
        <v>8.4900000000000003E-2</v>
      </c>
      <c r="K35">
        <v>811.57140000000004</v>
      </c>
      <c r="L35">
        <v>8.3299999999999999E-2</v>
      </c>
      <c r="M35" s="13">
        <v>1333.2856999999999</v>
      </c>
    </row>
    <row r="36" spans="1:13" x14ac:dyDescent="0.2">
      <c r="A36">
        <v>34</v>
      </c>
      <c r="B36">
        <v>19900201</v>
      </c>
      <c r="C36" s="13">
        <v>1</v>
      </c>
      <c r="D36" s="9">
        <v>7.9799999999999996E-2</v>
      </c>
      <c r="E36" s="13">
        <v>13</v>
      </c>
      <c r="F36">
        <v>8.1100000000000005E-2</v>
      </c>
      <c r="G36" s="13">
        <v>26</v>
      </c>
      <c r="H36">
        <v>8.4500000000000006E-2</v>
      </c>
      <c r="I36">
        <v>262.8571</v>
      </c>
      <c r="J36">
        <v>8.5699999999999998E-2</v>
      </c>
      <c r="K36">
        <v>810.57140000000004</v>
      </c>
      <c r="L36">
        <v>8.3099999999999993E-2</v>
      </c>
      <c r="M36" s="13">
        <v>1332.2856999999999</v>
      </c>
    </row>
    <row r="37" spans="1:13" x14ac:dyDescent="0.2">
      <c r="A37">
        <v>35</v>
      </c>
      <c r="B37">
        <v>19900208</v>
      </c>
      <c r="C37" s="13">
        <v>1</v>
      </c>
      <c r="D37" s="9">
        <v>8.0500000000000002E-2</v>
      </c>
      <c r="E37" s="13">
        <v>13</v>
      </c>
      <c r="F37">
        <v>8.1799999999999998E-2</v>
      </c>
      <c r="G37" s="13">
        <v>26</v>
      </c>
      <c r="H37">
        <v>8.5199999999999998E-2</v>
      </c>
      <c r="I37">
        <v>261.8571</v>
      </c>
      <c r="J37">
        <v>8.6699999999999999E-2</v>
      </c>
      <c r="K37">
        <v>809.57140000000004</v>
      </c>
      <c r="L37">
        <v>8.4099999999999994E-2</v>
      </c>
      <c r="M37" s="13">
        <v>1331.2856999999999</v>
      </c>
    </row>
    <row r="38" spans="1:13" x14ac:dyDescent="0.2">
      <c r="A38">
        <v>36</v>
      </c>
      <c r="B38">
        <v>19900215</v>
      </c>
      <c r="C38" s="13">
        <v>1</v>
      </c>
      <c r="D38" s="9">
        <v>7.85E-2</v>
      </c>
      <c r="E38" s="13">
        <v>13</v>
      </c>
      <c r="F38">
        <v>7.9699999999999993E-2</v>
      </c>
      <c r="G38" s="13">
        <v>26</v>
      </c>
      <c r="H38">
        <v>8.3799999999999999E-2</v>
      </c>
      <c r="I38">
        <v>260.8571</v>
      </c>
      <c r="J38">
        <v>8.5699999999999998E-2</v>
      </c>
      <c r="K38">
        <v>808.57140000000004</v>
      </c>
      <c r="L38">
        <v>8.3400000000000002E-2</v>
      </c>
      <c r="M38" s="13">
        <v>1330.2856999999999</v>
      </c>
    </row>
    <row r="39" spans="1:13" x14ac:dyDescent="0.2">
      <c r="A39">
        <v>37</v>
      </c>
      <c r="B39">
        <v>19900222</v>
      </c>
      <c r="C39" s="13">
        <v>1</v>
      </c>
      <c r="D39" s="9">
        <v>8.0199999999999994E-2</v>
      </c>
      <c r="E39" s="13">
        <v>13</v>
      </c>
      <c r="F39">
        <v>8.1799999999999998E-2</v>
      </c>
      <c r="G39" s="13">
        <v>21</v>
      </c>
      <c r="H39">
        <v>8.6199999999999999E-2</v>
      </c>
      <c r="I39">
        <v>259.8571</v>
      </c>
      <c r="J39">
        <v>8.7499999999999994E-2</v>
      </c>
      <c r="K39">
        <v>807.57140000000004</v>
      </c>
      <c r="L39">
        <v>8.5400000000000004E-2</v>
      </c>
      <c r="M39" s="13">
        <v>1329.2856999999999</v>
      </c>
    </row>
    <row r="40" spans="1:13" x14ac:dyDescent="0.2">
      <c r="A40">
        <v>38</v>
      </c>
      <c r="B40">
        <v>19900301</v>
      </c>
      <c r="C40" s="13">
        <v>1</v>
      </c>
      <c r="D40" s="9">
        <v>8.0100000000000005E-2</v>
      </c>
      <c r="E40" s="13">
        <v>13</v>
      </c>
      <c r="F40">
        <v>8.1100000000000005E-2</v>
      </c>
      <c r="G40" s="13">
        <v>26</v>
      </c>
      <c r="H40">
        <v>8.5599999999999996E-2</v>
      </c>
      <c r="I40">
        <v>258.8571</v>
      </c>
      <c r="J40">
        <v>8.7099999999999997E-2</v>
      </c>
      <c r="K40">
        <v>806.57140000000004</v>
      </c>
      <c r="L40">
        <v>8.4699999999999998E-2</v>
      </c>
      <c r="M40" s="13">
        <v>1328.2856999999999</v>
      </c>
    </row>
    <row r="41" spans="1:13" x14ac:dyDescent="0.2">
      <c r="A41">
        <v>39</v>
      </c>
      <c r="B41">
        <v>19900308</v>
      </c>
      <c r="C41" s="13">
        <v>1</v>
      </c>
      <c r="D41" s="9">
        <v>8.1500000000000003E-2</v>
      </c>
      <c r="E41" s="13">
        <v>13</v>
      </c>
      <c r="F41">
        <v>8.2100000000000006E-2</v>
      </c>
      <c r="G41" s="13">
        <v>26</v>
      </c>
      <c r="H41">
        <v>8.6800000000000002E-2</v>
      </c>
      <c r="I41">
        <v>257.8571</v>
      </c>
      <c r="J41">
        <v>8.7499999999999994E-2</v>
      </c>
      <c r="K41">
        <v>805.57140000000004</v>
      </c>
      <c r="L41">
        <v>8.5199999999999998E-2</v>
      </c>
      <c r="M41" s="13">
        <v>1327.2856999999999</v>
      </c>
    </row>
    <row r="42" spans="1:13" x14ac:dyDescent="0.2">
      <c r="A42">
        <v>40</v>
      </c>
      <c r="B42">
        <v>19900315</v>
      </c>
      <c r="C42" s="13">
        <v>1</v>
      </c>
      <c r="D42" s="9">
        <v>8.1799999999999998E-2</v>
      </c>
      <c r="E42" s="13">
        <v>13</v>
      </c>
      <c r="F42">
        <v>8.2799999999999999E-2</v>
      </c>
      <c r="G42" s="13">
        <v>26</v>
      </c>
      <c r="H42">
        <v>8.7599999999999997E-2</v>
      </c>
      <c r="I42">
        <v>256.8571</v>
      </c>
      <c r="J42">
        <v>8.7499999999999994E-2</v>
      </c>
      <c r="K42">
        <v>804.57140000000004</v>
      </c>
      <c r="L42">
        <v>8.5300000000000001E-2</v>
      </c>
      <c r="M42" s="13">
        <v>1326.2856999999999</v>
      </c>
    </row>
    <row r="43" spans="1:13" x14ac:dyDescent="0.2">
      <c r="A43">
        <v>41</v>
      </c>
      <c r="B43">
        <v>19900322</v>
      </c>
      <c r="C43" s="13">
        <v>1</v>
      </c>
      <c r="D43" s="9">
        <v>8.2100000000000006E-2</v>
      </c>
      <c r="E43" s="13">
        <v>13</v>
      </c>
      <c r="F43">
        <v>8.3199999999999996E-2</v>
      </c>
      <c r="G43" s="13">
        <v>26</v>
      </c>
      <c r="H43">
        <v>8.7400000000000005E-2</v>
      </c>
      <c r="I43">
        <v>255.8571</v>
      </c>
      <c r="J43">
        <v>8.6599999999999996E-2</v>
      </c>
      <c r="K43">
        <v>803.57140000000004</v>
      </c>
      <c r="L43">
        <v>8.4099999999999994E-2</v>
      </c>
      <c r="M43" s="13">
        <v>1325.2856999999999</v>
      </c>
    </row>
    <row r="44" spans="1:13" x14ac:dyDescent="0.2">
      <c r="A44">
        <v>42</v>
      </c>
      <c r="B44">
        <v>19900329</v>
      </c>
      <c r="C44" s="13">
        <v>1</v>
      </c>
      <c r="D44" s="9">
        <v>8.1600000000000006E-2</v>
      </c>
      <c r="E44" s="13">
        <v>13</v>
      </c>
      <c r="F44">
        <v>8.2100000000000006E-2</v>
      </c>
      <c r="G44" s="13">
        <v>25</v>
      </c>
      <c r="H44">
        <v>8.6199999999999999E-2</v>
      </c>
      <c r="I44">
        <v>254.8571</v>
      </c>
      <c r="J44">
        <v>8.6199999999999999E-2</v>
      </c>
      <c r="K44">
        <v>802.57140000000004</v>
      </c>
      <c r="L44">
        <v>8.4000000000000005E-2</v>
      </c>
      <c r="M44" s="13">
        <v>1324.2856999999999</v>
      </c>
    </row>
    <row r="45" spans="1:13" x14ac:dyDescent="0.2">
      <c r="A45">
        <v>43</v>
      </c>
      <c r="B45">
        <v>19900405</v>
      </c>
      <c r="C45" s="13">
        <v>1</v>
      </c>
      <c r="D45" s="9">
        <v>7.9799999999999996E-2</v>
      </c>
      <c r="E45" s="13">
        <v>13</v>
      </c>
      <c r="F45">
        <v>8.14E-2</v>
      </c>
      <c r="G45" s="13">
        <v>26</v>
      </c>
      <c r="H45">
        <v>8.6499999999999994E-2</v>
      </c>
      <c r="I45">
        <v>253.8571</v>
      </c>
      <c r="J45">
        <v>8.6599999999999996E-2</v>
      </c>
      <c r="K45">
        <v>801.57140000000004</v>
      </c>
      <c r="L45">
        <v>8.4900000000000003E-2</v>
      </c>
      <c r="M45" s="13">
        <v>1297.4286</v>
      </c>
    </row>
    <row r="46" spans="1:13" x14ac:dyDescent="0.2">
      <c r="A46">
        <v>44</v>
      </c>
      <c r="B46">
        <v>19900412</v>
      </c>
      <c r="C46" s="13">
        <v>1</v>
      </c>
      <c r="D46" s="9">
        <v>8.0100000000000005E-2</v>
      </c>
      <c r="E46" s="13">
        <v>13</v>
      </c>
      <c r="F46">
        <v>8.1799999999999998E-2</v>
      </c>
      <c r="G46" s="13">
        <v>26</v>
      </c>
      <c r="H46">
        <v>8.6800000000000002E-2</v>
      </c>
      <c r="I46">
        <v>265.57139999999998</v>
      </c>
      <c r="J46">
        <v>8.7400000000000005E-2</v>
      </c>
      <c r="K46">
        <v>800.57140000000004</v>
      </c>
      <c r="L46">
        <v>8.5400000000000004E-2</v>
      </c>
      <c r="M46" s="13">
        <v>1296.4286</v>
      </c>
    </row>
    <row r="47" spans="1:13" x14ac:dyDescent="0.2">
      <c r="A47">
        <v>45</v>
      </c>
      <c r="B47">
        <v>19900419</v>
      </c>
      <c r="C47" s="13">
        <v>1</v>
      </c>
      <c r="D47" s="9">
        <v>8.0500000000000002E-2</v>
      </c>
      <c r="E47" s="13">
        <v>13</v>
      </c>
      <c r="F47">
        <v>8.2799999999999999E-2</v>
      </c>
      <c r="G47" s="13">
        <v>21</v>
      </c>
      <c r="H47">
        <v>8.9399999999999993E-2</v>
      </c>
      <c r="I47">
        <v>251.8571</v>
      </c>
      <c r="J47">
        <v>9.0200000000000002E-2</v>
      </c>
      <c r="K47">
        <v>799.57140000000004</v>
      </c>
      <c r="L47">
        <v>8.8200000000000001E-2</v>
      </c>
      <c r="M47" s="13">
        <v>1321.2856999999999</v>
      </c>
    </row>
    <row r="48" spans="1:13" x14ac:dyDescent="0.2">
      <c r="A48">
        <v>46</v>
      </c>
      <c r="B48">
        <v>19900426</v>
      </c>
      <c r="C48" s="13">
        <v>1</v>
      </c>
      <c r="D48" s="9">
        <v>8.0500000000000002E-2</v>
      </c>
      <c r="E48" s="13">
        <v>13</v>
      </c>
      <c r="F48">
        <v>8.3799999999999999E-2</v>
      </c>
      <c r="G48" s="13">
        <v>26</v>
      </c>
      <c r="H48">
        <v>9.06E-2</v>
      </c>
      <c r="I48">
        <v>263.57139999999998</v>
      </c>
      <c r="J48">
        <v>9.1600000000000001E-2</v>
      </c>
      <c r="K48">
        <v>798.57140000000004</v>
      </c>
      <c r="L48">
        <v>8.9599999999999999E-2</v>
      </c>
      <c r="M48" s="13">
        <v>1320.2856999999999</v>
      </c>
    </row>
    <row r="49" spans="1:13" x14ac:dyDescent="0.2">
      <c r="A49">
        <v>47</v>
      </c>
      <c r="B49">
        <v>19900503</v>
      </c>
      <c r="C49" s="13">
        <v>1</v>
      </c>
      <c r="D49" s="9">
        <v>8.1500000000000003E-2</v>
      </c>
      <c r="E49" s="13">
        <v>13</v>
      </c>
      <c r="F49">
        <v>8.4500000000000006E-2</v>
      </c>
      <c r="G49" s="13">
        <v>26</v>
      </c>
      <c r="H49">
        <v>9.1399999999999995E-2</v>
      </c>
      <c r="I49">
        <v>262.57139999999998</v>
      </c>
      <c r="J49">
        <v>9.1700000000000004E-2</v>
      </c>
      <c r="K49">
        <v>797.57140000000004</v>
      </c>
      <c r="L49">
        <v>8.9700000000000002E-2</v>
      </c>
      <c r="M49" s="13">
        <v>1319.2856999999999</v>
      </c>
    </row>
    <row r="50" spans="1:13" x14ac:dyDescent="0.2">
      <c r="A50">
        <v>48</v>
      </c>
      <c r="B50">
        <v>19900510</v>
      </c>
      <c r="C50" s="13">
        <v>1</v>
      </c>
      <c r="D50" s="9">
        <v>7.9799999999999996E-2</v>
      </c>
      <c r="E50" s="13">
        <v>13</v>
      </c>
      <c r="F50">
        <v>8.1799999999999998E-2</v>
      </c>
      <c r="G50" s="13">
        <v>26</v>
      </c>
      <c r="H50">
        <v>8.9599999999999999E-2</v>
      </c>
      <c r="I50">
        <v>261.57139999999998</v>
      </c>
      <c r="J50">
        <v>9.01E-2</v>
      </c>
      <c r="K50">
        <v>796.57140000000004</v>
      </c>
      <c r="L50">
        <v>8.7999999999999995E-2</v>
      </c>
      <c r="M50" s="13">
        <v>1318.2856999999999</v>
      </c>
    </row>
    <row r="51" spans="1:13" x14ac:dyDescent="0.2">
      <c r="A51">
        <v>49</v>
      </c>
      <c r="B51">
        <v>19900517</v>
      </c>
      <c r="C51" s="13">
        <v>1</v>
      </c>
      <c r="D51" s="9">
        <v>7.8799999999999995E-2</v>
      </c>
      <c r="E51" s="13">
        <v>13</v>
      </c>
      <c r="F51">
        <v>8.0799999999999997E-2</v>
      </c>
      <c r="G51" s="13">
        <v>26</v>
      </c>
      <c r="H51">
        <v>8.7099999999999997E-2</v>
      </c>
      <c r="I51">
        <v>260.57139999999998</v>
      </c>
      <c r="J51">
        <v>8.7999999999999995E-2</v>
      </c>
      <c r="K51">
        <v>795.57140000000004</v>
      </c>
      <c r="L51">
        <v>8.5999999999999993E-2</v>
      </c>
      <c r="M51" s="13">
        <v>1317.2856999999999</v>
      </c>
    </row>
    <row r="52" spans="1:13" x14ac:dyDescent="0.2">
      <c r="A52">
        <v>50</v>
      </c>
      <c r="B52">
        <v>19900524</v>
      </c>
      <c r="C52" s="13">
        <v>1</v>
      </c>
      <c r="D52" s="9">
        <v>7.8799999999999995E-2</v>
      </c>
      <c r="E52" s="13">
        <v>13</v>
      </c>
      <c r="F52">
        <v>8.0799999999999997E-2</v>
      </c>
      <c r="G52" s="13">
        <v>26.142900000000001</v>
      </c>
      <c r="H52">
        <v>8.6599999999999996E-2</v>
      </c>
      <c r="I52">
        <v>259.57139999999998</v>
      </c>
      <c r="J52">
        <v>8.7999999999999995E-2</v>
      </c>
      <c r="K52">
        <v>794.57140000000004</v>
      </c>
      <c r="L52">
        <v>8.5300000000000001E-2</v>
      </c>
      <c r="M52" s="13">
        <v>1316.2856999999999</v>
      </c>
    </row>
    <row r="53" spans="1:13" x14ac:dyDescent="0.2">
      <c r="A53">
        <v>51</v>
      </c>
      <c r="B53">
        <v>19900531</v>
      </c>
      <c r="C53" s="13">
        <v>1</v>
      </c>
      <c r="D53" s="9">
        <v>8.0100000000000005E-2</v>
      </c>
      <c r="E53" s="13">
        <v>13</v>
      </c>
      <c r="F53">
        <v>8.1000000000000003E-2</v>
      </c>
      <c r="G53" s="13">
        <v>25.142900000000001</v>
      </c>
      <c r="H53">
        <v>8.6699999999999999E-2</v>
      </c>
      <c r="I53">
        <v>258.57139999999998</v>
      </c>
      <c r="J53">
        <v>8.7599999999999997E-2</v>
      </c>
      <c r="K53">
        <v>793.57140000000004</v>
      </c>
      <c r="L53">
        <v>8.5500000000000007E-2</v>
      </c>
      <c r="M53" s="13">
        <v>1315.2856999999999</v>
      </c>
    </row>
    <row r="54" spans="1:13" x14ac:dyDescent="0.2">
      <c r="A54">
        <v>52</v>
      </c>
      <c r="B54">
        <v>19900607</v>
      </c>
      <c r="C54" s="13">
        <v>1</v>
      </c>
      <c r="D54" s="9">
        <v>7.9200000000000007E-2</v>
      </c>
      <c r="E54" s="13">
        <v>13</v>
      </c>
      <c r="F54">
        <v>7.9699999999999993E-2</v>
      </c>
      <c r="G54" s="13">
        <v>26</v>
      </c>
      <c r="H54">
        <v>8.4900000000000003E-2</v>
      </c>
      <c r="I54">
        <v>257.57139999999998</v>
      </c>
      <c r="J54">
        <v>8.5999999999999993E-2</v>
      </c>
      <c r="K54">
        <v>792.57140000000004</v>
      </c>
      <c r="L54">
        <v>8.3799999999999999E-2</v>
      </c>
      <c r="M54" s="13">
        <v>1314.2856999999999</v>
      </c>
    </row>
    <row r="55" spans="1:13" x14ac:dyDescent="0.2">
      <c r="A55">
        <v>53</v>
      </c>
      <c r="B55">
        <v>19900614</v>
      </c>
      <c r="C55" s="13">
        <v>1</v>
      </c>
      <c r="D55" s="9">
        <v>7.9200000000000007E-2</v>
      </c>
      <c r="E55" s="13">
        <v>13</v>
      </c>
      <c r="F55">
        <v>7.9699999999999993E-2</v>
      </c>
      <c r="G55" s="13">
        <v>26</v>
      </c>
      <c r="H55">
        <v>8.4199999999999997E-2</v>
      </c>
      <c r="I55">
        <v>256.57139999999998</v>
      </c>
      <c r="J55">
        <v>8.5400000000000004E-2</v>
      </c>
      <c r="K55">
        <v>791.57140000000004</v>
      </c>
      <c r="L55">
        <v>8.3400000000000002E-2</v>
      </c>
      <c r="M55" s="13">
        <v>1313.2856999999999</v>
      </c>
    </row>
    <row r="56" spans="1:13" x14ac:dyDescent="0.2">
      <c r="A56">
        <v>54</v>
      </c>
      <c r="B56">
        <v>19900621</v>
      </c>
      <c r="C56" s="13">
        <v>1</v>
      </c>
      <c r="D56" s="9">
        <v>8.0100000000000005E-2</v>
      </c>
      <c r="E56" s="13">
        <v>13</v>
      </c>
      <c r="F56">
        <v>8.0399999999999999E-2</v>
      </c>
      <c r="G56" s="13">
        <v>25</v>
      </c>
      <c r="H56">
        <v>8.5900000000000004E-2</v>
      </c>
      <c r="I56">
        <v>268.71429999999998</v>
      </c>
      <c r="J56">
        <v>8.6900000000000005E-2</v>
      </c>
      <c r="K56">
        <v>790.57140000000004</v>
      </c>
      <c r="L56">
        <v>8.4599999999999995E-2</v>
      </c>
      <c r="M56" s="13">
        <v>1312.2856999999999</v>
      </c>
    </row>
    <row r="57" spans="1:13" x14ac:dyDescent="0.2">
      <c r="A57">
        <v>55</v>
      </c>
      <c r="B57">
        <v>19900628</v>
      </c>
      <c r="C57" s="13">
        <v>1</v>
      </c>
      <c r="D57" s="9">
        <v>8.0100000000000005E-2</v>
      </c>
      <c r="E57" s="13">
        <v>13</v>
      </c>
      <c r="F57">
        <v>8.0799999999999997E-2</v>
      </c>
      <c r="G57" s="13">
        <v>26</v>
      </c>
      <c r="H57">
        <v>8.5599999999999996E-2</v>
      </c>
      <c r="I57">
        <v>267.71429999999998</v>
      </c>
      <c r="J57">
        <v>8.6599999999999996E-2</v>
      </c>
      <c r="K57">
        <v>789.57140000000004</v>
      </c>
      <c r="L57">
        <v>8.4500000000000006E-2</v>
      </c>
      <c r="M57" s="13">
        <v>1311.2856999999999</v>
      </c>
    </row>
    <row r="58" spans="1:13" x14ac:dyDescent="0.2">
      <c r="A58">
        <v>56</v>
      </c>
      <c r="B58">
        <v>19900705</v>
      </c>
      <c r="C58" s="13">
        <v>1</v>
      </c>
      <c r="D58" s="9">
        <v>7.9399999999999998E-2</v>
      </c>
      <c r="E58" s="13">
        <v>13</v>
      </c>
      <c r="F58">
        <v>7.9799999999999996E-2</v>
      </c>
      <c r="G58" s="13">
        <v>26.142900000000001</v>
      </c>
      <c r="H58">
        <v>8.4699999999999998E-2</v>
      </c>
      <c r="I58">
        <v>266.71429999999998</v>
      </c>
      <c r="J58">
        <v>8.6099999999999996E-2</v>
      </c>
      <c r="K58">
        <v>788.57140000000004</v>
      </c>
      <c r="L58">
        <v>8.4099999999999994E-2</v>
      </c>
      <c r="M58" s="13">
        <v>1310.2856999999999</v>
      </c>
    </row>
    <row r="59" spans="1:13" x14ac:dyDescent="0.2">
      <c r="A59">
        <v>57</v>
      </c>
      <c r="B59">
        <v>19900712</v>
      </c>
      <c r="C59" s="13">
        <v>1</v>
      </c>
      <c r="D59" s="9">
        <v>8.0199999999999994E-2</v>
      </c>
      <c r="E59" s="13">
        <v>13</v>
      </c>
      <c r="F59">
        <v>8.1199999999999994E-2</v>
      </c>
      <c r="G59" s="13">
        <v>26</v>
      </c>
      <c r="H59">
        <v>8.6199999999999999E-2</v>
      </c>
      <c r="I59">
        <v>265.71429999999998</v>
      </c>
      <c r="J59">
        <v>8.7499999999999994E-2</v>
      </c>
      <c r="K59">
        <v>787.57140000000004</v>
      </c>
      <c r="L59">
        <v>8.5599999999999996E-2</v>
      </c>
      <c r="M59" s="13">
        <v>1309.2856999999999</v>
      </c>
    </row>
    <row r="60" spans="1:13" x14ac:dyDescent="0.2">
      <c r="A60">
        <v>58</v>
      </c>
      <c r="B60">
        <v>19900719</v>
      </c>
      <c r="C60" s="13">
        <v>1</v>
      </c>
      <c r="D60" s="9">
        <v>7.7799999999999994E-2</v>
      </c>
      <c r="E60" s="13">
        <v>13</v>
      </c>
      <c r="F60">
        <v>7.8600000000000003E-2</v>
      </c>
      <c r="G60" s="13">
        <v>26</v>
      </c>
      <c r="H60">
        <v>8.4699999999999998E-2</v>
      </c>
      <c r="I60">
        <v>264.71429999999998</v>
      </c>
      <c r="J60">
        <v>8.77E-2</v>
      </c>
      <c r="K60">
        <v>786.57140000000004</v>
      </c>
      <c r="L60">
        <v>8.5699999999999998E-2</v>
      </c>
      <c r="M60" s="13">
        <v>1308.2856999999999</v>
      </c>
    </row>
    <row r="61" spans="1:13" x14ac:dyDescent="0.2">
      <c r="A61">
        <v>59</v>
      </c>
      <c r="B61">
        <v>19900726</v>
      </c>
      <c r="C61" s="13">
        <v>1</v>
      </c>
      <c r="D61" s="9">
        <v>7.7899999999999997E-2</v>
      </c>
      <c r="E61" s="13">
        <v>13</v>
      </c>
      <c r="F61">
        <v>7.8299999999999995E-2</v>
      </c>
      <c r="G61" s="13">
        <v>26</v>
      </c>
      <c r="H61">
        <v>8.4599999999999995E-2</v>
      </c>
      <c r="I61">
        <v>263.71429999999998</v>
      </c>
      <c r="J61">
        <v>8.7599999999999997E-2</v>
      </c>
      <c r="K61">
        <v>785.57140000000004</v>
      </c>
      <c r="L61">
        <v>8.5699999999999998E-2</v>
      </c>
      <c r="M61" s="13">
        <v>1307.2856999999999</v>
      </c>
    </row>
    <row r="62" spans="1:13" x14ac:dyDescent="0.2">
      <c r="A62">
        <v>60</v>
      </c>
      <c r="B62">
        <v>19900802</v>
      </c>
      <c r="C62" s="13">
        <v>1</v>
      </c>
      <c r="D62" s="9">
        <v>7.6399999999999996E-2</v>
      </c>
      <c r="E62" s="13">
        <v>13</v>
      </c>
      <c r="F62">
        <v>7.6300000000000007E-2</v>
      </c>
      <c r="G62" s="13">
        <v>26</v>
      </c>
      <c r="H62">
        <v>8.1799999999999998E-2</v>
      </c>
      <c r="I62">
        <v>262.71429999999998</v>
      </c>
      <c r="J62">
        <v>8.5800000000000001E-2</v>
      </c>
      <c r="K62">
        <v>784.57140000000004</v>
      </c>
      <c r="L62">
        <v>8.3900000000000002E-2</v>
      </c>
      <c r="M62" s="13">
        <v>1306.2856999999999</v>
      </c>
    </row>
    <row r="63" spans="1:13" x14ac:dyDescent="0.2">
      <c r="A63">
        <v>61</v>
      </c>
      <c r="B63">
        <v>19900809</v>
      </c>
      <c r="C63" s="13">
        <v>1</v>
      </c>
      <c r="D63" s="9">
        <v>7.5999999999999998E-2</v>
      </c>
      <c r="E63" s="13">
        <v>13</v>
      </c>
      <c r="F63">
        <v>7.6600000000000001E-2</v>
      </c>
      <c r="G63" s="13">
        <v>26</v>
      </c>
      <c r="H63">
        <v>8.5900000000000004E-2</v>
      </c>
      <c r="I63">
        <v>261.71429999999998</v>
      </c>
      <c r="J63">
        <v>9.11E-2</v>
      </c>
      <c r="K63">
        <v>783.57140000000004</v>
      </c>
      <c r="L63">
        <v>8.9499999999999996E-2</v>
      </c>
      <c r="M63" s="13">
        <v>1305.2856999999999</v>
      </c>
    </row>
    <row r="64" spans="1:13" x14ac:dyDescent="0.2">
      <c r="A64">
        <v>62</v>
      </c>
      <c r="B64">
        <v>19900816</v>
      </c>
      <c r="C64" s="13">
        <v>1</v>
      </c>
      <c r="D64" s="9">
        <v>7.6799999999999993E-2</v>
      </c>
      <c r="E64" s="13">
        <v>13</v>
      </c>
      <c r="F64">
        <v>7.7100000000000002E-2</v>
      </c>
      <c r="G64" s="13">
        <v>26</v>
      </c>
      <c r="H64">
        <v>8.4900000000000003E-2</v>
      </c>
      <c r="I64">
        <v>260.71429999999998</v>
      </c>
      <c r="J64">
        <v>9.0200000000000002E-2</v>
      </c>
      <c r="K64">
        <v>782.57140000000004</v>
      </c>
      <c r="L64">
        <v>8.8400000000000006E-2</v>
      </c>
      <c r="M64" s="13">
        <v>1304.2856999999999</v>
      </c>
    </row>
    <row r="65" spans="1:13" x14ac:dyDescent="0.2">
      <c r="A65">
        <v>63</v>
      </c>
      <c r="B65">
        <v>19900823</v>
      </c>
      <c r="C65" s="13">
        <v>1</v>
      </c>
      <c r="D65" s="9">
        <v>7.8200000000000006E-2</v>
      </c>
      <c r="E65" s="13">
        <v>13.142899999999999</v>
      </c>
      <c r="F65">
        <v>7.8899999999999998E-2</v>
      </c>
      <c r="G65" s="13">
        <v>26</v>
      </c>
      <c r="H65">
        <v>8.7800000000000003E-2</v>
      </c>
      <c r="I65">
        <v>259.71429999999998</v>
      </c>
      <c r="J65">
        <v>9.2799999999999994E-2</v>
      </c>
      <c r="K65">
        <v>781.57140000000004</v>
      </c>
      <c r="L65">
        <v>9.1200000000000003E-2</v>
      </c>
      <c r="M65" s="13">
        <v>1303.2856999999999</v>
      </c>
    </row>
    <row r="66" spans="1:13" x14ac:dyDescent="0.2">
      <c r="A66">
        <v>64</v>
      </c>
      <c r="B66">
        <v>19900830</v>
      </c>
      <c r="C66" s="13">
        <v>1</v>
      </c>
      <c r="D66" s="9">
        <v>7.6999999999999999E-2</v>
      </c>
      <c r="E66" s="13">
        <v>13</v>
      </c>
      <c r="F66">
        <v>7.8100000000000003E-2</v>
      </c>
      <c r="G66" s="13">
        <v>26</v>
      </c>
      <c r="H66">
        <v>8.7300000000000003E-2</v>
      </c>
      <c r="I66">
        <v>258.71429999999998</v>
      </c>
      <c r="J66">
        <v>9.1999999999999998E-2</v>
      </c>
      <c r="K66">
        <v>780.57140000000004</v>
      </c>
      <c r="L66">
        <v>9.0499999999999997E-2</v>
      </c>
      <c r="M66" s="13">
        <v>1302.2856999999999</v>
      </c>
    </row>
    <row r="67" spans="1:13" x14ac:dyDescent="0.2">
      <c r="A67">
        <v>65</v>
      </c>
      <c r="B67">
        <v>19900906</v>
      </c>
      <c r="C67" s="13">
        <v>1</v>
      </c>
      <c r="D67" s="9">
        <v>7.5899999999999995E-2</v>
      </c>
      <c r="E67" s="13">
        <v>13</v>
      </c>
      <c r="F67">
        <v>7.6799999999999993E-2</v>
      </c>
      <c r="G67" s="13">
        <v>26</v>
      </c>
      <c r="H67">
        <v>8.6699999999999999E-2</v>
      </c>
      <c r="I67">
        <v>257.71429999999998</v>
      </c>
      <c r="J67">
        <v>9.2499999999999999E-2</v>
      </c>
      <c r="K67">
        <v>779.57140000000004</v>
      </c>
      <c r="L67">
        <v>9.11E-2</v>
      </c>
      <c r="M67" s="13">
        <v>1301.2856999999999</v>
      </c>
    </row>
    <row r="68" spans="1:13" x14ac:dyDescent="0.2">
      <c r="A68">
        <v>66</v>
      </c>
      <c r="B68">
        <v>19900913</v>
      </c>
      <c r="C68" s="13">
        <v>1</v>
      </c>
      <c r="D68" s="9">
        <v>7.5899999999999995E-2</v>
      </c>
      <c r="E68" s="13">
        <v>13</v>
      </c>
      <c r="F68">
        <v>7.6700000000000004E-2</v>
      </c>
      <c r="G68" s="13">
        <v>26</v>
      </c>
      <c r="H68">
        <v>8.6400000000000005E-2</v>
      </c>
      <c r="I68">
        <v>256.71429999999998</v>
      </c>
      <c r="J68">
        <v>9.2100000000000001E-2</v>
      </c>
      <c r="K68">
        <v>778.57140000000004</v>
      </c>
      <c r="L68">
        <v>9.0800000000000006E-2</v>
      </c>
      <c r="M68" s="13">
        <v>1300.2856999999999</v>
      </c>
    </row>
    <row r="69" spans="1:13" x14ac:dyDescent="0.2">
      <c r="A69">
        <v>67</v>
      </c>
      <c r="B69">
        <v>19900920</v>
      </c>
      <c r="C69" s="13">
        <v>1</v>
      </c>
      <c r="D69" s="9">
        <v>7.6100000000000001E-2</v>
      </c>
      <c r="E69" s="13">
        <v>13</v>
      </c>
      <c r="F69">
        <v>7.6700000000000004E-2</v>
      </c>
      <c r="G69" s="13">
        <v>26</v>
      </c>
      <c r="H69">
        <v>8.6400000000000005E-2</v>
      </c>
      <c r="I69">
        <v>255.71430000000001</v>
      </c>
      <c r="J69">
        <v>9.2700000000000005E-2</v>
      </c>
      <c r="K69">
        <v>777.57140000000004</v>
      </c>
      <c r="L69">
        <v>9.1499999999999998E-2</v>
      </c>
      <c r="M69" s="13">
        <v>1299.2856999999999</v>
      </c>
    </row>
    <row r="70" spans="1:13" x14ac:dyDescent="0.2">
      <c r="A70">
        <v>68</v>
      </c>
      <c r="B70">
        <v>19900927</v>
      </c>
      <c r="C70" s="13">
        <v>1</v>
      </c>
      <c r="D70" s="9">
        <v>7.5499999999999998E-2</v>
      </c>
      <c r="E70" s="13">
        <v>13</v>
      </c>
      <c r="F70">
        <v>7.7200000000000005E-2</v>
      </c>
      <c r="G70" s="13">
        <v>26</v>
      </c>
      <c r="H70">
        <v>8.77E-2</v>
      </c>
      <c r="I70">
        <v>254.71430000000001</v>
      </c>
      <c r="J70">
        <v>9.4E-2</v>
      </c>
      <c r="K70">
        <v>776.57140000000004</v>
      </c>
      <c r="L70">
        <v>9.2799999999999994E-2</v>
      </c>
      <c r="M70" s="13">
        <v>1298.2856999999999</v>
      </c>
    </row>
    <row r="71" spans="1:13" x14ac:dyDescent="0.2">
      <c r="A71">
        <v>69</v>
      </c>
      <c r="B71">
        <v>19901004</v>
      </c>
      <c r="C71" s="13">
        <v>1</v>
      </c>
      <c r="D71" s="9">
        <v>7.3300000000000004E-2</v>
      </c>
      <c r="E71" s="13">
        <v>12</v>
      </c>
      <c r="F71">
        <v>7.51E-2</v>
      </c>
      <c r="G71" s="13">
        <v>26</v>
      </c>
      <c r="H71">
        <v>8.48E-2</v>
      </c>
      <c r="I71">
        <v>266.8571</v>
      </c>
      <c r="J71">
        <v>9.0999999999999998E-2</v>
      </c>
      <c r="K71">
        <v>775.57140000000004</v>
      </c>
      <c r="L71">
        <v>8.9499999999999996E-2</v>
      </c>
      <c r="M71" s="13">
        <v>1310.4286</v>
      </c>
    </row>
    <row r="72" spans="1:13" x14ac:dyDescent="0.2">
      <c r="A72">
        <v>70</v>
      </c>
      <c r="B72">
        <v>19901011</v>
      </c>
      <c r="C72" s="13">
        <v>1</v>
      </c>
      <c r="D72" s="9">
        <v>7.4099999999999999E-2</v>
      </c>
      <c r="E72" s="13">
        <v>13</v>
      </c>
      <c r="F72">
        <v>7.5700000000000003E-2</v>
      </c>
      <c r="G72" s="13">
        <v>26</v>
      </c>
      <c r="H72">
        <v>8.6199999999999999E-2</v>
      </c>
      <c r="I72">
        <v>265.8571</v>
      </c>
      <c r="J72">
        <v>9.2799999999999994E-2</v>
      </c>
      <c r="K72">
        <v>774.57140000000004</v>
      </c>
      <c r="L72">
        <v>9.1399999999999995E-2</v>
      </c>
      <c r="M72" s="13">
        <v>1309.4286</v>
      </c>
    </row>
    <row r="73" spans="1:13" x14ac:dyDescent="0.2">
      <c r="A73">
        <v>71</v>
      </c>
      <c r="B73">
        <v>19901018</v>
      </c>
      <c r="C73" s="13">
        <v>1</v>
      </c>
      <c r="D73" s="9">
        <v>7.4099999999999999E-2</v>
      </c>
      <c r="E73" s="13">
        <v>13</v>
      </c>
      <c r="F73">
        <v>7.5600000000000001E-2</v>
      </c>
      <c r="G73" s="13">
        <v>26</v>
      </c>
      <c r="H73">
        <v>8.5099999999999995E-2</v>
      </c>
      <c r="I73">
        <v>264.8571</v>
      </c>
      <c r="J73">
        <v>9.1600000000000001E-2</v>
      </c>
      <c r="K73">
        <v>773.57140000000004</v>
      </c>
      <c r="L73">
        <v>9.01E-2</v>
      </c>
      <c r="M73" s="13">
        <v>1308.4286</v>
      </c>
    </row>
    <row r="74" spans="1:13" x14ac:dyDescent="0.2">
      <c r="A74">
        <v>72</v>
      </c>
      <c r="B74">
        <v>19901025</v>
      </c>
      <c r="C74" s="13">
        <v>1</v>
      </c>
      <c r="D74" s="9">
        <v>7.4200000000000002E-2</v>
      </c>
      <c r="E74" s="13">
        <v>13</v>
      </c>
      <c r="F74">
        <v>7.51E-2</v>
      </c>
      <c r="G74" s="13">
        <v>25</v>
      </c>
      <c r="H74">
        <v>8.3900000000000002E-2</v>
      </c>
      <c r="I74">
        <v>263.8571</v>
      </c>
      <c r="J74">
        <v>9.06E-2</v>
      </c>
      <c r="K74">
        <v>772.57140000000004</v>
      </c>
      <c r="L74">
        <v>8.8900000000000007E-2</v>
      </c>
      <c r="M74" s="13">
        <v>1307.4286</v>
      </c>
    </row>
    <row r="75" spans="1:13" x14ac:dyDescent="0.2">
      <c r="A75">
        <v>73</v>
      </c>
      <c r="B75">
        <v>19901101</v>
      </c>
      <c r="C75" s="13">
        <v>1</v>
      </c>
      <c r="D75" s="9">
        <v>7.3200000000000001E-2</v>
      </c>
      <c r="E75" s="13">
        <v>13</v>
      </c>
      <c r="F75">
        <v>7.4300000000000005E-2</v>
      </c>
      <c r="G75" s="13">
        <v>26</v>
      </c>
      <c r="H75">
        <v>8.3699999999999997E-2</v>
      </c>
      <c r="I75">
        <v>262.8571</v>
      </c>
      <c r="J75">
        <v>9.0499999999999997E-2</v>
      </c>
      <c r="K75">
        <v>771.57140000000004</v>
      </c>
      <c r="L75">
        <v>8.8800000000000004E-2</v>
      </c>
      <c r="M75" s="13">
        <v>1306.4286</v>
      </c>
    </row>
    <row r="76" spans="1:13" x14ac:dyDescent="0.2">
      <c r="A76">
        <v>74</v>
      </c>
      <c r="B76">
        <v>19901108</v>
      </c>
      <c r="C76" s="13">
        <v>1</v>
      </c>
      <c r="D76" s="9">
        <v>7.2999999999999995E-2</v>
      </c>
      <c r="E76" s="13">
        <v>13</v>
      </c>
      <c r="F76">
        <v>7.4099999999999999E-2</v>
      </c>
      <c r="G76" s="13">
        <v>26</v>
      </c>
      <c r="H76">
        <v>8.3000000000000004E-2</v>
      </c>
      <c r="I76">
        <v>261.8571</v>
      </c>
      <c r="J76">
        <v>8.9899999999999994E-2</v>
      </c>
      <c r="K76">
        <v>770.57140000000004</v>
      </c>
      <c r="L76">
        <v>8.8499999999999995E-2</v>
      </c>
      <c r="M76" s="13">
        <v>1305.4286</v>
      </c>
    </row>
    <row r="77" spans="1:13" x14ac:dyDescent="0.2">
      <c r="A77">
        <v>75</v>
      </c>
      <c r="B77">
        <v>19901115</v>
      </c>
      <c r="C77" s="13">
        <v>1</v>
      </c>
      <c r="D77" s="9">
        <v>7.2800000000000004E-2</v>
      </c>
      <c r="E77" s="13">
        <v>13</v>
      </c>
      <c r="F77">
        <v>7.3599999999999999E-2</v>
      </c>
      <c r="G77" s="13">
        <v>26</v>
      </c>
      <c r="H77">
        <v>8.1199999999999994E-2</v>
      </c>
      <c r="I77">
        <v>260.8571</v>
      </c>
      <c r="J77">
        <v>8.7900000000000006E-2</v>
      </c>
      <c r="K77">
        <v>769.57140000000004</v>
      </c>
      <c r="L77">
        <v>8.6499999999999994E-2</v>
      </c>
      <c r="M77" s="13">
        <v>1304.4286</v>
      </c>
    </row>
    <row r="78" spans="1:13" x14ac:dyDescent="0.2">
      <c r="A78">
        <v>76</v>
      </c>
      <c r="B78">
        <v>19901123</v>
      </c>
      <c r="C78" s="13">
        <v>1</v>
      </c>
      <c r="D78" s="9">
        <v>7.2400000000000006E-2</v>
      </c>
      <c r="E78" s="13">
        <v>12.857100000000001</v>
      </c>
      <c r="F78">
        <v>7.3400000000000007E-2</v>
      </c>
      <c r="G78" s="13">
        <v>25.857099999999999</v>
      </c>
      <c r="H78">
        <v>7.9699999999999993E-2</v>
      </c>
      <c r="I78">
        <v>259.71429999999998</v>
      </c>
      <c r="J78">
        <v>8.6800000000000002E-2</v>
      </c>
      <c r="K78">
        <v>768.42859999999996</v>
      </c>
      <c r="L78">
        <v>8.5599999999999996E-2</v>
      </c>
      <c r="M78" s="13">
        <v>1303.2856999999999</v>
      </c>
    </row>
    <row r="79" spans="1:13" x14ac:dyDescent="0.2">
      <c r="A79">
        <v>77</v>
      </c>
      <c r="B79">
        <v>19901129</v>
      </c>
      <c r="C79" s="13">
        <v>1</v>
      </c>
      <c r="D79" s="9">
        <v>7.2700000000000001E-2</v>
      </c>
      <c r="E79" s="13">
        <v>13</v>
      </c>
      <c r="F79">
        <v>7.3599999999999999E-2</v>
      </c>
      <c r="G79" s="13">
        <v>26</v>
      </c>
      <c r="H79">
        <v>8.0799999999999997E-2</v>
      </c>
      <c r="I79">
        <v>258.8571</v>
      </c>
      <c r="J79">
        <v>8.6999999999999994E-2</v>
      </c>
      <c r="K79">
        <v>767.57140000000004</v>
      </c>
      <c r="L79">
        <v>8.6099999999999996E-2</v>
      </c>
      <c r="M79" s="13">
        <v>1302.4286</v>
      </c>
    </row>
    <row r="80" spans="1:13" x14ac:dyDescent="0.2">
      <c r="A80">
        <v>78</v>
      </c>
      <c r="B80">
        <v>19901206</v>
      </c>
      <c r="C80" s="13">
        <v>1</v>
      </c>
      <c r="D80" s="9">
        <v>7.1999999999999995E-2</v>
      </c>
      <c r="E80" s="13">
        <v>13</v>
      </c>
      <c r="F80">
        <v>7.1800000000000003E-2</v>
      </c>
      <c r="G80" s="13">
        <v>26</v>
      </c>
      <c r="H80">
        <v>7.9500000000000001E-2</v>
      </c>
      <c r="I80">
        <v>257.8571</v>
      </c>
      <c r="J80">
        <v>8.5699999999999998E-2</v>
      </c>
      <c r="K80">
        <v>766.57140000000004</v>
      </c>
      <c r="L80">
        <v>8.4599999999999995E-2</v>
      </c>
      <c r="M80" s="13">
        <v>1301.4286</v>
      </c>
    </row>
    <row r="81" spans="1:13" x14ac:dyDescent="0.2">
      <c r="A81">
        <v>79</v>
      </c>
      <c r="B81">
        <v>19901213</v>
      </c>
      <c r="C81" s="13">
        <v>1</v>
      </c>
      <c r="D81" s="9">
        <v>6.9800000000000001E-2</v>
      </c>
      <c r="E81" s="13">
        <v>13</v>
      </c>
      <c r="F81">
        <v>6.9800000000000001E-2</v>
      </c>
      <c r="G81" s="13">
        <v>26</v>
      </c>
      <c r="H81">
        <v>7.7200000000000005E-2</v>
      </c>
      <c r="I81">
        <v>256.8571</v>
      </c>
      <c r="J81">
        <v>8.3099999999999993E-2</v>
      </c>
      <c r="K81">
        <v>765.57140000000004</v>
      </c>
      <c r="L81">
        <v>8.2000000000000003E-2</v>
      </c>
      <c r="M81" s="13">
        <v>1300.4286</v>
      </c>
    </row>
    <row r="82" spans="1:13" x14ac:dyDescent="0.2">
      <c r="A82">
        <v>80</v>
      </c>
      <c r="B82">
        <v>19901220</v>
      </c>
      <c r="C82" s="13">
        <v>1</v>
      </c>
      <c r="D82" s="9">
        <v>6.8000000000000005E-2</v>
      </c>
      <c r="E82" s="13">
        <v>13</v>
      </c>
      <c r="F82">
        <v>6.8900000000000003E-2</v>
      </c>
      <c r="G82" s="13">
        <v>26</v>
      </c>
      <c r="H82">
        <v>7.7600000000000002E-2</v>
      </c>
      <c r="I82">
        <v>255.8571</v>
      </c>
      <c r="J82">
        <v>8.43E-2</v>
      </c>
      <c r="K82">
        <v>764.57140000000004</v>
      </c>
      <c r="L82">
        <v>8.3199999999999996E-2</v>
      </c>
      <c r="M82" s="13">
        <v>1299.4286</v>
      </c>
    </row>
    <row r="83" spans="1:13" x14ac:dyDescent="0.2">
      <c r="A83">
        <v>81</v>
      </c>
      <c r="B83">
        <v>19901227</v>
      </c>
      <c r="C83" s="13">
        <v>1</v>
      </c>
      <c r="D83" s="9">
        <v>6.6600000000000006E-2</v>
      </c>
      <c r="E83" s="13">
        <v>13</v>
      </c>
      <c r="F83">
        <v>6.8900000000000003E-2</v>
      </c>
      <c r="G83" s="13">
        <v>26</v>
      </c>
      <c r="H83">
        <v>7.9000000000000001E-2</v>
      </c>
      <c r="I83">
        <v>254.8571</v>
      </c>
      <c r="J83">
        <v>8.5500000000000007E-2</v>
      </c>
      <c r="K83">
        <v>763.57140000000004</v>
      </c>
      <c r="L83">
        <v>8.4599999999999995E-2</v>
      </c>
      <c r="M83" s="13">
        <v>1298.4286</v>
      </c>
    </row>
    <row r="84" spans="1:13" x14ac:dyDescent="0.2">
      <c r="A84">
        <v>82</v>
      </c>
      <c r="B84">
        <v>19910103</v>
      </c>
      <c r="C84" s="13">
        <v>1</v>
      </c>
      <c r="D84" s="9">
        <v>6.6400000000000001E-2</v>
      </c>
      <c r="E84" s="13">
        <v>13</v>
      </c>
      <c r="F84">
        <v>6.7100000000000007E-2</v>
      </c>
      <c r="G84" s="13">
        <v>26.142900000000001</v>
      </c>
      <c r="H84">
        <v>7.7299999999999994E-2</v>
      </c>
      <c r="I84">
        <v>261</v>
      </c>
      <c r="J84">
        <v>8.4099999999999994E-2</v>
      </c>
      <c r="K84">
        <v>762.57140000000004</v>
      </c>
      <c r="L84">
        <v>8.3000000000000004E-2</v>
      </c>
      <c r="M84" s="13">
        <v>1297.4286</v>
      </c>
    </row>
    <row r="85" spans="1:13" x14ac:dyDescent="0.2">
      <c r="A85">
        <v>83</v>
      </c>
      <c r="B85">
        <v>19910110</v>
      </c>
      <c r="C85" s="13">
        <v>1</v>
      </c>
      <c r="D85" s="9">
        <v>6.4199999999999993E-2</v>
      </c>
      <c r="E85" s="13">
        <v>13</v>
      </c>
      <c r="F85">
        <v>6.59E-2</v>
      </c>
      <c r="G85" s="13">
        <v>26</v>
      </c>
      <c r="H85">
        <v>7.9899999999999999E-2</v>
      </c>
      <c r="I85">
        <v>266</v>
      </c>
      <c r="J85">
        <v>8.7400000000000005E-2</v>
      </c>
      <c r="K85">
        <v>761.57140000000004</v>
      </c>
      <c r="L85">
        <v>8.6300000000000002E-2</v>
      </c>
      <c r="M85" s="13">
        <v>1296.4286</v>
      </c>
    </row>
    <row r="86" spans="1:13" x14ac:dyDescent="0.2">
      <c r="A86">
        <v>84</v>
      </c>
      <c r="B86">
        <v>19910117</v>
      </c>
      <c r="C86" s="13">
        <v>1</v>
      </c>
      <c r="D86" s="9">
        <v>6.2E-2</v>
      </c>
      <c r="E86" s="13">
        <v>13</v>
      </c>
      <c r="F86">
        <v>6.4299999999999996E-2</v>
      </c>
      <c r="G86" s="13">
        <v>26</v>
      </c>
      <c r="H86">
        <v>7.9799999999999996E-2</v>
      </c>
      <c r="I86">
        <v>265</v>
      </c>
      <c r="J86">
        <v>8.72E-2</v>
      </c>
      <c r="K86">
        <v>760.57140000000004</v>
      </c>
      <c r="L86">
        <v>8.5900000000000004E-2</v>
      </c>
      <c r="M86" s="13">
        <v>1295.4286</v>
      </c>
    </row>
    <row r="87" spans="1:13" x14ac:dyDescent="0.2">
      <c r="A87">
        <v>85</v>
      </c>
      <c r="B87">
        <v>19910124</v>
      </c>
      <c r="C87" s="13">
        <v>1</v>
      </c>
      <c r="D87" s="9">
        <v>6.3E-2</v>
      </c>
      <c r="E87" s="13">
        <v>13</v>
      </c>
      <c r="F87">
        <v>6.4699999999999994E-2</v>
      </c>
      <c r="G87" s="13">
        <v>26</v>
      </c>
      <c r="H87">
        <v>7.7799999999999994E-2</v>
      </c>
      <c r="I87">
        <v>264</v>
      </c>
      <c r="J87">
        <v>8.5000000000000006E-2</v>
      </c>
      <c r="K87">
        <v>759.57140000000004</v>
      </c>
      <c r="L87">
        <v>8.3299999999999999E-2</v>
      </c>
      <c r="M87" s="13">
        <v>1307.5714</v>
      </c>
    </row>
    <row r="88" spans="1:13" x14ac:dyDescent="0.2">
      <c r="A88">
        <v>86</v>
      </c>
      <c r="B88">
        <v>19910131</v>
      </c>
      <c r="C88" s="13">
        <v>1</v>
      </c>
      <c r="D88" s="9">
        <v>6.3600000000000004E-2</v>
      </c>
      <c r="E88" s="13">
        <v>13</v>
      </c>
      <c r="F88">
        <v>6.5100000000000005E-2</v>
      </c>
      <c r="G88" s="13">
        <v>26</v>
      </c>
      <c r="H88">
        <v>7.8E-2</v>
      </c>
      <c r="I88">
        <v>263</v>
      </c>
      <c r="J88">
        <v>8.5099999999999995E-2</v>
      </c>
      <c r="K88">
        <v>758.57140000000004</v>
      </c>
      <c r="L88">
        <v>8.3400000000000002E-2</v>
      </c>
      <c r="M88" s="13">
        <v>1306.5714</v>
      </c>
    </row>
    <row r="89" spans="1:13" x14ac:dyDescent="0.2">
      <c r="A89">
        <v>87</v>
      </c>
      <c r="B89">
        <v>19910207</v>
      </c>
      <c r="C89" s="13">
        <v>1</v>
      </c>
      <c r="D89" s="9">
        <v>6.0600000000000001E-2</v>
      </c>
      <c r="E89" s="13">
        <v>13</v>
      </c>
      <c r="F89">
        <v>6.1199999999999997E-2</v>
      </c>
      <c r="G89" s="13">
        <v>26</v>
      </c>
      <c r="H89">
        <v>7.5899999999999995E-2</v>
      </c>
      <c r="I89">
        <v>262</v>
      </c>
      <c r="J89">
        <v>8.3299999999999999E-2</v>
      </c>
      <c r="K89">
        <v>757.57140000000004</v>
      </c>
      <c r="L89">
        <v>8.1299999999999997E-2</v>
      </c>
      <c r="M89" s="13">
        <v>1305.5714</v>
      </c>
    </row>
    <row r="90" spans="1:13" x14ac:dyDescent="0.2">
      <c r="A90">
        <v>88</v>
      </c>
      <c r="B90">
        <v>19910214</v>
      </c>
      <c r="C90" s="13">
        <v>1</v>
      </c>
      <c r="D90" s="9">
        <v>6.0100000000000001E-2</v>
      </c>
      <c r="E90" s="13">
        <v>13</v>
      </c>
      <c r="F90">
        <v>6.1100000000000002E-2</v>
      </c>
      <c r="G90" s="13">
        <v>26</v>
      </c>
      <c r="H90">
        <v>7.5300000000000006E-2</v>
      </c>
      <c r="I90">
        <v>261</v>
      </c>
      <c r="J90">
        <v>8.2699999999999996E-2</v>
      </c>
      <c r="K90">
        <v>756.57140000000004</v>
      </c>
      <c r="L90">
        <v>8.1000000000000003E-2</v>
      </c>
      <c r="M90" s="13">
        <v>1304.5714</v>
      </c>
    </row>
    <row r="91" spans="1:13" x14ac:dyDescent="0.2">
      <c r="A91">
        <v>89</v>
      </c>
      <c r="B91">
        <v>19910221</v>
      </c>
      <c r="C91" s="13">
        <v>1</v>
      </c>
      <c r="D91" s="9">
        <v>6.0900000000000003E-2</v>
      </c>
      <c r="E91" s="13">
        <v>13</v>
      </c>
      <c r="F91">
        <v>6.1600000000000002E-2</v>
      </c>
      <c r="G91" s="13">
        <v>26</v>
      </c>
      <c r="H91">
        <v>7.5600000000000001E-2</v>
      </c>
      <c r="I91">
        <v>260</v>
      </c>
      <c r="J91">
        <v>8.3299999999999999E-2</v>
      </c>
      <c r="K91">
        <v>755.57140000000004</v>
      </c>
      <c r="L91">
        <v>8.1600000000000006E-2</v>
      </c>
      <c r="M91" s="13">
        <v>1303.5714</v>
      </c>
    </row>
    <row r="92" spans="1:13" x14ac:dyDescent="0.2">
      <c r="A92">
        <v>90</v>
      </c>
      <c r="B92">
        <v>19910228</v>
      </c>
      <c r="C92" s="13">
        <v>1</v>
      </c>
      <c r="D92" s="9">
        <v>6.1899999999999997E-2</v>
      </c>
      <c r="E92" s="13">
        <v>13</v>
      </c>
      <c r="F92">
        <v>6.2600000000000003E-2</v>
      </c>
      <c r="G92" s="13">
        <v>26</v>
      </c>
      <c r="H92">
        <v>7.6899999999999996E-2</v>
      </c>
      <c r="I92">
        <v>259</v>
      </c>
      <c r="J92">
        <v>8.4500000000000006E-2</v>
      </c>
      <c r="K92">
        <v>754.57140000000004</v>
      </c>
      <c r="L92">
        <v>8.2900000000000001E-2</v>
      </c>
      <c r="M92" s="13">
        <v>1302.5714</v>
      </c>
    </row>
    <row r="93" spans="1:13" x14ac:dyDescent="0.2">
      <c r="A93">
        <v>91</v>
      </c>
      <c r="B93">
        <v>19910307</v>
      </c>
      <c r="C93" s="13">
        <v>1</v>
      </c>
      <c r="D93" s="9">
        <v>6.2399999999999997E-2</v>
      </c>
      <c r="E93" s="13">
        <v>13</v>
      </c>
      <c r="F93">
        <v>6.3200000000000006E-2</v>
      </c>
      <c r="G93" s="13">
        <v>26</v>
      </c>
      <c r="H93">
        <v>7.8200000000000006E-2</v>
      </c>
      <c r="I93">
        <v>258</v>
      </c>
      <c r="J93">
        <v>8.5999999999999993E-2</v>
      </c>
      <c r="K93">
        <v>753.57140000000004</v>
      </c>
      <c r="L93">
        <v>8.48E-2</v>
      </c>
      <c r="M93" s="13">
        <v>1301.5714</v>
      </c>
    </row>
    <row r="94" spans="1:13" x14ac:dyDescent="0.2">
      <c r="A94">
        <v>92</v>
      </c>
      <c r="B94">
        <v>19910314</v>
      </c>
      <c r="C94" s="13">
        <v>1</v>
      </c>
      <c r="D94" s="9">
        <v>5.9799999999999999E-2</v>
      </c>
      <c r="E94" s="13">
        <v>13</v>
      </c>
      <c r="F94">
        <v>6.0999999999999999E-2</v>
      </c>
      <c r="G94" s="13">
        <v>26</v>
      </c>
      <c r="H94">
        <v>7.7399999999999997E-2</v>
      </c>
      <c r="I94">
        <v>251</v>
      </c>
      <c r="J94">
        <v>8.5400000000000004E-2</v>
      </c>
      <c r="K94">
        <v>752.57140000000004</v>
      </c>
      <c r="L94">
        <v>8.3799999999999999E-2</v>
      </c>
      <c r="M94" s="13">
        <v>1300.5714</v>
      </c>
    </row>
    <row r="95" spans="1:13" x14ac:dyDescent="0.2">
      <c r="A95">
        <v>93</v>
      </c>
      <c r="B95">
        <v>19910321</v>
      </c>
      <c r="C95" s="13">
        <v>1</v>
      </c>
      <c r="D95" s="9">
        <v>6.0299999999999999E-2</v>
      </c>
      <c r="E95" s="13">
        <v>13</v>
      </c>
      <c r="F95">
        <v>6.1600000000000002E-2</v>
      </c>
      <c r="G95" s="13">
        <v>26</v>
      </c>
      <c r="H95">
        <v>7.9100000000000004E-2</v>
      </c>
      <c r="I95">
        <v>256</v>
      </c>
      <c r="J95">
        <v>8.6900000000000005E-2</v>
      </c>
      <c r="K95">
        <v>751.57140000000004</v>
      </c>
      <c r="L95">
        <v>8.5500000000000007E-2</v>
      </c>
      <c r="M95" s="13">
        <v>1299.5714</v>
      </c>
    </row>
    <row r="96" spans="1:13" x14ac:dyDescent="0.2">
      <c r="A96">
        <v>94</v>
      </c>
      <c r="B96">
        <v>19910328</v>
      </c>
      <c r="C96" s="13">
        <v>1</v>
      </c>
      <c r="D96" s="9">
        <v>5.9499999999999997E-2</v>
      </c>
      <c r="E96" s="13">
        <v>13</v>
      </c>
      <c r="F96">
        <v>6.0299999999999999E-2</v>
      </c>
      <c r="G96" s="13">
        <v>26</v>
      </c>
      <c r="H96">
        <v>7.7799999999999994E-2</v>
      </c>
      <c r="I96">
        <v>255</v>
      </c>
      <c r="J96">
        <v>8.5599999999999996E-2</v>
      </c>
      <c r="K96">
        <v>750.57140000000004</v>
      </c>
      <c r="L96">
        <v>8.4199999999999997E-2</v>
      </c>
      <c r="M96" s="13">
        <v>1298.5714</v>
      </c>
    </row>
    <row r="97" spans="1:13" x14ac:dyDescent="0.2">
      <c r="A97">
        <v>95</v>
      </c>
      <c r="B97">
        <v>19910404</v>
      </c>
      <c r="C97" s="13">
        <v>1</v>
      </c>
      <c r="D97" s="9">
        <v>5.9200000000000003E-2</v>
      </c>
      <c r="E97" s="13">
        <v>13.142899999999999</v>
      </c>
      <c r="F97">
        <v>6.0400000000000002E-2</v>
      </c>
      <c r="G97" s="13">
        <v>26</v>
      </c>
      <c r="H97">
        <v>7.8200000000000006E-2</v>
      </c>
      <c r="I97">
        <v>266.8571</v>
      </c>
      <c r="J97">
        <v>8.5199999999999998E-2</v>
      </c>
      <c r="K97">
        <v>749.57140000000004</v>
      </c>
      <c r="L97">
        <v>8.3199999999999996E-2</v>
      </c>
      <c r="M97" s="13">
        <v>1297.5714</v>
      </c>
    </row>
    <row r="98" spans="1:13" x14ac:dyDescent="0.2">
      <c r="A98">
        <v>96</v>
      </c>
      <c r="B98">
        <v>19910411</v>
      </c>
      <c r="C98" s="13">
        <v>1</v>
      </c>
      <c r="D98" s="9">
        <v>5.7500000000000002E-2</v>
      </c>
      <c r="E98" s="13">
        <v>13</v>
      </c>
      <c r="F98">
        <v>5.9400000000000001E-2</v>
      </c>
      <c r="G98" s="13">
        <v>26</v>
      </c>
      <c r="H98">
        <v>7.9200000000000007E-2</v>
      </c>
      <c r="I98">
        <v>265.8571</v>
      </c>
      <c r="J98">
        <v>8.5699999999999998E-2</v>
      </c>
      <c r="K98">
        <v>748.57140000000004</v>
      </c>
      <c r="L98">
        <v>8.3900000000000002E-2</v>
      </c>
      <c r="M98" s="13">
        <v>1309.4286</v>
      </c>
    </row>
    <row r="99" spans="1:13" x14ac:dyDescent="0.2">
      <c r="A99">
        <v>97</v>
      </c>
      <c r="B99">
        <v>19910418</v>
      </c>
      <c r="C99" s="13">
        <v>1</v>
      </c>
      <c r="D99" s="9">
        <v>5.7000000000000002E-2</v>
      </c>
      <c r="E99" s="13">
        <v>12.857100000000001</v>
      </c>
      <c r="F99">
        <v>5.8700000000000002E-2</v>
      </c>
      <c r="G99" s="13">
        <v>25.857099999999999</v>
      </c>
      <c r="H99">
        <v>7.8E-2</v>
      </c>
      <c r="I99">
        <v>264.8571</v>
      </c>
      <c r="J99">
        <v>8.4000000000000005E-2</v>
      </c>
      <c r="K99">
        <v>747.57140000000004</v>
      </c>
      <c r="L99">
        <v>8.2000000000000003E-2</v>
      </c>
      <c r="M99" s="13">
        <v>1308.4286</v>
      </c>
    </row>
    <row r="100" spans="1:13" x14ac:dyDescent="0.2">
      <c r="A100">
        <v>98</v>
      </c>
      <c r="B100">
        <v>19910425</v>
      </c>
      <c r="C100" s="13">
        <v>1</v>
      </c>
      <c r="D100" s="9">
        <v>5.8000000000000003E-2</v>
      </c>
      <c r="E100" s="13">
        <v>13</v>
      </c>
      <c r="F100">
        <v>5.9499999999999997E-2</v>
      </c>
      <c r="G100" s="13">
        <v>26</v>
      </c>
      <c r="H100">
        <v>7.8899999999999998E-2</v>
      </c>
      <c r="I100">
        <v>263.8571</v>
      </c>
      <c r="J100">
        <v>8.5199999999999998E-2</v>
      </c>
      <c r="K100">
        <v>746.57140000000004</v>
      </c>
      <c r="L100">
        <v>8.3099999999999993E-2</v>
      </c>
      <c r="M100" s="13">
        <v>1307.4286</v>
      </c>
    </row>
    <row r="101" spans="1:13" x14ac:dyDescent="0.2">
      <c r="A101">
        <v>99</v>
      </c>
      <c r="B101">
        <v>19910502</v>
      </c>
      <c r="C101" s="13">
        <v>1</v>
      </c>
      <c r="D101" s="9">
        <v>5.67E-2</v>
      </c>
      <c r="E101" s="13">
        <v>13</v>
      </c>
      <c r="F101">
        <v>5.8200000000000002E-2</v>
      </c>
      <c r="G101" s="13">
        <v>26</v>
      </c>
      <c r="H101">
        <v>7.8E-2</v>
      </c>
      <c r="I101">
        <v>262.8571</v>
      </c>
      <c r="J101">
        <v>8.48E-2</v>
      </c>
      <c r="K101">
        <v>745.57140000000004</v>
      </c>
      <c r="L101">
        <v>8.2699999999999996E-2</v>
      </c>
      <c r="M101" s="13">
        <v>1306.4286</v>
      </c>
    </row>
    <row r="102" spans="1:13" x14ac:dyDescent="0.2">
      <c r="A102">
        <v>100</v>
      </c>
      <c r="B102">
        <v>19910509</v>
      </c>
      <c r="C102" s="13">
        <v>1</v>
      </c>
      <c r="D102" s="9">
        <v>5.6300000000000003E-2</v>
      </c>
      <c r="E102" s="13">
        <v>13</v>
      </c>
      <c r="F102">
        <v>5.8799999999999998E-2</v>
      </c>
      <c r="G102" s="13">
        <v>26</v>
      </c>
      <c r="H102">
        <v>7.85E-2</v>
      </c>
      <c r="I102">
        <v>261.8571</v>
      </c>
      <c r="J102">
        <v>8.5300000000000001E-2</v>
      </c>
      <c r="K102">
        <v>744.57140000000004</v>
      </c>
      <c r="L102">
        <v>8.3299999999999999E-2</v>
      </c>
      <c r="M102" s="13">
        <v>1305.4286</v>
      </c>
    </row>
    <row r="103" spans="1:13" x14ac:dyDescent="0.2">
      <c r="A103">
        <v>101</v>
      </c>
      <c r="B103">
        <v>19910516</v>
      </c>
      <c r="C103" s="13">
        <v>1</v>
      </c>
      <c r="D103" s="9">
        <v>5.5800000000000002E-2</v>
      </c>
      <c r="E103" s="13">
        <v>13</v>
      </c>
      <c r="F103">
        <v>5.8400000000000001E-2</v>
      </c>
      <c r="G103" s="13">
        <v>26</v>
      </c>
      <c r="H103">
        <v>7.9399999999999998E-2</v>
      </c>
      <c r="I103">
        <v>260.8571</v>
      </c>
      <c r="J103">
        <v>8.6499999999999994E-2</v>
      </c>
      <c r="K103">
        <v>743.57140000000004</v>
      </c>
      <c r="L103">
        <v>8.4599999999999995E-2</v>
      </c>
      <c r="M103" s="13">
        <v>1304.4286</v>
      </c>
    </row>
    <row r="104" spans="1:13" x14ac:dyDescent="0.2">
      <c r="A104">
        <v>102</v>
      </c>
      <c r="B104">
        <v>19910523</v>
      </c>
      <c r="C104" s="13">
        <v>1</v>
      </c>
      <c r="D104" s="9">
        <v>5.5899999999999998E-2</v>
      </c>
      <c r="E104" s="13">
        <v>13</v>
      </c>
      <c r="F104">
        <v>5.8700000000000002E-2</v>
      </c>
      <c r="G104" s="13">
        <v>26</v>
      </c>
      <c r="H104">
        <v>7.8799999999999995E-2</v>
      </c>
      <c r="I104">
        <v>259.8571</v>
      </c>
      <c r="J104">
        <v>8.5800000000000001E-2</v>
      </c>
      <c r="K104">
        <v>742.57140000000004</v>
      </c>
      <c r="L104">
        <v>8.3799999999999999E-2</v>
      </c>
      <c r="M104" s="13">
        <v>1303.4286</v>
      </c>
    </row>
    <row r="105" spans="1:13" x14ac:dyDescent="0.2">
      <c r="A105">
        <v>103</v>
      </c>
      <c r="B105">
        <v>19910530</v>
      </c>
      <c r="C105" s="13">
        <v>1</v>
      </c>
      <c r="D105" s="9">
        <v>5.5800000000000002E-2</v>
      </c>
      <c r="E105" s="13">
        <v>13</v>
      </c>
      <c r="F105">
        <v>5.8500000000000003E-2</v>
      </c>
      <c r="G105" s="13">
        <v>26.142900000000001</v>
      </c>
      <c r="H105">
        <v>7.8399999999999997E-2</v>
      </c>
      <c r="I105">
        <v>258.8571</v>
      </c>
      <c r="J105">
        <v>8.5999999999999993E-2</v>
      </c>
      <c r="K105">
        <v>741.57140000000004</v>
      </c>
      <c r="L105">
        <v>8.4099999999999994E-2</v>
      </c>
      <c r="M105" s="13">
        <v>1302.4286</v>
      </c>
    </row>
    <row r="106" spans="1:13" x14ac:dyDescent="0.2">
      <c r="A106">
        <v>104</v>
      </c>
      <c r="B106">
        <v>19910606</v>
      </c>
      <c r="C106" s="13">
        <v>1</v>
      </c>
      <c r="D106" s="9">
        <v>5.74E-2</v>
      </c>
      <c r="E106" s="13">
        <v>13</v>
      </c>
      <c r="F106">
        <v>5.9799999999999999E-2</v>
      </c>
      <c r="G106" s="13">
        <v>26</v>
      </c>
      <c r="H106">
        <v>8.0100000000000005E-2</v>
      </c>
      <c r="I106">
        <v>257.8571</v>
      </c>
      <c r="J106">
        <v>8.6999999999999994E-2</v>
      </c>
      <c r="K106">
        <v>740.57140000000004</v>
      </c>
      <c r="L106">
        <v>8.5000000000000006E-2</v>
      </c>
      <c r="M106" s="13">
        <v>1301.4286</v>
      </c>
    </row>
    <row r="107" spans="1:13" x14ac:dyDescent="0.2">
      <c r="A107">
        <v>105</v>
      </c>
      <c r="B107">
        <v>19910613</v>
      </c>
      <c r="C107" s="13">
        <v>1</v>
      </c>
      <c r="D107" s="9">
        <v>5.7099999999999998E-2</v>
      </c>
      <c r="E107" s="13">
        <v>13</v>
      </c>
      <c r="F107">
        <v>6.0499999999999998E-2</v>
      </c>
      <c r="G107" s="13">
        <v>26</v>
      </c>
      <c r="H107">
        <v>8.1900000000000001E-2</v>
      </c>
      <c r="I107">
        <v>256.8571</v>
      </c>
      <c r="J107">
        <v>8.8499999999999995E-2</v>
      </c>
      <c r="K107">
        <v>739.57140000000004</v>
      </c>
      <c r="L107">
        <v>8.6599999999999996E-2</v>
      </c>
      <c r="M107" s="13">
        <v>1300.4286</v>
      </c>
    </row>
    <row r="108" spans="1:13" x14ac:dyDescent="0.2">
      <c r="A108">
        <v>106</v>
      </c>
      <c r="B108">
        <v>19910620</v>
      </c>
      <c r="C108" s="13">
        <v>1</v>
      </c>
      <c r="D108" s="9">
        <v>5.7200000000000001E-2</v>
      </c>
      <c r="E108" s="13">
        <v>13</v>
      </c>
      <c r="F108">
        <v>5.9799999999999999E-2</v>
      </c>
      <c r="G108" s="13">
        <v>26</v>
      </c>
      <c r="H108">
        <v>8.1299999999999997E-2</v>
      </c>
      <c r="I108">
        <v>255.8571</v>
      </c>
      <c r="J108">
        <v>8.8099999999999998E-2</v>
      </c>
      <c r="K108">
        <v>738.57140000000004</v>
      </c>
      <c r="L108">
        <v>8.6400000000000005E-2</v>
      </c>
      <c r="M108" s="13">
        <v>1299.4286</v>
      </c>
    </row>
    <row r="109" spans="1:13" x14ac:dyDescent="0.2">
      <c r="A109">
        <v>107</v>
      </c>
      <c r="B109">
        <v>19910627</v>
      </c>
      <c r="C109" s="13">
        <v>1</v>
      </c>
      <c r="D109" s="9">
        <v>5.7000000000000002E-2</v>
      </c>
      <c r="E109" s="13">
        <v>13</v>
      </c>
      <c r="F109">
        <v>0.06</v>
      </c>
      <c r="G109" s="13">
        <v>26</v>
      </c>
      <c r="H109">
        <v>8.1699999999999995E-2</v>
      </c>
      <c r="I109">
        <v>254.8571</v>
      </c>
      <c r="J109">
        <v>8.8099999999999998E-2</v>
      </c>
      <c r="K109">
        <v>737.57140000000004</v>
      </c>
      <c r="L109">
        <v>8.6599999999999996E-2</v>
      </c>
      <c r="M109" s="13">
        <v>1298.4286</v>
      </c>
    </row>
    <row r="110" spans="1:13" x14ac:dyDescent="0.2">
      <c r="A110">
        <v>108</v>
      </c>
      <c r="B110">
        <v>19910705</v>
      </c>
      <c r="C110" s="13">
        <v>1.142857</v>
      </c>
      <c r="D110" s="9">
        <v>5.7099999999999998E-2</v>
      </c>
      <c r="E110" s="13">
        <v>12.857100000000001</v>
      </c>
      <c r="F110">
        <v>5.9299999999999999E-2</v>
      </c>
      <c r="G110" s="13">
        <v>26.285699999999999</v>
      </c>
      <c r="H110">
        <v>8.1000000000000003E-2</v>
      </c>
      <c r="I110">
        <v>253.71430000000001</v>
      </c>
      <c r="J110">
        <v>8.6900000000000005E-2</v>
      </c>
      <c r="K110">
        <v>736.42859999999996</v>
      </c>
      <c r="L110">
        <v>8.5699999999999998E-2</v>
      </c>
      <c r="M110" s="13">
        <v>1297.2856999999999</v>
      </c>
    </row>
    <row r="111" spans="1:13" x14ac:dyDescent="0.2">
      <c r="A111">
        <v>109</v>
      </c>
      <c r="B111">
        <v>19910711</v>
      </c>
      <c r="C111" s="13">
        <v>0.85714299999999999</v>
      </c>
      <c r="D111" s="9">
        <v>5.7299999999999997E-2</v>
      </c>
      <c r="E111" s="13">
        <v>13</v>
      </c>
      <c r="F111">
        <v>5.9299999999999999E-2</v>
      </c>
      <c r="G111" s="13">
        <v>26</v>
      </c>
      <c r="H111">
        <v>8.1699999999999995E-2</v>
      </c>
      <c r="I111">
        <v>252.8571</v>
      </c>
      <c r="J111">
        <v>8.7900000000000006E-2</v>
      </c>
      <c r="K111">
        <v>735.57140000000004</v>
      </c>
      <c r="L111">
        <v>8.6699999999999999E-2</v>
      </c>
      <c r="M111" s="13">
        <v>1296.4286</v>
      </c>
    </row>
    <row r="112" spans="1:13" x14ac:dyDescent="0.2">
      <c r="A112">
        <v>110</v>
      </c>
      <c r="B112">
        <v>19910718</v>
      </c>
      <c r="C112" s="13">
        <v>1</v>
      </c>
      <c r="D112" s="9">
        <v>5.7599999999999998E-2</v>
      </c>
      <c r="E112" s="13">
        <v>13</v>
      </c>
      <c r="F112">
        <v>5.9900000000000002E-2</v>
      </c>
      <c r="G112" s="13">
        <v>26</v>
      </c>
      <c r="H112">
        <v>8.1100000000000005E-2</v>
      </c>
      <c r="I112">
        <v>251.8571</v>
      </c>
      <c r="J112">
        <v>8.7400000000000005E-2</v>
      </c>
      <c r="K112">
        <v>734.57140000000004</v>
      </c>
      <c r="L112">
        <v>8.6599999999999996E-2</v>
      </c>
      <c r="M112" s="13">
        <v>1295.4286</v>
      </c>
    </row>
    <row r="113" spans="1:13" x14ac:dyDescent="0.2">
      <c r="A113">
        <v>111</v>
      </c>
      <c r="B113">
        <v>19910725</v>
      </c>
      <c r="C113" s="13">
        <v>1</v>
      </c>
      <c r="D113" s="9">
        <v>5.7200000000000001E-2</v>
      </c>
      <c r="E113" s="13">
        <v>13</v>
      </c>
      <c r="F113">
        <v>5.9400000000000001E-2</v>
      </c>
      <c r="G113" s="13">
        <v>26</v>
      </c>
      <c r="H113">
        <v>7.9699999999999993E-2</v>
      </c>
      <c r="I113">
        <v>250.8571</v>
      </c>
      <c r="J113">
        <v>8.6199999999999999E-2</v>
      </c>
      <c r="K113">
        <v>733.57140000000004</v>
      </c>
      <c r="L113">
        <v>8.5699999999999998E-2</v>
      </c>
      <c r="M113" s="13">
        <v>1294.4286</v>
      </c>
    </row>
    <row r="114" spans="1:13" x14ac:dyDescent="0.2">
      <c r="A114">
        <v>112</v>
      </c>
      <c r="B114">
        <v>19910801</v>
      </c>
      <c r="C114" s="13">
        <v>1</v>
      </c>
      <c r="D114" s="9">
        <v>5.6800000000000003E-2</v>
      </c>
      <c r="E114" s="13">
        <v>13</v>
      </c>
      <c r="F114">
        <v>5.8999999999999997E-2</v>
      </c>
      <c r="G114" s="13">
        <v>26</v>
      </c>
      <c r="H114">
        <v>7.8600000000000003E-2</v>
      </c>
      <c r="I114">
        <v>249.8571</v>
      </c>
      <c r="J114">
        <v>8.5699999999999998E-2</v>
      </c>
      <c r="K114">
        <v>732.57140000000004</v>
      </c>
      <c r="L114">
        <v>8.4900000000000003E-2</v>
      </c>
      <c r="M114" s="13">
        <v>1319.7143000000001</v>
      </c>
    </row>
    <row r="115" spans="1:13" x14ac:dyDescent="0.2">
      <c r="A115">
        <v>113</v>
      </c>
      <c r="B115">
        <v>19910808</v>
      </c>
      <c r="C115" s="13">
        <v>1</v>
      </c>
      <c r="D115" s="9">
        <v>5.5199999999999999E-2</v>
      </c>
      <c r="E115" s="13">
        <v>13</v>
      </c>
      <c r="F115">
        <v>5.6599999999999998E-2</v>
      </c>
      <c r="G115" s="13">
        <v>26</v>
      </c>
      <c r="H115">
        <v>7.6100000000000001E-2</v>
      </c>
      <c r="I115">
        <v>248.8571</v>
      </c>
      <c r="J115">
        <v>8.4000000000000005E-2</v>
      </c>
      <c r="K115">
        <v>731.57140000000004</v>
      </c>
      <c r="L115">
        <v>8.3099999999999993E-2</v>
      </c>
      <c r="M115" s="13">
        <v>1318.7143000000001</v>
      </c>
    </row>
    <row r="116" spans="1:13" x14ac:dyDescent="0.2">
      <c r="A116">
        <v>114</v>
      </c>
      <c r="B116">
        <v>19910815</v>
      </c>
      <c r="C116" s="13">
        <v>1</v>
      </c>
      <c r="D116" s="9">
        <v>5.4300000000000001E-2</v>
      </c>
      <c r="E116" s="13">
        <v>13</v>
      </c>
      <c r="F116">
        <v>5.5599999999999997E-2</v>
      </c>
      <c r="G116" s="13">
        <v>26</v>
      </c>
      <c r="H116">
        <v>7.46E-2</v>
      </c>
      <c r="I116">
        <v>247.8571</v>
      </c>
      <c r="J116">
        <v>8.3500000000000005E-2</v>
      </c>
      <c r="K116">
        <v>730.57140000000004</v>
      </c>
      <c r="L116">
        <v>8.2600000000000007E-2</v>
      </c>
      <c r="M116" s="13">
        <v>1317.7143000000001</v>
      </c>
    </row>
    <row r="117" spans="1:13" x14ac:dyDescent="0.2">
      <c r="A117">
        <v>115</v>
      </c>
      <c r="B117">
        <v>19910822</v>
      </c>
      <c r="C117" s="13">
        <v>1</v>
      </c>
      <c r="D117" s="9">
        <v>5.3999999999999999E-2</v>
      </c>
      <c r="E117" s="13">
        <v>13</v>
      </c>
      <c r="F117">
        <v>5.4899999999999997E-2</v>
      </c>
      <c r="G117" s="13">
        <v>26</v>
      </c>
      <c r="H117">
        <v>7.3599999999999999E-2</v>
      </c>
      <c r="I117">
        <v>246.8571</v>
      </c>
      <c r="J117">
        <v>8.3400000000000002E-2</v>
      </c>
      <c r="K117">
        <v>729.57140000000004</v>
      </c>
      <c r="L117">
        <v>8.2900000000000001E-2</v>
      </c>
      <c r="M117" s="13">
        <v>1316.7143000000001</v>
      </c>
    </row>
    <row r="118" spans="1:13" x14ac:dyDescent="0.2">
      <c r="A118">
        <v>116</v>
      </c>
      <c r="B118">
        <v>19910829</v>
      </c>
      <c r="C118" s="13">
        <v>1</v>
      </c>
      <c r="D118" s="9">
        <v>5.4399999999999997E-2</v>
      </c>
      <c r="E118" s="13">
        <v>13.142899999999999</v>
      </c>
      <c r="F118">
        <v>5.5399999999999998E-2</v>
      </c>
      <c r="G118" s="13">
        <v>26</v>
      </c>
      <c r="H118">
        <v>7.4099999999999999E-2</v>
      </c>
      <c r="I118">
        <v>245.8571</v>
      </c>
      <c r="J118">
        <v>8.3199999999999996E-2</v>
      </c>
      <c r="K118">
        <v>728.57140000000004</v>
      </c>
      <c r="L118">
        <v>8.2600000000000007E-2</v>
      </c>
      <c r="M118" s="13">
        <v>1315.7143000000001</v>
      </c>
    </row>
    <row r="119" spans="1:13" x14ac:dyDescent="0.2">
      <c r="A119">
        <v>117</v>
      </c>
      <c r="B119">
        <v>19910905</v>
      </c>
      <c r="C119" s="13">
        <v>1</v>
      </c>
      <c r="D119" s="9">
        <v>5.4699999999999999E-2</v>
      </c>
      <c r="E119" s="13">
        <v>13</v>
      </c>
      <c r="F119">
        <v>5.5899999999999998E-2</v>
      </c>
      <c r="G119" s="13">
        <v>26</v>
      </c>
      <c r="H119">
        <v>7.5300000000000006E-2</v>
      </c>
      <c r="I119">
        <v>271.1429</v>
      </c>
      <c r="J119">
        <v>8.3299999999999999E-2</v>
      </c>
      <c r="K119">
        <v>727.57140000000004</v>
      </c>
      <c r="L119">
        <v>8.2600000000000007E-2</v>
      </c>
      <c r="M119" s="13">
        <v>1314.7143000000001</v>
      </c>
    </row>
    <row r="120" spans="1:13" x14ac:dyDescent="0.2">
      <c r="A120">
        <v>118</v>
      </c>
      <c r="B120">
        <v>19910912</v>
      </c>
      <c r="C120" s="13">
        <v>1</v>
      </c>
      <c r="D120" s="9">
        <v>5.3999999999999999E-2</v>
      </c>
      <c r="E120" s="13">
        <v>13</v>
      </c>
      <c r="F120">
        <v>5.4800000000000001E-2</v>
      </c>
      <c r="G120" s="13">
        <v>26</v>
      </c>
      <c r="H120">
        <v>7.4399999999999994E-2</v>
      </c>
      <c r="I120">
        <v>270.1429</v>
      </c>
      <c r="J120">
        <v>8.2900000000000001E-2</v>
      </c>
      <c r="K120">
        <v>726.57140000000004</v>
      </c>
      <c r="L120">
        <v>8.2500000000000004E-2</v>
      </c>
      <c r="M120" s="13">
        <v>1313.7143000000001</v>
      </c>
    </row>
    <row r="121" spans="1:13" x14ac:dyDescent="0.2">
      <c r="A121">
        <v>119</v>
      </c>
      <c r="B121">
        <v>19910919</v>
      </c>
      <c r="C121" s="13">
        <v>1</v>
      </c>
      <c r="D121" s="9">
        <v>5.2999999999999999E-2</v>
      </c>
      <c r="E121" s="13">
        <v>13</v>
      </c>
      <c r="F121">
        <v>5.4300000000000001E-2</v>
      </c>
      <c r="G121" s="13">
        <v>26</v>
      </c>
      <c r="H121">
        <v>7.3200000000000001E-2</v>
      </c>
      <c r="I121">
        <v>269.1429</v>
      </c>
      <c r="J121">
        <v>8.1900000000000001E-2</v>
      </c>
      <c r="K121">
        <v>725.57140000000004</v>
      </c>
      <c r="L121">
        <v>8.1699999999999995E-2</v>
      </c>
      <c r="M121" s="13">
        <v>1312.7143000000001</v>
      </c>
    </row>
    <row r="122" spans="1:13" x14ac:dyDescent="0.2">
      <c r="A122">
        <v>120</v>
      </c>
      <c r="B122">
        <v>19910926</v>
      </c>
      <c r="C122" s="13">
        <v>1</v>
      </c>
      <c r="D122" s="9">
        <v>5.2999999999999999E-2</v>
      </c>
      <c r="E122" s="13">
        <v>13</v>
      </c>
      <c r="F122">
        <v>5.4300000000000001E-2</v>
      </c>
      <c r="G122" s="13">
        <v>26</v>
      </c>
      <c r="H122">
        <v>7.2999999999999995E-2</v>
      </c>
      <c r="I122">
        <v>268.1429</v>
      </c>
      <c r="J122">
        <v>8.1299999999999997E-2</v>
      </c>
      <c r="K122">
        <v>724.57140000000004</v>
      </c>
      <c r="L122">
        <v>8.1500000000000003E-2</v>
      </c>
      <c r="M122" s="13">
        <v>1311.7143000000001</v>
      </c>
    </row>
    <row r="123" spans="1:13" x14ac:dyDescent="0.2">
      <c r="A123">
        <v>121</v>
      </c>
      <c r="B123">
        <v>19911003</v>
      </c>
      <c r="C123" s="13">
        <v>1</v>
      </c>
      <c r="D123" s="9">
        <v>5.2200000000000003E-2</v>
      </c>
      <c r="E123" s="13">
        <v>13</v>
      </c>
      <c r="F123">
        <v>5.3400000000000003E-2</v>
      </c>
      <c r="G123" s="13">
        <v>26</v>
      </c>
      <c r="H123">
        <v>7.0099999999999996E-2</v>
      </c>
      <c r="I123">
        <v>267.1429</v>
      </c>
      <c r="J123">
        <v>8.0399999999999999E-2</v>
      </c>
      <c r="K123">
        <v>723.57140000000004</v>
      </c>
      <c r="L123">
        <v>8.1100000000000005E-2</v>
      </c>
      <c r="M123" s="13">
        <v>1310.7143000000001</v>
      </c>
    </row>
    <row r="124" spans="1:13" x14ac:dyDescent="0.2">
      <c r="A124">
        <v>122</v>
      </c>
      <c r="B124">
        <v>19911010</v>
      </c>
      <c r="C124" s="13">
        <v>1</v>
      </c>
      <c r="D124" s="9">
        <v>5.1400000000000001E-2</v>
      </c>
      <c r="E124" s="13">
        <v>13</v>
      </c>
      <c r="F124">
        <v>5.2600000000000001E-2</v>
      </c>
      <c r="G124" s="13">
        <v>26</v>
      </c>
      <c r="H124">
        <v>6.9699999999999998E-2</v>
      </c>
      <c r="I124">
        <v>266.1429</v>
      </c>
      <c r="J124">
        <v>8.1199999999999994E-2</v>
      </c>
      <c r="K124">
        <v>722.57140000000004</v>
      </c>
      <c r="L124">
        <v>8.2699999999999996E-2</v>
      </c>
      <c r="M124" s="13">
        <v>1309.7143000000001</v>
      </c>
    </row>
    <row r="125" spans="1:13" x14ac:dyDescent="0.2">
      <c r="A125">
        <v>123</v>
      </c>
      <c r="B125">
        <v>19911017</v>
      </c>
      <c r="C125" s="13">
        <v>1</v>
      </c>
      <c r="D125" s="9">
        <v>5.0799999999999998E-2</v>
      </c>
      <c r="E125" s="13">
        <v>13</v>
      </c>
      <c r="F125">
        <v>5.1900000000000002E-2</v>
      </c>
      <c r="G125" s="13">
        <v>26</v>
      </c>
      <c r="H125">
        <v>6.88E-2</v>
      </c>
      <c r="I125">
        <v>265.1429</v>
      </c>
      <c r="J125">
        <v>8.0699999999999994E-2</v>
      </c>
      <c r="K125">
        <v>721.57140000000004</v>
      </c>
      <c r="L125">
        <v>8.2900000000000001E-2</v>
      </c>
      <c r="M125" s="13">
        <v>1308.7143000000001</v>
      </c>
    </row>
    <row r="126" spans="1:13" x14ac:dyDescent="0.2">
      <c r="A126">
        <v>124</v>
      </c>
      <c r="B126">
        <v>19911024</v>
      </c>
      <c r="C126" s="13">
        <v>1</v>
      </c>
      <c r="D126" s="9">
        <v>5.1700000000000003E-2</v>
      </c>
      <c r="E126" s="13">
        <v>13</v>
      </c>
      <c r="F126">
        <v>5.3100000000000001E-2</v>
      </c>
      <c r="G126" s="13">
        <v>26</v>
      </c>
      <c r="H126">
        <v>7.0800000000000002E-2</v>
      </c>
      <c r="I126">
        <v>264.1429</v>
      </c>
      <c r="J126">
        <v>8.2600000000000007E-2</v>
      </c>
      <c r="K126">
        <v>720.57140000000004</v>
      </c>
      <c r="L126">
        <v>8.43E-2</v>
      </c>
      <c r="M126" s="13">
        <v>1307.7143000000001</v>
      </c>
    </row>
    <row r="127" spans="1:13" x14ac:dyDescent="0.2">
      <c r="A127">
        <v>125</v>
      </c>
      <c r="B127">
        <v>19911031</v>
      </c>
      <c r="C127" s="13">
        <v>1</v>
      </c>
      <c r="D127" s="9">
        <v>4.9599999999999998E-2</v>
      </c>
      <c r="E127" s="13">
        <v>13</v>
      </c>
      <c r="F127">
        <v>5.04E-2</v>
      </c>
      <c r="G127" s="13">
        <v>26</v>
      </c>
      <c r="H127">
        <v>6.8900000000000003E-2</v>
      </c>
      <c r="I127">
        <v>263.1429</v>
      </c>
      <c r="J127">
        <v>8.1500000000000003E-2</v>
      </c>
      <c r="K127">
        <v>719.57140000000004</v>
      </c>
      <c r="L127">
        <v>8.2000000000000003E-2</v>
      </c>
      <c r="M127" s="13">
        <v>1306.7143000000001</v>
      </c>
    </row>
    <row r="128" spans="1:13" x14ac:dyDescent="0.2">
      <c r="A128">
        <v>126</v>
      </c>
      <c r="B128">
        <v>19911107</v>
      </c>
      <c r="C128" s="13">
        <v>1</v>
      </c>
      <c r="D128" s="9">
        <v>4.7399999999999998E-2</v>
      </c>
      <c r="E128" s="13">
        <v>13</v>
      </c>
      <c r="F128">
        <v>4.87E-2</v>
      </c>
      <c r="G128" s="13">
        <v>26</v>
      </c>
      <c r="H128">
        <v>6.8199999999999997E-2</v>
      </c>
      <c r="I128">
        <v>262.1429</v>
      </c>
      <c r="J128">
        <v>8.1900000000000001E-2</v>
      </c>
      <c r="K128">
        <v>718.57140000000004</v>
      </c>
      <c r="L128">
        <v>8.3599999999999994E-2</v>
      </c>
      <c r="M128" s="13">
        <v>1305.7143000000001</v>
      </c>
    </row>
    <row r="129" spans="1:13" x14ac:dyDescent="0.2">
      <c r="A129">
        <v>127</v>
      </c>
      <c r="B129">
        <v>19911114</v>
      </c>
      <c r="C129" s="13">
        <v>1</v>
      </c>
      <c r="D129" s="9">
        <v>4.7300000000000002E-2</v>
      </c>
      <c r="E129" s="13">
        <v>13</v>
      </c>
      <c r="F129">
        <v>4.87E-2</v>
      </c>
      <c r="G129" s="13">
        <v>26</v>
      </c>
      <c r="H129">
        <v>7.17E-2</v>
      </c>
      <c r="I129">
        <v>261.1429</v>
      </c>
      <c r="J129">
        <v>8.09E-2</v>
      </c>
      <c r="K129">
        <v>717.57140000000004</v>
      </c>
      <c r="L129">
        <v>8.2100000000000006E-2</v>
      </c>
      <c r="M129" s="13">
        <v>1304.7143000000001</v>
      </c>
    </row>
    <row r="130" spans="1:13" x14ac:dyDescent="0.2">
      <c r="A130">
        <v>128</v>
      </c>
      <c r="B130">
        <v>19911121</v>
      </c>
      <c r="C130" s="13">
        <v>1</v>
      </c>
      <c r="D130" s="9">
        <v>4.5999999999999999E-2</v>
      </c>
      <c r="E130" s="13">
        <v>13</v>
      </c>
      <c r="F130">
        <v>4.7100000000000003E-2</v>
      </c>
      <c r="G130" s="13">
        <v>26</v>
      </c>
      <c r="H130">
        <v>7.0900000000000005E-2</v>
      </c>
      <c r="I130">
        <v>260.1429</v>
      </c>
      <c r="J130">
        <v>8.0699999999999994E-2</v>
      </c>
      <c r="K130">
        <v>716.57140000000004</v>
      </c>
      <c r="L130">
        <v>8.2900000000000001E-2</v>
      </c>
      <c r="M130" s="13">
        <v>1303.7143000000001</v>
      </c>
    </row>
    <row r="131" spans="1:13" x14ac:dyDescent="0.2">
      <c r="A131">
        <v>129</v>
      </c>
      <c r="B131">
        <v>19911129</v>
      </c>
      <c r="C131" s="13">
        <v>1</v>
      </c>
      <c r="D131" s="9">
        <v>4.4900000000000002E-2</v>
      </c>
      <c r="E131" s="13">
        <v>13</v>
      </c>
      <c r="F131">
        <v>4.5900000000000003E-2</v>
      </c>
      <c r="G131" s="13">
        <v>26</v>
      </c>
      <c r="H131">
        <v>6.6699999999999995E-2</v>
      </c>
      <c r="I131">
        <v>259</v>
      </c>
      <c r="J131">
        <v>8.1000000000000003E-2</v>
      </c>
      <c r="K131">
        <v>715.42859999999996</v>
      </c>
      <c r="L131">
        <v>8.3699999999999997E-2</v>
      </c>
      <c r="M131" s="13">
        <v>1302.5714</v>
      </c>
    </row>
    <row r="132" spans="1:13" x14ac:dyDescent="0.2">
      <c r="A132">
        <v>130</v>
      </c>
      <c r="B132">
        <v>19911205</v>
      </c>
      <c r="C132" s="13">
        <v>1</v>
      </c>
      <c r="D132" s="9">
        <v>4.41E-2</v>
      </c>
      <c r="E132" s="13">
        <v>13</v>
      </c>
      <c r="F132">
        <v>4.4499999999999998E-2</v>
      </c>
      <c r="G132" s="13">
        <v>26</v>
      </c>
      <c r="H132">
        <v>6.4600000000000005E-2</v>
      </c>
      <c r="I132">
        <v>258.1429</v>
      </c>
      <c r="J132">
        <v>7.9500000000000001E-2</v>
      </c>
      <c r="K132">
        <v>714.57140000000004</v>
      </c>
      <c r="L132">
        <v>8.2799999999999999E-2</v>
      </c>
      <c r="M132" s="13">
        <v>1301.7143000000001</v>
      </c>
    </row>
    <row r="133" spans="1:13" x14ac:dyDescent="0.2">
      <c r="A133">
        <v>131</v>
      </c>
      <c r="B133">
        <v>19911212</v>
      </c>
      <c r="C133" s="13">
        <v>1</v>
      </c>
      <c r="D133" s="9">
        <v>4.24E-2</v>
      </c>
      <c r="E133" s="13">
        <v>13</v>
      </c>
      <c r="F133">
        <v>4.2999999999999997E-2</v>
      </c>
      <c r="G133" s="13">
        <v>26</v>
      </c>
      <c r="H133">
        <v>6.4600000000000005E-2</v>
      </c>
      <c r="I133">
        <v>257.1429</v>
      </c>
      <c r="J133">
        <v>0.08</v>
      </c>
      <c r="K133">
        <v>713.57140000000004</v>
      </c>
      <c r="L133">
        <v>8.2000000000000003E-2</v>
      </c>
      <c r="M133" s="13">
        <v>1300.7143000000001</v>
      </c>
    </row>
    <row r="134" spans="1:13" x14ac:dyDescent="0.2">
      <c r="A134">
        <v>132</v>
      </c>
      <c r="B134">
        <v>19911219</v>
      </c>
      <c r="C134" s="13">
        <v>1</v>
      </c>
      <c r="D134" s="9">
        <v>4.2099999999999999E-2</v>
      </c>
      <c r="E134" s="13">
        <v>13</v>
      </c>
      <c r="F134">
        <v>4.3299999999999998E-2</v>
      </c>
      <c r="G134" s="13">
        <v>26</v>
      </c>
      <c r="H134">
        <v>6.4199999999999993E-2</v>
      </c>
      <c r="I134">
        <v>256.1429</v>
      </c>
      <c r="J134">
        <v>7.9399999999999998E-2</v>
      </c>
      <c r="K134">
        <v>712.57140000000004</v>
      </c>
      <c r="L134">
        <v>8.1199999999999994E-2</v>
      </c>
      <c r="M134" s="13">
        <v>1299.7143000000001</v>
      </c>
    </row>
    <row r="135" spans="1:13" x14ac:dyDescent="0.2">
      <c r="A135">
        <v>133</v>
      </c>
      <c r="B135">
        <v>19911226</v>
      </c>
      <c r="C135" s="13">
        <v>1</v>
      </c>
      <c r="D135" s="9">
        <v>3.8899999999999997E-2</v>
      </c>
      <c r="E135" s="13">
        <v>13</v>
      </c>
      <c r="F135">
        <v>0.04</v>
      </c>
      <c r="G135" s="13">
        <v>26</v>
      </c>
      <c r="H135">
        <v>6.1499999999999999E-2</v>
      </c>
      <c r="I135">
        <v>255.1429</v>
      </c>
      <c r="J135">
        <v>7.7100000000000002E-2</v>
      </c>
      <c r="K135">
        <v>711.57140000000004</v>
      </c>
      <c r="L135">
        <v>7.9200000000000007E-2</v>
      </c>
      <c r="M135" s="13">
        <v>1298.7143000000001</v>
      </c>
    </row>
    <row r="136" spans="1:13" x14ac:dyDescent="0.2">
      <c r="A136">
        <v>134</v>
      </c>
      <c r="B136">
        <v>19920102</v>
      </c>
      <c r="C136" s="13">
        <v>1</v>
      </c>
      <c r="D136" s="9">
        <v>3.9399999999999998E-2</v>
      </c>
      <c r="E136" s="13">
        <v>13</v>
      </c>
      <c r="F136">
        <v>3.9800000000000002E-2</v>
      </c>
      <c r="G136" s="13">
        <v>26</v>
      </c>
      <c r="H136">
        <v>6.0699999999999997E-2</v>
      </c>
      <c r="I136">
        <v>254.1429</v>
      </c>
      <c r="J136">
        <v>7.5800000000000006E-2</v>
      </c>
      <c r="K136">
        <v>710.57140000000004</v>
      </c>
      <c r="L136">
        <v>7.8399999999999997E-2</v>
      </c>
      <c r="M136" s="13">
        <v>1297.7143000000001</v>
      </c>
    </row>
    <row r="137" spans="1:13" x14ac:dyDescent="0.2">
      <c r="A137">
        <v>135</v>
      </c>
      <c r="B137">
        <v>19920109</v>
      </c>
      <c r="C137" s="13">
        <v>1</v>
      </c>
      <c r="D137" s="9">
        <v>3.7999999999999999E-2</v>
      </c>
      <c r="E137" s="13">
        <v>13</v>
      </c>
      <c r="F137">
        <v>3.8800000000000001E-2</v>
      </c>
      <c r="G137" s="13">
        <v>26</v>
      </c>
      <c r="H137">
        <v>6.0699999999999997E-2</v>
      </c>
      <c r="I137">
        <v>253.1429</v>
      </c>
      <c r="J137">
        <v>7.5499999999999998E-2</v>
      </c>
      <c r="K137">
        <v>709.57140000000004</v>
      </c>
      <c r="L137">
        <v>7.8200000000000006E-2</v>
      </c>
      <c r="M137" s="13">
        <v>1296.7143000000001</v>
      </c>
    </row>
    <row r="138" spans="1:13" x14ac:dyDescent="0.2">
      <c r="A138">
        <v>136</v>
      </c>
      <c r="B138">
        <v>19920116</v>
      </c>
      <c r="C138" s="13">
        <v>1</v>
      </c>
      <c r="D138" s="9">
        <v>3.9199999999999999E-2</v>
      </c>
      <c r="E138" s="13">
        <v>13</v>
      </c>
      <c r="F138">
        <v>4.0300000000000002E-2</v>
      </c>
      <c r="G138" s="13">
        <v>26</v>
      </c>
      <c r="H138">
        <v>6.4699999999999994E-2</v>
      </c>
      <c r="I138">
        <v>252.1429</v>
      </c>
      <c r="J138">
        <v>7.7700000000000005E-2</v>
      </c>
      <c r="K138">
        <v>708.57140000000004</v>
      </c>
      <c r="L138">
        <v>7.9100000000000004E-2</v>
      </c>
      <c r="M138" s="13">
        <v>1295.7143000000001</v>
      </c>
    </row>
    <row r="139" spans="1:13" x14ac:dyDescent="0.2">
      <c r="A139">
        <v>137</v>
      </c>
      <c r="B139">
        <v>19920123</v>
      </c>
      <c r="C139" s="13">
        <v>1</v>
      </c>
      <c r="D139" s="9">
        <v>3.8300000000000001E-2</v>
      </c>
      <c r="E139" s="13">
        <v>13</v>
      </c>
      <c r="F139">
        <v>3.95E-2</v>
      </c>
      <c r="G139" s="13">
        <v>26</v>
      </c>
      <c r="H139">
        <v>6.3700000000000007E-2</v>
      </c>
      <c r="I139">
        <v>251.1429</v>
      </c>
      <c r="J139">
        <v>7.8200000000000006E-2</v>
      </c>
      <c r="K139">
        <v>707.57140000000004</v>
      </c>
      <c r="L139">
        <v>7.9899999999999999E-2</v>
      </c>
      <c r="M139" s="13">
        <v>1294.7143000000001</v>
      </c>
    </row>
    <row r="140" spans="1:13" x14ac:dyDescent="0.2">
      <c r="A140">
        <v>138</v>
      </c>
      <c r="B140">
        <v>19920130</v>
      </c>
      <c r="C140" s="13">
        <v>1</v>
      </c>
      <c r="D140" s="9">
        <v>3.9399999999999998E-2</v>
      </c>
      <c r="E140" s="13">
        <v>13</v>
      </c>
      <c r="F140">
        <v>4.0399999999999998E-2</v>
      </c>
      <c r="G140" s="13">
        <v>26</v>
      </c>
      <c r="H140">
        <v>6.5799999999999997E-2</v>
      </c>
      <c r="I140">
        <v>250.1429</v>
      </c>
      <c r="J140">
        <v>7.9299999999999995E-2</v>
      </c>
      <c r="K140">
        <v>706.57140000000004</v>
      </c>
      <c r="L140">
        <v>8.1299999999999997E-2</v>
      </c>
      <c r="M140" s="13">
        <v>1293.7143000000001</v>
      </c>
    </row>
    <row r="141" spans="1:13" x14ac:dyDescent="0.2">
      <c r="A141">
        <v>139</v>
      </c>
      <c r="B141">
        <v>19920206</v>
      </c>
      <c r="C141" s="13">
        <v>1</v>
      </c>
      <c r="D141" s="9">
        <v>3.9199999999999999E-2</v>
      </c>
      <c r="E141" s="13">
        <v>13</v>
      </c>
      <c r="F141">
        <v>4.0099999999999997E-2</v>
      </c>
      <c r="G141" s="13">
        <v>26</v>
      </c>
      <c r="H141">
        <v>6.8599999999999994E-2</v>
      </c>
      <c r="I141">
        <v>275</v>
      </c>
      <c r="J141">
        <v>7.9399999999999998E-2</v>
      </c>
      <c r="K141">
        <v>705.57140000000004</v>
      </c>
      <c r="L141">
        <v>8.1000000000000003E-2</v>
      </c>
      <c r="M141" s="13">
        <v>1318.5714</v>
      </c>
    </row>
    <row r="142" spans="1:13" x14ac:dyDescent="0.2">
      <c r="A142">
        <v>140</v>
      </c>
      <c r="B142">
        <v>19920213</v>
      </c>
      <c r="C142" s="13">
        <v>1</v>
      </c>
      <c r="D142" s="9">
        <v>3.8300000000000001E-2</v>
      </c>
      <c r="E142" s="13">
        <v>13</v>
      </c>
      <c r="F142">
        <v>3.95E-2</v>
      </c>
      <c r="G142" s="13">
        <v>26</v>
      </c>
      <c r="H142">
        <v>6.9199999999999998E-2</v>
      </c>
      <c r="I142">
        <v>274</v>
      </c>
      <c r="J142">
        <v>7.9899999999999999E-2</v>
      </c>
      <c r="K142">
        <v>704.57140000000004</v>
      </c>
      <c r="L142">
        <v>8.1699999999999995E-2</v>
      </c>
      <c r="M142" s="13">
        <v>1317.5714</v>
      </c>
    </row>
    <row r="143" spans="1:13" x14ac:dyDescent="0.2">
      <c r="A143">
        <v>141</v>
      </c>
      <c r="B143">
        <v>19920220</v>
      </c>
      <c r="C143" s="13">
        <v>1</v>
      </c>
      <c r="D143" s="9">
        <v>3.9300000000000002E-2</v>
      </c>
      <c r="E143" s="13">
        <v>13</v>
      </c>
      <c r="F143">
        <v>4.0899999999999999E-2</v>
      </c>
      <c r="G143" s="13">
        <v>26</v>
      </c>
      <c r="H143">
        <v>7.0800000000000002E-2</v>
      </c>
      <c r="I143">
        <v>273</v>
      </c>
      <c r="J143">
        <v>8.1199999999999994E-2</v>
      </c>
      <c r="K143">
        <v>703.57140000000004</v>
      </c>
      <c r="L143">
        <v>8.2500000000000004E-2</v>
      </c>
      <c r="M143" s="13">
        <v>1316.5714</v>
      </c>
    </row>
    <row r="144" spans="1:13" x14ac:dyDescent="0.2">
      <c r="A144">
        <v>142</v>
      </c>
      <c r="B144">
        <v>19920227</v>
      </c>
      <c r="C144" s="13">
        <v>1</v>
      </c>
      <c r="D144" s="9">
        <v>4.02E-2</v>
      </c>
      <c r="E144" s="13">
        <v>13</v>
      </c>
      <c r="F144">
        <v>4.1599999999999998E-2</v>
      </c>
      <c r="G144" s="13">
        <v>26</v>
      </c>
      <c r="H144">
        <v>7.0499999999999993E-2</v>
      </c>
      <c r="I144">
        <v>272</v>
      </c>
      <c r="J144">
        <v>8.0299999999999996E-2</v>
      </c>
      <c r="K144">
        <v>702.57140000000004</v>
      </c>
      <c r="L144">
        <v>8.1299999999999997E-2</v>
      </c>
      <c r="M144" s="13">
        <v>1315.5714</v>
      </c>
    </row>
    <row r="145" spans="1:13" x14ac:dyDescent="0.2">
      <c r="A145">
        <v>143</v>
      </c>
      <c r="B145">
        <v>19920305</v>
      </c>
      <c r="C145" s="13">
        <v>1</v>
      </c>
      <c r="D145" s="9">
        <v>4.1200000000000001E-2</v>
      </c>
      <c r="E145" s="13">
        <v>13</v>
      </c>
      <c r="F145">
        <v>4.24E-2</v>
      </c>
      <c r="G145" s="13">
        <v>26</v>
      </c>
      <c r="H145">
        <v>7.1499999999999994E-2</v>
      </c>
      <c r="I145">
        <v>271</v>
      </c>
      <c r="J145">
        <v>8.09E-2</v>
      </c>
      <c r="K145">
        <v>701.57140000000004</v>
      </c>
      <c r="L145">
        <v>8.1699999999999995E-2</v>
      </c>
      <c r="M145" s="13">
        <v>1314.5714</v>
      </c>
    </row>
    <row r="146" spans="1:13" x14ac:dyDescent="0.2">
      <c r="A146">
        <v>144</v>
      </c>
      <c r="B146">
        <v>19920312</v>
      </c>
      <c r="C146" s="13">
        <v>1</v>
      </c>
      <c r="D146" s="9">
        <v>4.1000000000000002E-2</v>
      </c>
      <c r="E146" s="13">
        <v>13</v>
      </c>
      <c r="F146">
        <v>4.2900000000000001E-2</v>
      </c>
      <c r="G146" s="13">
        <v>26</v>
      </c>
      <c r="H146">
        <v>7.2499999999999995E-2</v>
      </c>
      <c r="I146">
        <v>270</v>
      </c>
      <c r="J146">
        <v>8.1500000000000003E-2</v>
      </c>
      <c r="K146">
        <v>700.57140000000004</v>
      </c>
      <c r="L146">
        <v>8.1699999999999995E-2</v>
      </c>
      <c r="M146" s="13">
        <v>1313.5714</v>
      </c>
    </row>
    <row r="147" spans="1:13" x14ac:dyDescent="0.2">
      <c r="A147">
        <v>145</v>
      </c>
      <c r="B147">
        <v>19920319</v>
      </c>
      <c r="C147" s="13">
        <v>1</v>
      </c>
      <c r="D147" s="9">
        <v>4.1399999999999999E-2</v>
      </c>
      <c r="E147" s="13">
        <v>13</v>
      </c>
      <c r="F147">
        <v>4.3700000000000003E-2</v>
      </c>
      <c r="G147" s="13">
        <v>26</v>
      </c>
      <c r="H147">
        <v>7.3999999999999996E-2</v>
      </c>
      <c r="I147">
        <v>269</v>
      </c>
      <c r="J147">
        <v>8.2299999999999998E-2</v>
      </c>
      <c r="K147">
        <v>699.57140000000004</v>
      </c>
      <c r="L147">
        <v>8.2000000000000003E-2</v>
      </c>
      <c r="M147" s="13">
        <v>1312.5714</v>
      </c>
    </row>
    <row r="148" spans="1:13" x14ac:dyDescent="0.2">
      <c r="A148">
        <v>146</v>
      </c>
      <c r="B148">
        <v>19920326</v>
      </c>
      <c r="C148" s="13">
        <v>1</v>
      </c>
      <c r="D148" s="9">
        <v>4.1000000000000002E-2</v>
      </c>
      <c r="E148" s="13">
        <v>13</v>
      </c>
      <c r="F148">
        <v>4.2999999999999997E-2</v>
      </c>
      <c r="G148" s="13">
        <v>26</v>
      </c>
      <c r="H148">
        <v>7.2900000000000006E-2</v>
      </c>
      <c r="I148">
        <v>268</v>
      </c>
      <c r="J148">
        <v>8.1299999999999997E-2</v>
      </c>
      <c r="K148">
        <v>698.57140000000004</v>
      </c>
      <c r="L148">
        <v>8.1600000000000006E-2</v>
      </c>
      <c r="M148" s="13">
        <v>1311.5714</v>
      </c>
    </row>
    <row r="149" spans="1:13" x14ac:dyDescent="0.2">
      <c r="A149">
        <v>147</v>
      </c>
      <c r="B149">
        <v>19920402</v>
      </c>
      <c r="C149" s="13">
        <v>1</v>
      </c>
      <c r="D149" s="9">
        <v>4.1000000000000002E-2</v>
      </c>
      <c r="E149" s="13">
        <v>13</v>
      </c>
      <c r="F149">
        <v>4.2299999999999997E-2</v>
      </c>
      <c r="G149" s="13">
        <v>26</v>
      </c>
      <c r="H149">
        <v>7.1800000000000003E-2</v>
      </c>
      <c r="I149">
        <v>261</v>
      </c>
      <c r="J149">
        <v>8.0600000000000005E-2</v>
      </c>
      <c r="K149">
        <v>697.57140000000004</v>
      </c>
      <c r="L149">
        <v>8.0799999999999997E-2</v>
      </c>
      <c r="M149" s="13">
        <v>1310.5714</v>
      </c>
    </row>
    <row r="150" spans="1:13" x14ac:dyDescent="0.2">
      <c r="A150">
        <v>148</v>
      </c>
      <c r="B150">
        <v>19920409</v>
      </c>
      <c r="C150" s="13">
        <v>1</v>
      </c>
      <c r="D150" s="9">
        <v>3.95E-2</v>
      </c>
      <c r="E150" s="13">
        <v>13</v>
      </c>
      <c r="F150">
        <v>4.0800000000000003E-2</v>
      </c>
      <c r="G150" s="13">
        <v>26</v>
      </c>
      <c r="H150">
        <v>7.1800000000000003E-2</v>
      </c>
      <c r="I150">
        <v>266</v>
      </c>
      <c r="J150">
        <v>8.1299999999999997E-2</v>
      </c>
      <c r="K150">
        <v>696.57140000000004</v>
      </c>
      <c r="L150">
        <v>8.2100000000000006E-2</v>
      </c>
      <c r="M150" s="13">
        <v>1309.5714</v>
      </c>
    </row>
    <row r="151" spans="1:13" x14ac:dyDescent="0.2">
      <c r="A151">
        <v>149</v>
      </c>
      <c r="B151">
        <v>19920416</v>
      </c>
      <c r="C151" s="13">
        <v>1</v>
      </c>
      <c r="D151" s="9">
        <v>3.6900000000000002E-2</v>
      </c>
      <c r="E151" s="13">
        <v>13</v>
      </c>
      <c r="F151">
        <v>3.8199999999999998E-2</v>
      </c>
      <c r="G151" s="13">
        <v>26</v>
      </c>
      <c r="H151">
        <v>7.0599999999999996E-2</v>
      </c>
      <c r="I151">
        <v>265</v>
      </c>
      <c r="J151">
        <v>8.0500000000000002E-2</v>
      </c>
      <c r="K151">
        <v>695.57140000000004</v>
      </c>
      <c r="L151">
        <v>8.1199999999999994E-2</v>
      </c>
      <c r="M151" s="13">
        <v>1308.5714</v>
      </c>
    </row>
    <row r="152" spans="1:13" x14ac:dyDescent="0.2">
      <c r="A152">
        <v>150</v>
      </c>
      <c r="B152">
        <v>19920423</v>
      </c>
      <c r="C152" s="13">
        <v>1</v>
      </c>
      <c r="D152" s="9">
        <v>3.7600000000000001E-2</v>
      </c>
      <c r="E152" s="13">
        <v>13</v>
      </c>
      <c r="F152">
        <v>3.9699999999999999E-2</v>
      </c>
      <c r="G152" s="13">
        <v>26</v>
      </c>
      <c r="H152">
        <v>7.2700000000000001E-2</v>
      </c>
      <c r="I152">
        <v>264</v>
      </c>
      <c r="J152">
        <v>8.2199999999999995E-2</v>
      </c>
      <c r="K152">
        <v>694.57140000000004</v>
      </c>
      <c r="L152">
        <v>8.2799999999999999E-2</v>
      </c>
      <c r="M152" s="13">
        <v>1307.5714</v>
      </c>
    </row>
    <row r="153" spans="1:13" x14ac:dyDescent="0.2">
      <c r="A153">
        <v>151</v>
      </c>
      <c r="B153">
        <v>19920430</v>
      </c>
      <c r="C153" s="13">
        <v>1</v>
      </c>
      <c r="D153" s="9">
        <v>3.7900000000000003E-2</v>
      </c>
      <c r="E153" s="13">
        <v>13</v>
      </c>
      <c r="F153">
        <v>3.9399999999999998E-2</v>
      </c>
      <c r="G153" s="13">
        <v>26</v>
      </c>
      <c r="H153">
        <v>7.1199999999999999E-2</v>
      </c>
      <c r="I153">
        <v>263</v>
      </c>
      <c r="J153">
        <v>8.2400000000000001E-2</v>
      </c>
      <c r="K153">
        <v>693.57140000000004</v>
      </c>
      <c r="L153">
        <v>8.3199999999999996E-2</v>
      </c>
      <c r="M153" s="13">
        <v>1306.5714</v>
      </c>
    </row>
    <row r="154" spans="1:13" x14ac:dyDescent="0.2">
      <c r="A154">
        <v>152</v>
      </c>
      <c r="B154">
        <v>19920507</v>
      </c>
      <c r="C154" s="13">
        <v>1</v>
      </c>
      <c r="D154" s="9">
        <v>3.6900000000000002E-2</v>
      </c>
      <c r="E154" s="13">
        <v>13</v>
      </c>
      <c r="F154">
        <v>3.85E-2</v>
      </c>
      <c r="G154" s="13">
        <v>26</v>
      </c>
      <c r="H154">
        <v>7.0199999999999999E-2</v>
      </c>
      <c r="I154">
        <v>262</v>
      </c>
      <c r="J154">
        <v>8.1600000000000006E-2</v>
      </c>
      <c r="K154">
        <v>692.57140000000004</v>
      </c>
      <c r="L154">
        <v>8.2799999999999999E-2</v>
      </c>
      <c r="M154" s="13">
        <v>1305.5714</v>
      </c>
    </row>
    <row r="155" spans="1:13" x14ac:dyDescent="0.2">
      <c r="A155">
        <v>153</v>
      </c>
      <c r="B155">
        <v>19920514</v>
      </c>
      <c r="C155" s="13">
        <v>1</v>
      </c>
      <c r="D155" s="9">
        <v>3.6600000000000001E-2</v>
      </c>
      <c r="E155" s="13">
        <v>13</v>
      </c>
      <c r="F155">
        <v>3.7900000000000003E-2</v>
      </c>
      <c r="G155" s="13">
        <v>26</v>
      </c>
      <c r="H155">
        <v>6.88E-2</v>
      </c>
      <c r="I155">
        <v>261</v>
      </c>
      <c r="J155">
        <v>7.9799999999999996E-2</v>
      </c>
      <c r="K155">
        <v>691.57140000000004</v>
      </c>
      <c r="L155">
        <v>8.1000000000000003E-2</v>
      </c>
      <c r="M155" s="13">
        <v>1304.5714</v>
      </c>
    </row>
    <row r="156" spans="1:13" x14ac:dyDescent="0.2">
      <c r="A156">
        <v>154</v>
      </c>
      <c r="B156">
        <v>19920521</v>
      </c>
      <c r="C156" s="13">
        <v>1</v>
      </c>
      <c r="D156" s="9">
        <v>3.6400000000000002E-2</v>
      </c>
      <c r="E156" s="13">
        <v>13</v>
      </c>
      <c r="F156">
        <v>3.78E-2</v>
      </c>
      <c r="G156" s="13">
        <v>26</v>
      </c>
      <c r="H156">
        <v>6.8000000000000005E-2</v>
      </c>
      <c r="I156">
        <v>260</v>
      </c>
      <c r="J156">
        <v>7.9299999999999995E-2</v>
      </c>
      <c r="K156">
        <v>690.57140000000004</v>
      </c>
      <c r="L156">
        <v>8.0699999999999994E-2</v>
      </c>
      <c r="M156" s="13">
        <v>1303.5714</v>
      </c>
    </row>
    <row r="157" spans="1:13" x14ac:dyDescent="0.2">
      <c r="A157">
        <v>155</v>
      </c>
      <c r="B157">
        <v>19920528</v>
      </c>
      <c r="C157" s="13">
        <v>1</v>
      </c>
      <c r="D157" s="9">
        <v>3.78E-2</v>
      </c>
      <c r="E157" s="13">
        <v>13</v>
      </c>
      <c r="F157">
        <v>3.9600000000000003E-2</v>
      </c>
      <c r="G157" s="13">
        <v>26.142900000000001</v>
      </c>
      <c r="H157">
        <v>7.0000000000000007E-2</v>
      </c>
      <c r="I157">
        <v>259</v>
      </c>
      <c r="J157">
        <v>8.1000000000000003E-2</v>
      </c>
      <c r="K157">
        <v>689.57140000000004</v>
      </c>
      <c r="L157">
        <v>8.1699999999999995E-2</v>
      </c>
      <c r="M157" s="13">
        <v>1302.5714</v>
      </c>
    </row>
    <row r="158" spans="1:13" x14ac:dyDescent="0.2">
      <c r="A158">
        <v>156</v>
      </c>
      <c r="B158">
        <v>19920604</v>
      </c>
      <c r="C158" s="13">
        <v>1</v>
      </c>
      <c r="D158" s="9">
        <v>3.78E-2</v>
      </c>
      <c r="E158" s="13">
        <v>13</v>
      </c>
      <c r="F158">
        <v>3.9699999999999999E-2</v>
      </c>
      <c r="G158" s="13">
        <v>26</v>
      </c>
      <c r="H158">
        <v>6.9599999999999995E-2</v>
      </c>
      <c r="I158">
        <v>258</v>
      </c>
      <c r="J158">
        <v>8.1100000000000005E-2</v>
      </c>
      <c r="K158">
        <v>688.57140000000004</v>
      </c>
      <c r="L158">
        <v>8.1799999999999998E-2</v>
      </c>
      <c r="M158" s="13">
        <v>1301.5714</v>
      </c>
    </row>
    <row r="159" spans="1:13" x14ac:dyDescent="0.2">
      <c r="A159">
        <v>157</v>
      </c>
      <c r="B159">
        <v>19920611</v>
      </c>
      <c r="C159" s="13">
        <v>1</v>
      </c>
      <c r="D159" s="9">
        <v>3.7499999999999999E-2</v>
      </c>
      <c r="E159" s="13">
        <v>13</v>
      </c>
      <c r="F159">
        <v>3.9300000000000002E-2</v>
      </c>
      <c r="G159" s="13">
        <v>26</v>
      </c>
      <c r="H159">
        <v>6.7599999999999993E-2</v>
      </c>
      <c r="I159">
        <v>251</v>
      </c>
      <c r="J159">
        <v>8.0399999999999999E-2</v>
      </c>
      <c r="K159">
        <v>687.57140000000004</v>
      </c>
      <c r="L159">
        <v>8.2299999999999998E-2</v>
      </c>
      <c r="M159" s="13">
        <v>1300.5714</v>
      </c>
    </row>
    <row r="160" spans="1:13" x14ac:dyDescent="0.2">
      <c r="A160">
        <v>158</v>
      </c>
      <c r="B160">
        <v>19920618</v>
      </c>
      <c r="C160" s="13">
        <v>1</v>
      </c>
      <c r="D160" s="9">
        <v>3.6799999999999999E-2</v>
      </c>
      <c r="E160" s="13">
        <v>13</v>
      </c>
      <c r="F160">
        <v>3.8199999999999998E-2</v>
      </c>
      <c r="G160" s="13">
        <v>26</v>
      </c>
      <c r="H160">
        <v>6.6000000000000003E-2</v>
      </c>
      <c r="I160">
        <v>256</v>
      </c>
      <c r="J160">
        <v>7.9600000000000004E-2</v>
      </c>
      <c r="K160">
        <v>686.57140000000004</v>
      </c>
      <c r="L160">
        <v>8.1600000000000006E-2</v>
      </c>
      <c r="M160" s="13">
        <v>1299.5714</v>
      </c>
    </row>
    <row r="161" spans="1:13" x14ac:dyDescent="0.2">
      <c r="A161">
        <v>159</v>
      </c>
      <c r="B161">
        <v>19920625</v>
      </c>
      <c r="C161" s="13">
        <v>1</v>
      </c>
      <c r="D161" s="9">
        <v>3.7100000000000001E-2</v>
      </c>
      <c r="E161" s="13">
        <v>13</v>
      </c>
      <c r="F161">
        <v>3.8300000000000001E-2</v>
      </c>
      <c r="G161" s="13">
        <v>26</v>
      </c>
      <c r="H161">
        <v>6.59E-2</v>
      </c>
      <c r="I161">
        <v>255</v>
      </c>
      <c r="J161">
        <v>7.9699999999999993E-2</v>
      </c>
      <c r="K161">
        <v>685.57140000000004</v>
      </c>
      <c r="L161">
        <v>8.2000000000000003E-2</v>
      </c>
      <c r="M161" s="13">
        <v>1298.5714</v>
      </c>
    </row>
    <row r="162" spans="1:13" x14ac:dyDescent="0.2">
      <c r="A162">
        <v>160</v>
      </c>
      <c r="B162">
        <v>19920702</v>
      </c>
      <c r="C162" s="13">
        <v>1</v>
      </c>
      <c r="D162" s="9">
        <v>3.61E-2</v>
      </c>
      <c r="E162" s="13">
        <v>13</v>
      </c>
      <c r="F162">
        <v>3.73E-2</v>
      </c>
      <c r="G162" s="13">
        <v>26</v>
      </c>
      <c r="H162">
        <v>6.5000000000000002E-2</v>
      </c>
      <c r="I162">
        <v>254</v>
      </c>
      <c r="J162">
        <v>7.8799999999999995E-2</v>
      </c>
      <c r="K162">
        <v>684.57140000000004</v>
      </c>
      <c r="L162">
        <v>8.1500000000000003E-2</v>
      </c>
      <c r="M162" s="13">
        <v>1297.5714</v>
      </c>
    </row>
    <row r="163" spans="1:13" x14ac:dyDescent="0.2">
      <c r="A163">
        <v>161</v>
      </c>
      <c r="B163">
        <v>19920709</v>
      </c>
      <c r="C163" s="13">
        <v>1</v>
      </c>
      <c r="D163" s="9">
        <v>3.27E-2</v>
      </c>
      <c r="E163" s="13">
        <v>13</v>
      </c>
      <c r="F163">
        <v>3.3700000000000001E-2</v>
      </c>
      <c r="G163" s="13">
        <v>26</v>
      </c>
      <c r="H163">
        <v>6.2300000000000001E-2</v>
      </c>
      <c r="I163">
        <v>253</v>
      </c>
      <c r="J163">
        <v>7.7299999999999994E-2</v>
      </c>
      <c r="K163">
        <v>683.57140000000004</v>
      </c>
      <c r="L163">
        <v>8.0399999999999999E-2</v>
      </c>
      <c r="M163" s="13">
        <v>1296.5714</v>
      </c>
    </row>
    <row r="164" spans="1:13" x14ac:dyDescent="0.2">
      <c r="A164">
        <v>162</v>
      </c>
      <c r="B164">
        <v>19920716</v>
      </c>
      <c r="C164" s="13">
        <v>1</v>
      </c>
      <c r="D164" s="9">
        <v>3.2300000000000002E-2</v>
      </c>
      <c r="E164" s="13">
        <v>13</v>
      </c>
      <c r="F164">
        <v>3.32E-2</v>
      </c>
      <c r="G164" s="13">
        <v>26</v>
      </c>
      <c r="H164">
        <v>6.08E-2</v>
      </c>
      <c r="I164">
        <v>265.1429</v>
      </c>
      <c r="J164">
        <v>7.7700000000000005E-2</v>
      </c>
      <c r="K164">
        <v>682.57140000000004</v>
      </c>
      <c r="L164">
        <v>8.1299999999999997E-2</v>
      </c>
      <c r="M164" s="13">
        <v>1308.7143000000001</v>
      </c>
    </row>
    <row r="165" spans="1:13" x14ac:dyDescent="0.2">
      <c r="A165">
        <v>163</v>
      </c>
      <c r="B165">
        <v>19920723</v>
      </c>
      <c r="C165" s="13">
        <v>1</v>
      </c>
      <c r="D165" s="9">
        <v>3.2300000000000002E-2</v>
      </c>
      <c r="E165" s="13">
        <v>13</v>
      </c>
      <c r="F165">
        <v>3.32E-2</v>
      </c>
      <c r="G165" s="13">
        <v>26</v>
      </c>
      <c r="H165">
        <v>6.0199999999999997E-2</v>
      </c>
      <c r="I165">
        <v>264.1429</v>
      </c>
      <c r="J165">
        <v>7.7100000000000002E-2</v>
      </c>
      <c r="K165">
        <v>681.57140000000004</v>
      </c>
      <c r="L165">
        <v>8.1100000000000005E-2</v>
      </c>
      <c r="M165" s="13">
        <v>1307.7143000000001</v>
      </c>
    </row>
    <row r="166" spans="1:13" x14ac:dyDescent="0.2">
      <c r="A166">
        <v>164</v>
      </c>
      <c r="B166">
        <v>19920730</v>
      </c>
      <c r="C166" s="13">
        <v>1</v>
      </c>
      <c r="D166" s="9">
        <v>3.2300000000000002E-2</v>
      </c>
      <c r="E166" s="13">
        <v>13</v>
      </c>
      <c r="F166">
        <v>3.3399999999999999E-2</v>
      </c>
      <c r="G166" s="13">
        <v>26</v>
      </c>
      <c r="H166">
        <v>5.8799999999999998E-2</v>
      </c>
      <c r="I166">
        <v>276.28570000000002</v>
      </c>
      <c r="J166">
        <v>7.4499999999999997E-2</v>
      </c>
      <c r="K166">
        <v>680.57140000000004</v>
      </c>
      <c r="L166">
        <v>7.9100000000000004E-2</v>
      </c>
      <c r="M166" s="13">
        <v>1306.7143000000001</v>
      </c>
    </row>
    <row r="167" spans="1:13" x14ac:dyDescent="0.2">
      <c r="A167">
        <v>165</v>
      </c>
      <c r="B167">
        <v>19920806</v>
      </c>
      <c r="C167" s="13">
        <v>1</v>
      </c>
      <c r="D167" s="9">
        <v>3.2199999999999999E-2</v>
      </c>
      <c r="E167" s="13">
        <v>13</v>
      </c>
      <c r="F167">
        <v>3.3399999999999999E-2</v>
      </c>
      <c r="G167" s="13">
        <v>26</v>
      </c>
      <c r="H167">
        <v>5.9499999999999997E-2</v>
      </c>
      <c r="I167">
        <v>262.1429</v>
      </c>
      <c r="J167">
        <v>7.4700000000000003E-2</v>
      </c>
      <c r="K167">
        <v>679.57140000000004</v>
      </c>
      <c r="L167">
        <v>7.8600000000000003E-2</v>
      </c>
      <c r="M167" s="13">
        <v>1305.7143000000001</v>
      </c>
    </row>
    <row r="168" spans="1:13" x14ac:dyDescent="0.2">
      <c r="A168">
        <v>166</v>
      </c>
      <c r="B168">
        <v>19920813</v>
      </c>
      <c r="C168" s="13">
        <v>1</v>
      </c>
      <c r="D168" s="9">
        <v>3.1699999999999999E-2</v>
      </c>
      <c r="E168" s="13">
        <v>13</v>
      </c>
      <c r="F168">
        <v>3.2899999999999999E-2</v>
      </c>
      <c r="G168" s="13">
        <v>26</v>
      </c>
      <c r="H168">
        <v>5.7799999999999997E-2</v>
      </c>
      <c r="I168">
        <v>261.1429</v>
      </c>
      <c r="J168">
        <v>7.3300000000000004E-2</v>
      </c>
      <c r="K168">
        <v>678.57140000000004</v>
      </c>
      <c r="L168">
        <v>7.7399999999999997E-2</v>
      </c>
      <c r="M168" s="13">
        <v>1304.7143000000001</v>
      </c>
    </row>
    <row r="169" spans="1:13" x14ac:dyDescent="0.2">
      <c r="A169">
        <v>167</v>
      </c>
      <c r="B169">
        <v>19920820</v>
      </c>
      <c r="C169" s="13">
        <v>1</v>
      </c>
      <c r="D169" s="9">
        <v>3.1300000000000001E-2</v>
      </c>
      <c r="E169" s="13">
        <v>13</v>
      </c>
      <c r="F169">
        <v>3.2099999999999997E-2</v>
      </c>
      <c r="G169" s="13">
        <v>26</v>
      </c>
      <c r="H169">
        <v>5.6599999999999998E-2</v>
      </c>
      <c r="I169">
        <v>260.1429</v>
      </c>
      <c r="J169">
        <v>7.3800000000000004E-2</v>
      </c>
      <c r="K169">
        <v>677.57140000000004</v>
      </c>
      <c r="L169">
        <v>7.8899999999999998E-2</v>
      </c>
      <c r="M169" s="13">
        <v>1303.7143000000001</v>
      </c>
    </row>
    <row r="170" spans="1:13" x14ac:dyDescent="0.2">
      <c r="A170">
        <v>168</v>
      </c>
      <c r="B170">
        <v>19920827</v>
      </c>
      <c r="C170" s="13">
        <v>1</v>
      </c>
      <c r="D170" s="9">
        <v>3.2099999999999997E-2</v>
      </c>
      <c r="E170" s="13">
        <v>13.142899999999999</v>
      </c>
      <c r="F170">
        <v>3.32E-2</v>
      </c>
      <c r="G170" s="13">
        <v>26</v>
      </c>
      <c r="H170">
        <v>5.9499999999999997E-2</v>
      </c>
      <c r="I170">
        <v>259.1429</v>
      </c>
      <c r="J170">
        <v>7.5600000000000001E-2</v>
      </c>
      <c r="K170">
        <v>676.57140000000004</v>
      </c>
      <c r="L170">
        <v>7.9500000000000001E-2</v>
      </c>
      <c r="M170" s="13">
        <v>1302.7143000000001</v>
      </c>
    </row>
    <row r="171" spans="1:13" x14ac:dyDescent="0.2">
      <c r="A171">
        <v>169</v>
      </c>
      <c r="B171">
        <v>19920903</v>
      </c>
      <c r="C171" s="13">
        <v>1</v>
      </c>
      <c r="D171" s="9">
        <v>3.1899999999999998E-2</v>
      </c>
      <c r="E171" s="13">
        <v>13</v>
      </c>
      <c r="F171">
        <v>3.2899999999999999E-2</v>
      </c>
      <c r="G171" s="13">
        <v>26</v>
      </c>
      <c r="H171">
        <v>5.7500000000000002E-2</v>
      </c>
      <c r="I171">
        <v>258.1429</v>
      </c>
      <c r="J171">
        <v>7.4300000000000005E-2</v>
      </c>
      <c r="K171">
        <v>675.57140000000004</v>
      </c>
      <c r="L171">
        <v>7.9200000000000007E-2</v>
      </c>
      <c r="M171" s="13">
        <v>1301.7143000000001</v>
      </c>
    </row>
    <row r="172" spans="1:13" x14ac:dyDescent="0.2">
      <c r="A172">
        <v>170</v>
      </c>
      <c r="B172">
        <v>19920910</v>
      </c>
      <c r="C172" s="13">
        <v>1</v>
      </c>
      <c r="D172" s="9">
        <v>2.9499999999999998E-2</v>
      </c>
      <c r="E172" s="13">
        <v>13</v>
      </c>
      <c r="F172">
        <v>0.03</v>
      </c>
      <c r="G172" s="13">
        <v>26</v>
      </c>
      <c r="H172">
        <v>5.5199999999999999E-2</v>
      </c>
      <c r="I172">
        <v>257.1429</v>
      </c>
      <c r="J172">
        <v>7.2099999999999997E-2</v>
      </c>
      <c r="K172">
        <v>674.57140000000004</v>
      </c>
      <c r="L172">
        <v>7.8100000000000003E-2</v>
      </c>
      <c r="M172" s="13">
        <v>1300.7143000000001</v>
      </c>
    </row>
    <row r="173" spans="1:13" x14ac:dyDescent="0.2">
      <c r="A173">
        <v>171</v>
      </c>
      <c r="B173">
        <v>19920917</v>
      </c>
      <c r="C173" s="13">
        <v>1</v>
      </c>
      <c r="D173" s="9">
        <v>2.9499999999999998E-2</v>
      </c>
      <c r="E173" s="13">
        <v>13</v>
      </c>
      <c r="F173">
        <v>2.9899999999999999E-2</v>
      </c>
      <c r="G173" s="13">
        <v>26</v>
      </c>
      <c r="H173">
        <v>5.6599999999999998E-2</v>
      </c>
      <c r="I173">
        <v>256.1429</v>
      </c>
      <c r="J173">
        <v>7.3099999999999998E-2</v>
      </c>
      <c r="K173">
        <v>673.57140000000004</v>
      </c>
      <c r="L173">
        <v>7.9299999999999995E-2</v>
      </c>
      <c r="M173" s="13">
        <v>1299.7143000000001</v>
      </c>
    </row>
    <row r="174" spans="1:13" x14ac:dyDescent="0.2">
      <c r="A174">
        <v>172</v>
      </c>
      <c r="B174">
        <v>19920924</v>
      </c>
      <c r="C174" s="13">
        <v>1</v>
      </c>
      <c r="D174" s="9">
        <v>2.9600000000000001E-2</v>
      </c>
      <c r="E174" s="13">
        <v>13</v>
      </c>
      <c r="F174">
        <v>3.04E-2</v>
      </c>
      <c r="G174" s="13">
        <v>26</v>
      </c>
      <c r="H174">
        <v>5.8200000000000002E-2</v>
      </c>
      <c r="I174">
        <v>255.1429</v>
      </c>
      <c r="J174">
        <v>7.4399999999999994E-2</v>
      </c>
      <c r="K174">
        <v>672.57140000000004</v>
      </c>
      <c r="L174">
        <v>8.1299999999999997E-2</v>
      </c>
      <c r="M174" s="13">
        <v>1298.7143000000001</v>
      </c>
    </row>
    <row r="175" spans="1:13" x14ac:dyDescent="0.2">
      <c r="A175">
        <v>173</v>
      </c>
      <c r="B175">
        <v>19921001</v>
      </c>
      <c r="C175" s="13">
        <v>1</v>
      </c>
      <c r="D175" s="9">
        <v>2.7300000000000001E-2</v>
      </c>
      <c r="E175" s="13">
        <v>13</v>
      </c>
      <c r="F175">
        <v>2.9000000000000001E-2</v>
      </c>
      <c r="G175" s="13">
        <v>26</v>
      </c>
      <c r="H175">
        <v>5.6500000000000002E-2</v>
      </c>
      <c r="I175">
        <v>267.28570000000002</v>
      </c>
      <c r="J175">
        <v>7.3400000000000007E-2</v>
      </c>
      <c r="K175">
        <v>671.57140000000004</v>
      </c>
      <c r="L175">
        <v>8.0199999999999994E-2</v>
      </c>
      <c r="M175" s="13">
        <v>1297.7143000000001</v>
      </c>
    </row>
    <row r="176" spans="1:13" x14ac:dyDescent="0.2">
      <c r="A176">
        <v>174</v>
      </c>
      <c r="B176">
        <v>19921008</v>
      </c>
      <c r="C176" s="13">
        <v>1</v>
      </c>
      <c r="D176" s="9">
        <v>2.87E-2</v>
      </c>
      <c r="E176" s="13">
        <v>13</v>
      </c>
      <c r="F176">
        <v>2.98E-2</v>
      </c>
      <c r="G176" s="13">
        <v>26</v>
      </c>
      <c r="H176">
        <v>5.7500000000000002E-2</v>
      </c>
      <c r="I176">
        <v>266.28570000000002</v>
      </c>
      <c r="J176">
        <v>7.4099999999999999E-2</v>
      </c>
      <c r="K176">
        <v>670.57140000000004</v>
      </c>
      <c r="L176">
        <v>8.1299999999999997E-2</v>
      </c>
      <c r="M176" s="13">
        <v>1296.7143000000001</v>
      </c>
    </row>
    <row r="177" spans="1:13" x14ac:dyDescent="0.2">
      <c r="A177">
        <v>175</v>
      </c>
      <c r="B177">
        <v>19921015</v>
      </c>
      <c r="C177" s="13">
        <v>1</v>
      </c>
      <c r="D177" s="9">
        <v>2.98E-2</v>
      </c>
      <c r="E177" s="13">
        <v>13</v>
      </c>
      <c r="F177">
        <v>3.0800000000000001E-2</v>
      </c>
      <c r="G177" s="13">
        <v>26</v>
      </c>
      <c r="H177">
        <v>5.8200000000000002E-2</v>
      </c>
      <c r="I177">
        <v>265.28570000000002</v>
      </c>
      <c r="J177">
        <v>7.4099999999999999E-2</v>
      </c>
      <c r="K177">
        <v>669.57140000000004</v>
      </c>
      <c r="L177">
        <v>8.14E-2</v>
      </c>
      <c r="M177" s="13">
        <v>1295.7143000000001</v>
      </c>
    </row>
    <row r="178" spans="1:13" x14ac:dyDescent="0.2">
      <c r="A178">
        <v>176</v>
      </c>
      <c r="B178">
        <v>19921022</v>
      </c>
      <c r="C178" s="13">
        <v>1</v>
      </c>
      <c r="D178" s="9">
        <v>2.9700000000000001E-2</v>
      </c>
      <c r="E178" s="13">
        <v>13</v>
      </c>
      <c r="F178">
        <v>3.2300000000000002E-2</v>
      </c>
      <c r="G178" s="13">
        <v>26</v>
      </c>
      <c r="H178">
        <v>6.1199999999999997E-2</v>
      </c>
      <c r="I178">
        <v>264.28570000000002</v>
      </c>
      <c r="J178">
        <v>7.6100000000000001E-2</v>
      </c>
      <c r="K178">
        <v>668.57140000000004</v>
      </c>
      <c r="L178">
        <v>8.1799999999999998E-2</v>
      </c>
      <c r="M178" s="13">
        <v>1294.7143000000001</v>
      </c>
    </row>
    <row r="179" spans="1:13" x14ac:dyDescent="0.2">
      <c r="A179">
        <v>177</v>
      </c>
      <c r="B179">
        <v>19921029</v>
      </c>
      <c r="C179" s="13">
        <v>1</v>
      </c>
      <c r="D179" s="9">
        <v>2.98E-2</v>
      </c>
      <c r="E179" s="13">
        <v>13</v>
      </c>
      <c r="F179">
        <v>3.2500000000000001E-2</v>
      </c>
      <c r="G179" s="13">
        <v>26</v>
      </c>
      <c r="H179">
        <v>6.1199999999999997E-2</v>
      </c>
      <c r="I179">
        <v>263.28570000000002</v>
      </c>
      <c r="J179">
        <v>7.6300000000000007E-2</v>
      </c>
      <c r="K179">
        <v>667.57140000000004</v>
      </c>
      <c r="L179">
        <v>8.2100000000000006E-2</v>
      </c>
      <c r="M179" s="13">
        <v>1293.7143000000001</v>
      </c>
    </row>
    <row r="180" spans="1:13" x14ac:dyDescent="0.2">
      <c r="A180">
        <v>178</v>
      </c>
      <c r="B180">
        <v>19921105</v>
      </c>
      <c r="C180" s="13">
        <v>1</v>
      </c>
      <c r="D180" s="9">
        <v>3.0599999999999999E-2</v>
      </c>
      <c r="E180" s="13">
        <v>13</v>
      </c>
      <c r="F180">
        <v>3.3000000000000002E-2</v>
      </c>
      <c r="G180" s="13">
        <v>26</v>
      </c>
      <c r="H180">
        <v>6.1899999999999997E-2</v>
      </c>
      <c r="I180">
        <v>262.28570000000002</v>
      </c>
      <c r="J180">
        <v>7.7299999999999994E-2</v>
      </c>
      <c r="K180">
        <v>666.57140000000004</v>
      </c>
      <c r="L180">
        <v>8.2000000000000003E-2</v>
      </c>
      <c r="M180" s="13">
        <v>1292.7143000000001</v>
      </c>
    </row>
    <row r="181" spans="1:13" x14ac:dyDescent="0.2">
      <c r="A181">
        <v>179</v>
      </c>
      <c r="B181">
        <v>19921113</v>
      </c>
      <c r="C181" s="13">
        <v>1.142857</v>
      </c>
      <c r="D181" s="9">
        <v>3.1099999999999999E-2</v>
      </c>
      <c r="E181" s="13">
        <v>12.857100000000001</v>
      </c>
      <c r="F181">
        <v>3.3599999999999998E-2</v>
      </c>
      <c r="G181" s="13">
        <v>25.857099999999999</v>
      </c>
      <c r="H181">
        <v>6.1100000000000002E-2</v>
      </c>
      <c r="I181">
        <v>261.1429</v>
      </c>
      <c r="J181">
        <v>7.5899999999999995E-2</v>
      </c>
      <c r="K181">
        <v>665.42859999999996</v>
      </c>
      <c r="L181">
        <v>8.0699999999999994E-2</v>
      </c>
      <c r="M181" s="13">
        <v>1291.5714</v>
      </c>
    </row>
    <row r="182" spans="1:13" x14ac:dyDescent="0.2">
      <c r="A182">
        <v>180</v>
      </c>
      <c r="B182">
        <v>19921119</v>
      </c>
      <c r="C182" s="13">
        <v>0.85714299999999999</v>
      </c>
      <c r="D182" s="9">
        <v>3.2000000000000001E-2</v>
      </c>
      <c r="E182" s="13">
        <v>13</v>
      </c>
      <c r="F182">
        <v>3.4299999999999997E-2</v>
      </c>
      <c r="G182" s="13">
        <v>26</v>
      </c>
      <c r="H182">
        <v>6.1899999999999997E-2</v>
      </c>
      <c r="I182">
        <v>260.28570000000002</v>
      </c>
      <c r="J182">
        <v>7.51E-2</v>
      </c>
      <c r="K182">
        <v>664.57140000000004</v>
      </c>
      <c r="L182">
        <v>7.9699999999999993E-2</v>
      </c>
      <c r="M182" s="13">
        <v>1290.7143000000001</v>
      </c>
    </row>
    <row r="183" spans="1:13" x14ac:dyDescent="0.2">
      <c r="A183">
        <v>181</v>
      </c>
      <c r="B183">
        <v>19921125</v>
      </c>
      <c r="C183" s="13">
        <v>0.85714299999999999</v>
      </c>
      <c r="D183" s="9">
        <v>3.27E-2</v>
      </c>
      <c r="E183" s="13">
        <v>13.142899999999999</v>
      </c>
      <c r="F183">
        <v>3.5000000000000003E-2</v>
      </c>
      <c r="G183" s="13">
        <v>26</v>
      </c>
      <c r="H183">
        <v>6.2700000000000006E-2</v>
      </c>
      <c r="I183">
        <v>259.42860000000002</v>
      </c>
      <c r="J183">
        <v>7.5300000000000006E-2</v>
      </c>
      <c r="K183">
        <v>663.71429999999998</v>
      </c>
      <c r="L183">
        <v>7.9899999999999999E-2</v>
      </c>
      <c r="M183" s="13">
        <v>1289.8570999999999</v>
      </c>
    </row>
    <row r="184" spans="1:13" x14ac:dyDescent="0.2">
      <c r="A184">
        <v>182</v>
      </c>
      <c r="B184">
        <v>19921203</v>
      </c>
      <c r="C184" s="13">
        <v>1.142857</v>
      </c>
      <c r="D184" s="9">
        <v>3.39E-2</v>
      </c>
      <c r="E184" s="13">
        <v>13</v>
      </c>
      <c r="F184">
        <v>3.56E-2</v>
      </c>
      <c r="G184" s="13">
        <v>26</v>
      </c>
      <c r="H184">
        <v>6.4299999999999996E-2</v>
      </c>
      <c r="I184">
        <v>258.28570000000002</v>
      </c>
      <c r="J184">
        <v>7.5800000000000006E-2</v>
      </c>
      <c r="K184">
        <v>662.57140000000004</v>
      </c>
      <c r="L184">
        <v>7.9699999999999993E-2</v>
      </c>
      <c r="M184" s="13">
        <v>1288.7143000000001</v>
      </c>
    </row>
    <row r="185" spans="1:13" x14ac:dyDescent="0.2">
      <c r="A185">
        <v>183</v>
      </c>
      <c r="B185">
        <v>19921210</v>
      </c>
      <c r="C185" s="13">
        <v>1</v>
      </c>
      <c r="D185" s="9">
        <v>3.2800000000000003E-2</v>
      </c>
      <c r="E185" s="13">
        <v>13</v>
      </c>
      <c r="F185">
        <v>3.4200000000000001E-2</v>
      </c>
      <c r="G185" s="13">
        <v>26</v>
      </c>
      <c r="H185">
        <v>6.2100000000000002E-2</v>
      </c>
      <c r="I185">
        <v>257.28570000000002</v>
      </c>
      <c r="J185">
        <v>7.4300000000000005E-2</v>
      </c>
      <c r="K185">
        <v>661.57140000000004</v>
      </c>
      <c r="L185">
        <v>7.85E-2</v>
      </c>
      <c r="M185" s="13">
        <v>1287.7143000000001</v>
      </c>
    </row>
    <row r="186" spans="1:13" x14ac:dyDescent="0.2">
      <c r="A186">
        <v>184</v>
      </c>
      <c r="B186">
        <v>19921217</v>
      </c>
      <c r="C186" s="13">
        <v>1</v>
      </c>
      <c r="D186" s="9">
        <v>3.2599999999999997E-2</v>
      </c>
      <c r="E186" s="13">
        <v>13</v>
      </c>
      <c r="F186">
        <v>3.44E-2</v>
      </c>
      <c r="G186" s="13">
        <v>26</v>
      </c>
      <c r="H186">
        <v>6.25E-2</v>
      </c>
      <c r="I186">
        <v>256.28570000000002</v>
      </c>
      <c r="J186">
        <v>7.4899999999999994E-2</v>
      </c>
      <c r="K186">
        <v>660.57140000000004</v>
      </c>
      <c r="L186">
        <v>7.8700000000000006E-2</v>
      </c>
      <c r="M186" s="13">
        <v>1286.7143000000001</v>
      </c>
    </row>
    <row r="187" spans="1:13" x14ac:dyDescent="0.2">
      <c r="A187">
        <v>185</v>
      </c>
      <c r="B187">
        <v>19921224</v>
      </c>
      <c r="C187" s="13">
        <v>1</v>
      </c>
      <c r="D187" s="9">
        <v>3.2300000000000002E-2</v>
      </c>
      <c r="E187" s="13">
        <v>13</v>
      </c>
      <c r="F187">
        <v>3.39E-2</v>
      </c>
      <c r="G187" s="13">
        <v>26</v>
      </c>
      <c r="H187">
        <v>6.2100000000000002E-2</v>
      </c>
      <c r="I187">
        <v>255.28569999999999</v>
      </c>
      <c r="J187">
        <v>7.3899999999999993E-2</v>
      </c>
      <c r="K187">
        <v>659.57140000000004</v>
      </c>
      <c r="L187">
        <v>7.7899999999999997E-2</v>
      </c>
      <c r="M187" s="13">
        <v>1285.7143000000001</v>
      </c>
    </row>
    <row r="188" spans="1:13" x14ac:dyDescent="0.2">
      <c r="A188">
        <v>186</v>
      </c>
      <c r="B188">
        <v>19921231</v>
      </c>
      <c r="C188" s="13">
        <v>1</v>
      </c>
      <c r="D188" s="9">
        <v>3.1699999999999999E-2</v>
      </c>
      <c r="E188" s="13">
        <v>13</v>
      </c>
      <c r="F188">
        <v>3.3700000000000001E-2</v>
      </c>
      <c r="G188" s="13">
        <v>26</v>
      </c>
      <c r="H188">
        <v>6.1400000000000003E-2</v>
      </c>
      <c r="I188">
        <v>254.28569999999999</v>
      </c>
      <c r="J188">
        <v>7.3999999999999996E-2</v>
      </c>
      <c r="K188">
        <v>658.57140000000004</v>
      </c>
      <c r="L188">
        <v>7.8399999999999997E-2</v>
      </c>
      <c r="M188" s="13">
        <v>1284.7143000000001</v>
      </c>
    </row>
    <row r="189" spans="1:13" x14ac:dyDescent="0.2">
      <c r="A189">
        <v>187</v>
      </c>
      <c r="B189">
        <v>19930107</v>
      </c>
      <c r="C189" s="13">
        <v>1</v>
      </c>
      <c r="D189" s="9">
        <v>3.15E-2</v>
      </c>
      <c r="E189" s="13">
        <v>13</v>
      </c>
      <c r="F189">
        <v>3.3300000000000003E-2</v>
      </c>
      <c r="G189" s="13">
        <v>26</v>
      </c>
      <c r="H189">
        <v>6.1800000000000001E-2</v>
      </c>
      <c r="I189">
        <v>266.42860000000002</v>
      </c>
      <c r="J189">
        <v>7.3200000000000001E-2</v>
      </c>
      <c r="K189">
        <v>657.57140000000004</v>
      </c>
      <c r="L189">
        <v>7.7799999999999994E-2</v>
      </c>
      <c r="M189" s="13">
        <v>1322.7143000000001</v>
      </c>
    </row>
    <row r="190" spans="1:13" x14ac:dyDescent="0.2">
      <c r="A190">
        <v>188</v>
      </c>
      <c r="B190">
        <v>19930114</v>
      </c>
      <c r="C190" s="13">
        <v>1</v>
      </c>
      <c r="D190" s="9">
        <v>3.04E-2</v>
      </c>
      <c r="E190" s="13">
        <v>13</v>
      </c>
      <c r="F190">
        <v>3.2199999999999999E-2</v>
      </c>
      <c r="G190" s="13">
        <v>26</v>
      </c>
      <c r="H190">
        <v>6.1699999999999998E-2</v>
      </c>
      <c r="I190">
        <v>265.42860000000002</v>
      </c>
      <c r="J190">
        <v>7.3899999999999993E-2</v>
      </c>
      <c r="K190">
        <v>656.57140000000004</v>
      </c>
      <c r="L190">
        <v>7.9500000000000001E-2</v>
      </c>
      <c r="M190" s="13">
        <v>1321.7143000000001</v>
      </c>
    </row>
    <row r="191" spans="1:13" x14ac:dyDescent="0.2">
      <c r="A191">
        <v>189</v>
      </c>
      <c r="B191">
        <v>19930121</v>
      </c>
      <c r="C191" s="13">
        <v>1</v>
      </c>
      <c r="D191" s="9">
        <v>3.0499999999999999E-2</v>
      </c>
      <c r="E191" s="13">
        <v>13</v>
      </c>
      <c r="F191">
        <v>3.2000000000000001E-2</v>
      </c>
      <c r="G191" s="13">
        <v>26</v>
      </c>
      <c r="H191">
        <v>6.0600000000000001E-2</v>
      </c>
      <c r="I191">
        <v>264.42860000000002</v>
      </c>
      <c r="J191">
        <v>7.2999999999999995E-2</v>
      </c>
      <c r="K191">
        <v>655.57140000000004</v>
      </c>
      <c r="L191">
        <v>7.7600000000000002E-2</v>
      </c>
      <c r="M191" s="13">
        <v>1320.7143000000001</v>
      </c>
    </row>
    <row r="192" spans="1:13" x14ac:dyDescent="0.2">
      <c r="A192">
        <v>190</v>
      </c>
      <c r="B192">
        <v>19930128</v>
      </c>
      <c r="C192" s="13">
        <v>1</v>
      </c>
      <c r="D192" s="9">
        <v>2.9499999999999998E-2</v>
      </c>
      <c r="E192" s="13">
        <v>13</v>
      </c>
      <c r="F192">
        <v>3.1300000000000001E-2</v>
      </c>
      <c r="G192" s="13">
        <v>26</v>
      </c>
      <c r="H192">
        <v>5.8900000000000001E-2</v>
      </c>
      <c r="I192">
        <v>263.42860000000002</v>
      </c>
      <c r="J192">
        <v>7.1599999999999997E-2</v>
      </c>
      <c r="K192">
        <v>654.57140000000004</v>
      </c>
      <c r="L192">
        <v>7.7200000000000005E-2</v>
      </c>
      <c r="M192" s="13">
        <v>1319.7143000000001</v>
      </c>
    </row>
    <row r="193" spans="1:13" x14ac:dyDescent="0.2">
      <c r="A193">
        <v>191</v>
      </c>
      <c r="B193">
        <v>19930204</v>
      </c>
      <c r="C193" s="13">
        <v>1</v>
      </c>
      <c r="D193" s="9">
        <v>2.9700000000000001E-2</v>
      </c>
      <c r="E193" s="13">
        <v>13</v>
      </c>
      <c r="F193">
        <v>3.1899999999999998E-2</v>
      </c>
      <c r="G193" s="13">
        <v>26</v>
      </c>
      <c r="H193">
        <v>5.79E-2</v>
      </c>
      <c r="I193">
        <v>262.42860000000002</v>
      </c>
      <c r="J193">
        <v>7.1300000000000002E-2</v>
      </c>
      <c r="K193">
        <v>653.57140000000004</v>
      </c>
      <c r="L193">
        <v>7.7499999999999999E-2</v>
      </c>
      <c r="M193" s="13">
        <v>1318.7143000000001</v>
      </c>
    </row>
    <row r="194" spans="1:13" x14ac:dyDescent="0.2">
      <c r="A194">
        <v>192</v>
      </c>
      <c r="B194">
        <v>19930211</v>
      </c>
      <c r="C194" s="13">
        <v>1</v>
      </c>
      <c r="D194" s="9">
        <v>2.98E-2</v>
      </c>
      <c r="E194" s="13">
        <v>13</v>
      </c>
      <c r="F194">
        <v>3.2000000000000001E-2</v>
      </c>
      <c r="G194" s="13">
        <v>26</v>
      </c>
      <c r="H194">
        <v>5.7700000000000001E-2</v>
      </c>
      <c r="I194">
        <v>261.42860000000002</v>
      </c>
      <c r="J194">
        <v>7.1099999999999997E-2</v>
      </c>
      <c r="K194">
        <v>652.57140000000004</v>
      </c>
      <c r="L194">
        <v>7.7600000000000002E-2</v>
      </c>
      <c r="M194" s="13">
        <v>1317.7143000000001</v>
      </c>
    </row>
    <row r="195" spans="1:13" x14ac:dyDescent="0.2">
      <c r="A195">
        <v>193</v>
      </c>
      <c r="B195">
        <v>19930218</v>
      </c>
      <c r="C195" s="13">
        <v>1</v>
      </c>
      <c r="D195" s="9">
        <v>2.9499999999999998E-2</v>
      </c>
      <c r="E195" s="13">
        <v>13</v>
      </c>
      <c r="F195">
        <v>3.1199999999999999E-2</v>
      </c>
      <c r="G195" s="13">
        <v>26</v>
      </c>
      <c r="H195">
        <v>5.5899999999999998E-2</v>
      </c>
      <c r="I195">
        <v>260.42860000000002</v>
      </c>
      <c r="J195">
        <v>7.0099999999999996E-2</v>
      </c>
      <c r="K195">
        <v>651.57140000000004</v>
      </c>
      <c r="L195">
        <v>7.6700000000000004E-2</v>
      </c>
      <c r="M195" s="13">
        <v>1316.7143000000001</v>
      </c>
    </row>
    <row r="196" spans="1:13" x14ac:dyDescent="0.2">
      <c r="A196">
        <v>194</v>
      </c>
      <c r="B196">
        <v>19930225</v>
      </c>
      <c r="C196" s="13">
        <v>1</v>
      </c>
      <c r="D196" s="9">
        <v>0.03</v>
      </c>
      <c r="E196" s="13">
        <v>13</v>
      </c>
      <c r="F196">
        <v>3.1199999999999999E-2</v>
      </c>
      <c r="G196" s="13">
        <v>26</v>
      </c>
      <c r="H196">
        <v>5.3600000000000002E-2</v>
      </c>
      <c r="I196">
        <v>259.42860000000002</v>
      </c>
      <c r="J196">
        <v>6.7400000000000002E-2</v>
      </c>
      <c r="K196">
        <v>650.57140000000004</v>
      </c>
      <c r="L196">
        <v>7.4899999999999994E-2</v>
      </c>
      <c r="M196" s="13">
        <v>1315.7143000000001</v>
      </c>
    </row>
    <row r="197" spans="1:13" x14ac:dyDescent="0.2">
      <c r="A197">
        <v>195</v>
      </c>
      <c r="B197">
        <v>19930304</v>
      </c>
      <c r="C197" s="13">
        <v>1</v>
      </c>
      <c r="D197" s="9">
        <v>2.98E-2</v>
      </c>
      <c r="E197" s="13">
        <v>13</v>
      </c>
      <c r="F197">
        <v>3.09E-2</v>
      </c>
      <c r="G197" s="13">
        <v>26</v>
      </c>
      <c r="H197">
        <v>5.1900000000000002E-2</v>
      </c>
      <c r="I197">
        <v>258.42860000000002</v>
      </c>
      <c r="J197">
        <v>6.5799999999999997E-2</v>
      </c>
      <c r="K197">
        <v>649.57140000000004</v>
      </c>
      <c r="L197">
        <v>7.4300000000000005E-2</v>
      </c>
      <c r="M197" s="13">
        <v>1314.7143000000001</v>
      </c>
    </row>
    <row r="198" spans="1:13" x14ac:dyDescent="0.2">
      <c r="A198">
        <v>196</v>
      </c>
      <c r="B198">
        <v>19930311</v>
      </c>
      <c r="C198" s="13">
        <v>1</v>
      </c>
      <c r="D198" s="9">
        <v>3.0200000000000001E-2</v>
      </c>
      <c r="E198" s="13">
        <v>13</v>
      </c>
      <c r="F198">
        <v>3.1699999999999999E-2</v>
      </c>
      <c r="G198" s="13">
        <v>26</v>
      </c>
      <c r="H198">
        <v>5.3600000000000002E-2</v>
      </c>
      <c r="I198">
        <v>257.42860000000002</v>
      </c>
      <c r="J198">
        <v>6.6600000000000006E-2</v>
      </c>
      <c r="K198">
        <v>648.57140000000004</v>
      </c>
      <c r="L198">
        <v>7.3499999999999996E-2</v>
      </c>
      <c r="M198" s="13">
        <v>1313.7143000000001</v>
      </c>
    </row>
    <row r="199" spans="1:13" x14ac:dyDescent="0.2">
      <c r="A199">
        <v>197</v>
      </c>
      <c r="B199">
        <v>19930318</v>
      </c>
      <c r="C199" s="13">
        <v>1</v>
      </c>
      <c r="D199" s="9">
        <v>3.0200000000000001E-2</v>
      </c>
      <c r="E199" s="13">
        <v>13</v>
      </c>
      <c r="F199">
        <v>3.1600000000000003E-2</v>
      </c>
      <c r="G199" s="13">
        <v>26</v>
      </c>
      <c r="H199">
        <v>5.3499999999999999E-2</v>
      </c>
      <c r="I199">
        <v>256.42860000000002</v>
      </c>
      <c r="J199">
        <v>6.7400000000000002E-2</v>
      </c>
      <c r="K199">
        <v>647.57140000000004</v>
      </c>
      <c r="L199">
        <v>7.4700000000000003E-2</v>
      </c>
      <c r="M199" s="13">
        <v>1312.7143000000001</v>
      </c>
    </row>
    <row r="200" spans="1:13" x14ac:dyDescent="0.2">
      <c r="A200">
        <v>198</v>
      </c>
      <c r="B200">
        <v>19930325</v>
      </c>
      <c r="C200" s="13">
        <v>1</v>
      </c>
      <c r="D200" s="9">
        <v>2.9600000000000001E-2</v>
      </c>
      <c r="E200" s="13">
        <v>13</v>
      </c>
      <c r="F200">
        <v>3.09E-2</v>
      </c>
      <c r="G200" s="13">
        <v>26</v>
      </c>
      <c r="H200">
        <v>5.3199999999999997E-2</v>
      </c>
      <c r="I200">
        <v>255.42859999999999</v>
      </c>
      <c r="J200">
        <v>6.6799999999999998E-2</v>
      </c>
      <c r="K200">
        <v>646.57140000000004</v>
      </c>
      <c r="L200">
        <v>7.4099999999999999E-2</v>
      </c>
      <c r="M200" s="13">
        <v>1311.7143000000001</v>
      </c>
    </row>
    <row r="201" spans="1:13" x14ac:dyDescent="0.2">
      <c r="A201">
        <v>199</v>
      </c>
      <c r="B201">
        <v>19930401</v>
      </c>
      <c r="C201" s="13">
        <v>1</v>
      </c>
      <c r="D201" s="9">
        <v>2.93E-2</v>
      </c>
      <c r="E201" s="13">
        <v>13</v>
      </c>
      <c r="F201">
        <v>3.0700000000000002E-2</v>
      </c>
      <c r="G201" s="13">
        <v>26</v>
      </c>
      <c r="H201">
        <v>5.5E-2</v>
      </c>
      <c r="I201">
        <v>267.1429</v>
      </c>
      <c r="J201">
        <v>6.7900000000000002E-2</v>
      </c>
      <c r="K201">
        <v>645.57140000000004</v>
      </c>
      <c r="L201">
        <v>7.5200000000000003E-2</v>
      </c>
      <c r="M201" s="13">
        <v>1310.7143000000001</v>
      </c>
    </row>
    <row r="202" spans="1:13" x14ac:dyDescent="0.2">
      <c r="A202">
        <v>200</v>
      </c>
      <c r="B202">
        <v>19930408</v>
      </c>
      <c r="C202" s="13">
        <v>1</v>
      </c>
      <c r="D202" s="9">
        <v>2.9600000000000001E-2</v>
      </c>
      <c r="E202" s="13">
        <v>13</v>
      </c>
      <c r="F202">
        <v>3.0599999999999999E-2</v>
      </c>
      <c r="G202" s="13">
        <v>25</v>
      </c>
      <c r="H202">
        <v>5.4899999999999997E-2</v>
      </c>
      <c r="I202">
        <v>266.1429</v>
      </c>
      <c r="J202">
        <v>6.8400000000000002E-2</v>
      </c>
      <c r="K202">
        <v>644.57140000000004</v>
      </c>
      <c r="L202">
        <v>7.5899999999999995E-2</v>
      </c>
      <c r="M202" s="13">
        <v>1309.7143000000001</v>
      </c>
    </row>
    <row r="203" spans="1:13" x14ac:dyDescent="0.2">
      <c r="A203">
        <v>201</v>
      </c>
      <c r="B203">
        <v>19930415</v>
      </c>
      <c r="C203" s="13">
        <v>1</v>
      </c>
      <c r="D203" s="9">
        <v>2.86E-2</v>
      </c>
      <c r="E203" s="13">
        <v>13</v>
      </c>
      <c r="F203">
        <v>3.0200000000000001E-2</v>
      </c>
      <c r="G203" s="13">
        <v>26</v>
      </c>
      <c r="H203">
        <v>5.3100000000000001E-2</v>
      </c>
      <c r="I203">
        <v>265.1429</v>
      </c>
      <c r="J203">
        <v>6.6699999999999995E-2</v>
      </c>
      <c r="K203">
        <v>643.57140000000004</v>
      </c>
      <c r="L203">
        <v>7.3400000000000007E-2</v>
      </c>
      <c r="M203" s="13">
        <v>1308.7143000000001</v>
      </c>
    </row>
    <row r="204" spans="1:13" x14ac:dyDescent="0.2">
      <c r="A204">
        <v>202</v>
      </c>
      <c r="B204">
        <v>19930422</v>
      </c>
      <c r="C204" s="13">
        <v>1</v>
      </c>
      <c r="D204" s="9">
        <v>2.8400000000000002E-2</v>
      </c>
      <c r="E204" s="13">
        <v>13</v>
      </c>
      <c r="F204">
        <v>2.98E-2</v>
      </c>
      <c r="G204" s="13">
        <v>26</v>
      </c>
      <c r="H204">
        <v>5.28E-2</v>
      </c>
      <c r="I204">
        <v>264.1429</v>
      </c>
      <c r="J204">
        <v>6.6299999999999998E-2</v>
      </c>
      <c r="K204">
        <v>642.57140000000004</v>
      </c>
      <c r="L204">
        <v>7.3300000000000004E-2</v>
      </c>
      <c r="M204" s="13">
        <v>1307.7143000000001</v>
      </c>
    </row>
    <row r="205" spans="1:13" x14ac:dyDescent="0.2">
      <c r="A205">
        <v>203</v>
      </c>
      <c r="B205">
        <v>19930429</v>
      </c>
      <c r="C205" s="13">
        <v>1</v>
      </c>
      <c r="D205" s="9">
        <v>2.9600000000000001E-2</v>
      </c>
      <c r="E205" s="13">
        <v>13</v>
      </c>
      <c r="F205">
        <v>3.0599999999999999E-2</v>
      </c>
      <c r="G205" s="13">
        <v>26</v>
      </c>
      <c r="H205">
        <v>5.3900000000000003E-2</v>
      </c>
      <c r="I205">
        <v>263.1429</v>
      </c>
      <c r="J205">
        <v>6.8000000000000005E-2</v>
      </c>
      <c r="K205">
        <v>641.57140000000004</v>
      </c>
      <c r="L205">
        <v>7.5499999999999998E-2</v>
      </c>
      <c r="M205" s="13">
        <v>1306.7143000000001</v>
      </c>
    </row>
    <row r="206" spans="1:13" x14ac:dyDescent="0.2">
      <c r="A206">
        <v>204</v>
      </c>
      <c r="B206">
        <v>19930506</v>
      </c>
      <c r="C206" s="13">
        <v>1</v>
      </c>
      <c r="D206" s="9">
        <v>2.93E-2</v>
      </c>
      <c r="E206" s="13">
        <v>13</v>
      </c>
      <c r="F206">
        <v>3.0599999999999999E-2</v>
      </c>
      <c r="G206" s="13">
        <v>26</v>
      </c>
      <c r="H206">
        <v>5.2900000000000003E-2</v>
      </c>
      <c r="I206">
        <v>262.1429</v>
      </c>
      <c r="J206">
        <v>6.7100000000000007E-2</v>
      </c>
      <c r="K206">
        <v>640.57140000000004</v>
      </c>
      <c r="L206">
        <v>7.4399999999999994E-2</v>
      </c>
      <c r="M206" s="13">
        <v>1305.7143000000001</v>
      </c>
    </row>
    <row r="207" spans="1:13" x14ac:dyDescent="0.2">
      <c r="A207">
        <v>205</v>
      </c>
      <c r="B207">
        <v>19930513</v>
      </c>
      <c r="C207" s="13">
        <v>1</v>
      </c>
      <c r="D207" s="9">
        <v>2.9399999999999999E-2</v>
      </c>
      <c r="E207" s="13">
        <v>13</v>
      </c>
      <c r="F207">
        <v>3.0700000000000002E-2</v>
      </c>
      <c r="G207" s="13">
        <v>26</v>
      </c>
      <c r="H207">
        <v>5.28E-2</v>
      </c>
      <c r="I207">
        <v>261.1429</v>
      </c>
      <c r="J207">
        <v>6.7199999999999996E-2</v>
      </c>
      <c r="K207">
        <v>639.57140000000004</v>
      </c>
      <c r="L207">
        <v>7.4800000000000005E-2</v>
      </c>
      <c r="M207" s="13">
        <v>1304.7143000000001</v>
      </c>
    </row>
    <row r="208" spans="1:13" x14ac:dyDescent="0.2">
      <c r="A208">
        <v>206</v>
      </c>
      <c r="B208">
        <v>19930520</v>
      </c>
      <c r="C208" s="13">
        <v>1</v>
      </c>
      <c r="D208" s="9">
        <v>3.0099999999999998E-2</v>
      </c>
      <c r="E208" s="13">
        <v>13</v>
      </c>
      <c r="F208">
        <v>3.15E-2</v>
      </c>
      <c r="G208" s="13">
        <v>26</v>
      </c>
      <c r="H208">
        <v>5.4699999999999999E-2</v>
      </c>
      <c r="I208">
        <v>260.1429</v>
      </c>
      <c r="J208">
        <v>6.83E-2</v>
      </c>
      <c r="K208">
        <v>638.57140000000004</v>
      </c>
      <c r="L208">
        <v>7.6100000000000001E-2</v>
      </c>
      <c r="M208" s="13">
        <v>1303.7143000000001</v>
      </c>
    </row>
    <row r="209" spans="1:13" x14ac:dyDescent="0.2">
      <c r="A209">
        <v>207</v>
      </c>
      <c r="B209">
        <v>19930527</v>
      </c>
      <c r="C209" s="13">
        <v>1</v>
      </c>
      <c r="D209" s="9">
        <v>3.1E-2</v>
      </c>
      <c r="E209" s="13">
        <v>13</v>
      </c>
      <c r="F209">
        <v>3.2599999999999997E-2</v>
      </c>
      <c r="G209" s="13">
        <v>26.142900000000001</v>
      </c>
      <c r="H209">
        <v>5.5399999999999998E-2</v>
      </c>
      <c r="I209">
        <v>259.1429</v>
      </c>
      <c r="J209">
        <v>6.83E-2</v>
      </c>
      <c r="K209">
        <v>637.57140000000004</v>
      </c>
      <c r="L209">
        <v>7.4800000000000005E-2</v>
      </c>
      <c r="M209" s="13">
        <v>1302.7143000000001</v>
      </c>
    </row>
    <row r="210" spans="1:13" x14ac:dyDescent="0.2">
      <c r="A210">
        <v>208</v>
      </c>
      <c r="B210">
        <v>19930603</v>
      </c>
      <c r="C210" s="13">
        <v>1</v>
      </c>
      <c r="D210" s="9">
        <v>3.1199999999999999E-2</v>
      </c>
      <c r="E210" s="13">
        <v>13</v>
      </c>
      <c r="F210">
        <v>3.2800000000000003E-2</v>
      </c>
      <c r="G210" s="13">
        <v>26</v>
      </c>
      <c r="H210">
        <v>5.3999999999999999E-2</v>
      </c>
      <c r="I210">
        <v>258.1429</v>
      </c>
      <c r="J210">
        <v>6.7599999999999993E-2</v>
      </c>
      <c r="K210">
        <v>636.57140000000004</v>
      </c>
      <c r="L210">
        <v>7.3899999999999993E-2</v>
      </c>
      <c r="M210" s="13">
        <v>1301.7143000000001</v>
      </c>
    </row>
    <row r="211" spans="1:13" x14ac:dyDescent="0.2">
      <c r="A211">
        <v>209</v>
      </c>
      <c r="B211">
        <v>19930610</v>
      </c>
      <c r="C211" s="13">
        <v>1</v>
      </c>
      <c r="D211" s="9">
        <v>3.1600000000000003E-2</v>
      </c>
      <c r="E211" s="13">
        <v>13</v>
      </c>
      <c r="F211">
        <v>3.3500000000000002E-2</v>
      </c>
      <c r="G211" s="13">
        <v>26</v>
      </c>
      <c r="H211">
        <v>5.45E-2</v>
      </c>
      <c r="I211">
        <v>257.1429</v>
      </c>
      <c r="J211">
        <v>6.7699999999999996E-2</v>
      </c>
      <c r="K211">
        <v>635.57140000000004</v>
      </c>
      <c r="L211">
        <v>7.3899999999999993E-2</v>
      </c>
      <c r="M211" s="13">
        <v>1300.7143000000001</v>
      </c>
    </row>
    <row r="212" spans="1:13" x14ac:dyDescent="0.2">
      <c r="A212">
        <v>210</v>
      </c>
      <c r="B212">
        <v>19930617</v>
      </c>
      <c r="C212" s="13">
        <v>1</v>
      </c>
      <c r="D212" s="9">
        <v>3.09E-2</v>
      </c>
      <c r="E212" s="13">
        <v>13</v>
      </c>
      <c r="F212">
        <v>3.2199999999999999E-2</v>
      </c>
      <c r="G212" s="13">
        <v>26</v>
      </c>
      <c r="H212">
        <v>5.2999999999999999E-2</v>
      </c>
      <c r="I212">
        <v>256.1429</v>
      </c>
      <c r="J212">
        <v>6.6600000000000006E-2</v>
      </c>
      <c r="K212">
        <v>634.57140000000004</v>
      </c>
      <c r="L212">
        <v>7.3599999999999999E-2</v>
      </c>
      <c r="M212" s="13">
        <v>1299.7143000000001</v>
      </c>
    </row>
    <row r="213" spans="1:13" x14ac:dyDescent="0.2">
      <c r="A213">
        <v>211</v>
      </c>
      <c r="B213">
        <v>19930624</v>
      </c>
      <c r="C213" s="13">
        <v>1</v>
      </c>
      <c r="D213" s="9">
        <v>3.1699999999999999E-2</v>
      </c>
      <c r="E213" s="13">
        <v>13</v>
      </c>
      <c r="F213">
        <v>3.3000000000000002E-2</v>
      </c>
      <c r="G213" s="13">
        <v>26</v>
      </c>
      <c r="H213">
        <v>5.2999999999999999E-2</v>
      </c>
      <c r="I213">
        <v>255.1429</v>
      </c>
      <c r="J213">
        <v>6.6199999999999995E-2</v>
      </c>
      <c r="K213">
        <v>633.57140000000004</v>
      </c>
      <c r="L213">
        <v>7.3099999999999998E-2</v>
      </c>
      <c r="M213" s="13">
        <v>1298.7143000000001</v>
      </c>
    </row>
    <row r="214" spans="1:13" x14ac:dyDescent="0.2">
      <c r="A214">
        <v>212</v>
      </c>
      <c r="B214">
        <v>19930701</v>
      </c>
      <c r="C214" s="13">
        <v>1</v>
      </c>
      <c r="D214" s="9">
        <v>3.0700000000000002E-2</v>
      </c>
      <c r="E214" s="13">
        <v>13</v>
      </c>
      <c r="F214">
        <v>3.2000000000000001E-2</v>
      </c>
      <c r="G214" s="13">
        <v>26</v>
      </c>
      <c r="H214">
        <v>5.21E-2</v>
      </c>
      <c r="I214">
        <v>267.28570000000002</v>
      </c>
      <c r="J214">
        <v>6.3200000000000006E-2</v>
      </c>
      <c r="K214">
        <v>632.57140000000004</v>
      </c>
      <c r="L214">
        <v>7.22E-2</v>
      </c>
      <c r="M214" s="13">
        <v>1324</v>
      </c>
    </row>
    <row r="215" spans="1:13" x14ac:dyDescent="0.2">
      <c r="A215">
        <v>213</v>
      </c>
      <c r="B215">
        <v>19930708</v>
      </c>
      <c r="C215" s="13">
        <v>1</v>
      </c>
      <c r="D215" s="9">
        <v>3.09E-2</v>
      </c>
      <c r="E215" s="13">
        <v>13</v>
      </c>
      <c r="F215">
        <v>3.1800000000000002E-2</v>
      </c>
      <c r="G215" s="13">
        <v>26</v>
      </c>
      <c r="H215">
        <v>5.1999999999999998E-2</v>
      </c>
      <c r="I215">
        <v>266.28570000000002</v>
      </c>
      <c r="J215">
        <v>6.3299999999999995E-2</v>
      </c>
      <c r="K215">
        <v>631.57140000000004</v>
      </c>
      <c r="L215">
        <v>7.22E-2</v>
      </c>
      <c r="M215" s="13">
        <v>1296.7143000000001</v>
      </c>
    </row>
    <row r="216" spans="1:13" x14ac:dyDescent="0.2">
      <c r="A216">
        <v>214</v>
      </c>
      <c r="B216">
        <v>19930715</v>
      </c>
      <c r="C216" s="13">
        <v>1</v>
      </c>
      <c r="D216" s="9">
        <v>3.0499999999999999E-2</v>
      </c>
      <c r="E216" s="13">
        <v>13</v>
      </c>
      <c r="F216">
        <v>3.1899999999999998E-2</v>
      </c>
      <c r="G216" s="13">
        <v>26</v>
      </c>
      <c r="H216">
        <v>5.1200000000000002E-2</v>
      </c>
      <c r="I216">
        <v>265.28570000000002</v>
      </c>
      <c r="J216">
        <v>6.25E-2</v>
      </c>
      <c r="K216">
        <v>630.57140000000004</v>
      </c>
      <c r="L216">
        <v>7.0999999999999994E-2</v>
      </c>
      <c r="M216" s="13">
        <v>1295.7143000000001</v>
      </c>
    </row>
    <row r="217" spans="1:13" x14ac:dyDescent="0.2">
      <c r="A217">
        <v>215</v>
      </c>
      <c r="B217">
        <v>19930722</v>
      </c>
      <c r="C217" s="13">
        <v>1</v>
      </c>
      <c r="D217" s="9">
        <v>3.1199999999999999E-2</v>
      </c>
      <c r="E217" s="13">
        <v>13</v>
      </c>
      <c r="F217">
        <v>3.27E-2</v>
      </c>
      <c r="G217" s="13">
        <v>26</v>
      </c>
      <c r="H217">
        <v>5.2900000000000003E-2</v>
      </c>
      <c r="I217">
        <v>264.28570000000002</v>
      </c>
      <c r="J217">
        <v>6.3700000000000007E-2</v>
      </c>
      <c r="K217">
        <v>629.57140000000004</v>
      </c>
      <c r="L217">
        <v>7.0800000000000002E-2</v>
      </c>
      <c r="M217" s="13">
        <v>1294.7143000000001</v>
      </c>
    </row>
    <row r="218" spans="1:13" x14ac:dyDescent="0.2">
      <c r="A218">
        <v>216</v>
      </c>
      <c r="B218">
        <v>19930729</v>
      </c>
      <c r="C218" s="13">
        <v>1</v>
      </c>
      <c r="D218" s="9">
        <v>3.1300000000000001E-2</v>
      </c>
      <c r="E218" s="13">
        <v>13</v>
      </c>
      <c r="F218">
        <v>3.32E-2</v>
      </c>
      <c r="G218" s="13">
        <v>26</v>
      </c>
      <c r="H218">
        <v>5.2999999999999999E-2</v>
      </c>
      <c r="I218">
        <v>263.28570000000002</v>
      </c>
      <c r="J218">
        <v>6.4500000000000002E-2</v>
      </c>
      <c r="K218">
        <v>628.57140000000004</v>
      </c>
      <c r="L218">
        <v>7.1199999999999999E-2</v>
      </c>
      <c r="M218" s="13">
        <v>1293.7143000000001</v>
      </c>
    </row>
    <row r="219" spans="1:13" x14ac:dyDescent="0.2">
      <c r="A219">
        <v>217</v>
      </c>
      <c r="B219">
        <v>19930805</v>
      </c>
      <c r="C219" s="13">
        <v>1</v>
      </c>
      <c r="D219" s="9">
        <v>3.1300000000000001E-2</v>
      </c>
      <c r="E219" s="13">
        <v>13</v>
      </c>
      <c r="F219">
        <v>3.3000000000000002E-2</v>
      </c>
      <c r="G219" s="13">
        <v>26</v>
      </c>
      <c r="H219">
        <v>5.2900000000000003E-2</v>
      </c>
      <c r="I219">
        <v>262.28570000000002</v>
      </c>
      <c r="J219">
        <v>6.4100000000000004E-2</v>
      </c>
      <c r="K219">
        <v>627.57140000000004</v>
      </c>
      <c r="L219">
        <v>6.93E-2</v>
      </c>
      <c r="M219" s="13">
        <v>1292.7143000000001</v>
      </c>
    </row>
    <row r="220" spans="1:13" x14ac:dyDescent="0.2">
      <c r="A220">
        <v>218</v>
      </c>
      <c r="B220">
        <v>19930812</v>
      </c>
      <c r="C220" s="13">
        <v>1</v>
      </c>
      <c r="D220" s="9">
        <v>3.0599999999999999E-2</v>
      </c>
      <c r="E220" s="13">
        <v>13.142899999999999</v>
      </c>
      <c r="F220">
        <v>3.2199999999999999E-2</v>
      </c>
      <c r="G220" s="13">
        <v>26</v>
      </c>
      <c r="H220">
        <v>5.2299999999999999E-2</v>
      </c>
      <c r="I220">
        <v>261.28570000000002</v>
      </c>
      <c r="J220">
        <v>6.2600000000000003E-2</v>
      </c>
      <c r="K220">
        <v>626.57140000000004</v>
      </c>
      <c r="L220">
        <v>6.7500000000000004E-2</v>
      </c>
      <c r="M220" s="13">
        <v>1291.7143000000001</v>
      </c>
    </row>
    <row r="221" spans="1:13" x14ac:dyDescent="0.2">
      <c r="A221">
        <v>219</v>
      </c>
      <c r="B221">
        <v>19930819</v>
      </c>
      <c r="C221" s="13">
        <v>1</v>
      </c>
      <c r="D221" s="9">
        <v>3.0300000000000001E-2</v>
      </c>
      <c r="E221" s="13">
        <v>13</v>
      </c>
      <c r="F221">
        <v>3.1699999999999999E-2</v>
      </c>
      <c r="G221" s="13">
        <v>26</v>
      </c>
      <c r="H221">
        <v>5.1299999999999998E-2</v>
      </c>
      <c r="I221">
        <v>260.28570000000002</v>
      </c>
      <c r="J221">
        <v>6.1800000000000001E-2</v>
      </c>
      <c r="K221">
        <v>625.57140000000004</v>
      </c>
      <c r="L221">
        <v>6.7500000000000004E-2</v>
      </c>
      <c r="M221" s="13">
        <v>1290.7143000000001</v>
      </c>
    </row>
    <row r="222" spans="1:13" x14ac:dyDescent="0.2">
      <c r="A222">
        <v>220</v>
      </c>
      <c r="B222">
        <v>19930826</v>
      </c>
      <c r="C222" s="13">
        <v>1</v>
      </c>
      <c r="D222" s="9">
        <v>3.0200000000000001E-2</v>
      </c>
      <c r="E222" s="13">
        <v>13.142899999999999</v>
      </c>
      <c r="F222">
        <v>3.1600000000000003E-2</v>
      </c>
      <c r="G222" s="13">
        <v>26</v>
      </c>
      <c r="H222">
        <v>4.9000000000000002E-2</v>
      </c>
      <c r="I222">
        <v>259.28570000000002</v>
      </c>
      <c r="J222">
        <v>0.06</v>
      </c>
      <c r="K222">
        <v>624.57140000000004</v>
      </c>
      <c r="L222">
        <v>6.7299999999999999E-2</v>
      </c>
      <c r="M222" s="13">
        <v>1289.7143000000001</v>
      </c>
    </row>
    <row r="223" spans="1:13" x14ac:dyDescent="0.2">
      <c r="A223">
        <v>221</v>
      </c>
      <c r="B223">
        <v>19930902</v>
      </c>
      <c r="C223" s="13">
        <v>1</v>
      </c>
      <c r="D223" s="9">
        <v>3.0499999999999999E-2</v>
      </c>
      <c r="E223" s="13">
        <v>13</v>
      </c>
      <c r="F223">
        <v>3.1699999999999999E-2</v>
      </c>
      <c r="G223" s="13">
        <v>26</v>
      </c>
      <c r="H223">
        <v>4.8899999999999999E-2</v>
      </c>
      <c r="I223">
        <v>258.28570000000002</v>
      </c>
      <c r="J223">
        <v>5.9700000000000003E-2</v>
      </c>
      <c r="K223">
        <v>623.57140000000004</v>
      </c>
      <c r="L223">
        <v>6.6199999999999995E-2</v>
      </c>
      <c r="M223" s="13">
        <v>1315</v>
      </c>
    </row>
    <row r="224" spans="1:13" x14ac:dyDescent="0.2">
      <c r="A224">
        <v>222</v>
      </c>
      <c r="B224">
        <v>19930909</v>
      </c>
      <c r="C224" s="13">
        <v>1</v>
      </c>
      <c r="D224" s="9">
        <v>0.03</v>
      </c>
      <c r="E224" s="13">
        <v>13</v>
      </c>
      <c r="F224">
        <v>3.1300000000000001E-2</v>
      </c>
      <c r="G224" s="13">
        <v>26</v>
      </c>
      <c r="H224">
        <v>4.6800000000000001E-2</v>
      </c>
      <c r="I224">
        <v>257.28570000000002</v>
      </c>
      <c r="J224">
        <v>5.7299999999999997E-2</v>
      </c>
      <c r="K224">
        <v>622.57140000000004</v>
      </c>
      <c r="L224">
        <v>6.4600000000000005E-2</v>
      </c>
      <c r="M224" s="13">
        <v>1314</v>
      </c>
    </row>
    <row r="225" spans="1:13" x14ac:dyDescent="0.2">
      <c r="A225">
        <v>223</v>
      </c>
      <c r="B225">
        <v>19930916</v>
      </c>
      <c r="C225" s="13">
        <v>1</v>
      </c>
      <c r="D225" s="9">
        <v>0.03</v>
      </c>
      <c r="E225" s="13">
        <v>13</v>
      </c>
      <c r="F225">
        <v>3.1399999999999997E-2</v>
      </c>
      <c r="G225" s="13">
        <v>26</v>
      </c>
      <c r="H225">
        <v>4.8099999999999997E-2</v>
      </c>
      <c r="I225">
        <v>256.28570000000002</v>
      </c>
      <c r="J225">
        <v>5.8999999999999997E-2</v>
      </c>
      <c r="K225">
        <v>621.57140000000004</v>
      </c>
      <c r="L225">
        <v>6.6299999999999998E-2</v>
      </c>
      <c r="M225" s="13">
        <v>1313</v>
      </c>
    </row>
    <row r="226" spans="1:13" x14ac:dyDescent="0.2">
      <c r="A226">
        <v>224</v>
      </c>
      <c r="B226">
        <v>19930923</v>
      </c>
      <c r="C226" s="13">
        <v>1</v>
      </c>
      <c r="D226" s="9">
        <v>2.9600000000000001E-2</v>
      </c>
      <c r="E226" s="13">
        <v>13</v>
      </c>
      <c r="F226">
        <v>3.1300000000000001E-2</v>
      </c>
      <c r="G226" s="13">
        <v>26</v>
      </c>
      <c r="H226">
        <v>4.8800000000000003E-2</v>
      </c>
      <c r="I226">
        <v>255.28569999999999</v>
      </c>
      <c r="J226">
        <v>6.0499999999999998E-2</v>
      </c>
      <c r="K226">
        <v>620.57140000000004</v>
      </c>
      <c r="L226">
        <v>6.7500000000000004E-2</v>
      </c>
      <c r="M226" s="13">
        <v>1312</v>
      </c>
    </row>
    <row r="227" spans="1:13" x14ac:dyDescent="0.2">
      <c r="A227">
        <v>225</v>
      </c>
      <c r="B227">
        <v>19930930</v>
      </c>
      <c r="C227" s="13">
        <v>1</v>
      </c>
      <c r="D227" s="9">
        <v>2.9700000000000001E-2</v>
      </c>
      <c r="E227" s="13">
        <v>13</v>
      </c>
      <c r="F227">
        <v>3.1300000000000001E-2</v>
      </c>
      <c r="G227" s="13">
        <v>26</v>
      </c>
      <c r="H227">
        <v>4.7899999999999998E-2</v>
      </c>
      <c r="I227">
        <v>254.28569999999999</v>
      </c>
      <c r="J227">
        <v>5.91E-2</v>
      </c>
      <c r="K227">
        <v>619.57140000000004</v>
      </c>
      <c r="L227">
        <v>6.6600000000000006E-2</v>
      </c>
      <c r="M227" s="13">
        <v>1311</v>
      </c>
    </row>
    <row r="228" spans="1:13" x14ac:dyDescent="0.2">
      <c r="A228">
        <v>226</v>
      </c>
      <c r="B228">
        <v>19931007</v>
      </c>
      <c r="C228" s="13">
        <v>1</v>
      </c>
      <c r="D228" s="9">
        <v>3.0200000000000001E-2</v>
      </c>
      <c r="E228" s="13">
        <v>13</v>
      </c>
      <c r="F228">
        <v>3.1699999999999999E-2</v>
      </c>
      <c r="G228" s="13">
        <v>26</v>
      </c>
      <c r="H228">
        <v>4.7800000000000002E-2</v>
      </c>
      <c r="I228">
        <v>266.42860000000002</v>
      </c>
      <c r="J228">
        <v>5.8200000000000002E-2</v>
      </c>
      <c r="K228">
        <v>618.57140000000004</v>
      </c>
      <c r="L228">
        <v>6.6500000000000004E-2</v>
      </c>
      <c r="M228" s="13">
        <v>1310</v>
      </c>
    </row>
    <row r="229" spans="1:13" x14ac:dyDescent="0.2">
      <c r="A229">
        <v>227</v>
      </c>
      <c r="B229">
        <v>19931014</v>
      </c>
      <c r="C229" s="13">
        <v>1</v>
      </c>
      <c r="D229" s="9">
        <v>3.0700000000000002E-2</v>
      </c>
      <c r="E229" s="13">
        <v>13</v>
      </c>
      <c r="F229">
        <v>3.1800000000000002E-2</v>
      </c>
      <c r="G229" s="13">
        <v>26</v>
      </c>
      <c r="H229">
        <v>4.7399999999999998E-2</v>
      </c>
      <c r="I229">
        <v>265.42860000000002</v>
      </c>
      <c r="J229">
        <v>5.7500000000000002E-2</v>
      </c>
      <c r="K229">
        <v>617.57140000000004</v>
      </c>
      <c r="L229">
        <v>6.5600000000000006E-2</v>
      </c>
      <c r="M229" s="13">
        <v>1309</v>
      </c>
    </row>
    <row r="230" spans="1:13" x14ac:dyDescent="0.2">
      <c r="A230">
        <v>228</v>
      </c>
      <c r="B230">
        <v>19931021</v>
      </c>
      <c r="C230" s="13">
        <v>1</v>
      </c>
      <c r="D230" s="9">
        <v>3.09E-2</v>
      </c>
      <c r="E230" s="13">
        <v>13</v>
      </c>
      <c r="F230">
        <v>3.2000000000000001E-2</v>
      </c>
      <c r="G230" s="13">
        <v>26</v>
      </c>
      <c r="H230">
        <v>4.7E-2</v>
      </c>
      <c r="I230">
        <v>264.42860000000002</v>
      </c>
      <c r="J230">
        <v>5.67E-2</v>
      </c>
      <c r="K230">
        <v>616.57140000000004</v>
      </c>
      <c r="L230">
        <v>6.4899999999999999E-2</v>
      </c>
      <c r="M230" s="13">
        <v>1308</v>
      </c>
    </row>
    <row r="231" spans="1:13" x14ac:dyDescent="0.2">
      <c r="A231">
        <v>229</v>
      </c>
      <c r="B231">
        <v>19931028</v>
      </c>
      <c r="C231" s="13">
        <v>1</v>
      </c>
      <c r="D231" s="9">
        <v>3.1300000000000001E-2</v>
      </c>
      <c r="E231" s="13">
        <v>13</v>
      </c>
      <c r="F231">
        <v>3.27E-2</v>
      </c>
      <c r="G231" s="13">
        <v>26</v>
      </c>
      <c r="H231">
        <v>4.8800000000000003E-2</v>
      </c>
      <c r="I231">
        <v>263.42860000000002</v>
      </c>
      <c r="J231">
        <v>5.8599999999999999E-2</v>
      </c>
      <c r="K231">
        <v>615.57140000000004</v>
      </c>
      <c r="L231">
        <v>6.6699999999999995E-2</v>
      </c>
      <c r="M231" s="13">
        <v>1301</v>
      </c>
    </row>
    <row r="232" spans="1:13" x14ac:dyDescent="0.2">
      <c r="A232">
        <v>230</v>
      </c>
      <c r="B232">
        <v>19931104</v>
      </c>
      <c r="C232" s="13">
        <v>1</v>
      </c>
      <c r="D232" s="9">
        <v>3.1399999999999997E-2</v>
      </c>
      <c r="E232" s="13">
        <v>13</v>
      </c>
      <c r="F232">
        <v>3.3300000000000003E-2</v>
      </c>
      <c r="G232" s="13">
        <v>26</v>
      </c>
      <c r="H232">
        <v>5.0799999999999998E-2</v>
      </c>
      <c r="I232">
        <v>262.42860000000002</v>
      </c>
      <c r="J232">
        <v>6.0999999999999999E-2</v>
      </c>
      <c r="K232">
        <v>614.57140000000004</v>
      </c>
      <c r="L232">
        <v>6.8099999999999994E-2</v>
      </c>
      <c r="M232" s="13">
        <v>1306</v>
      </c>
    </row>
    <row r="233" spans="1:13" x14ac:dyDescent="0.2">
      <c r="A233">
        <v>231</v>
      </c>
      <c r="B233">
        <v>19931111</v>
      </c>
      <c r="C233" s="13">
        <v>1</v>
      </c>
      <c r="D233" s="9">
        <v>3.1699999999999999E-2</v>
      </c>
      <c r="E233" s="13">
        <v>13</v>
      </c>
      <c r="F233">
        <v>3.3399999999999999E-2</v>
      </c>
      <c r="G233" s="13">
        <v>26</v>
      </c>
      <c r="H233">
        <v>5.16E-2</v>
      </c>
      <c r="I233">
        <v>261.42860000000002</v>
      </c>
      <c r="J233">
        <v>6.1400000000000003E-2</v>
      </c>
      <c r="K233">
        <v>613.57140000000004</v>
      </c>
      <c r="L233">
        <v>6.8400000000000002E-2</v>
      </c>
      <c r="M233" s="13">
        <v>1305</v>
      </c>
    </row>
    <row r="234" spans="1:13" x14ac:dyDescent="0.2">
      <c r="A234">
        <v>232</v>
      </c>
      <c r="B234">
        <v>19931118</v>
      </c>
      <c r="C234" s="13">
        <v>1</v>
      </c>
      <c r="D234" s="9">
        <v>3.1399999999999997E-2</v>
      </c>
      <c r="E234" s="13">
        <v>13</v>
      </c>
      <c r="F234">
        <v>3.3099999999999997E-2</v>
      </c>
      <c r="G234" s="13">
        <v>26</v>
      </c>
      <c r="H234">
        <v>5.0700000000000002E-2</v>
      </c>
      <c r="I234">
        <v>260.42860000000002</v>
      </c>
      <c r="J234">
        <v>6.08E-2</v>
      </c>
      <c r="K234">
        <v>612.57140000000004</v>
      </c>
      <c r="L234">
        <v>6.83E-2</v>
      </c>
      <c r="M234" s="13">
        <v>1304</v>
      </c>
    </row>
    <row r="235" spans="1:13" x14ac:dyDescent="0.2">
      <c r="A235">
        <v>233</v>
      </c>
      <c r="B235">
        <v>19931126</v>
      </c>
      <c r="C235" s="13">
        <v>1.142857</v>
      </c>
      <c r="D235" s="9">
        <v>3.1699999999999999E-2</v>
      </c>
      <c r="E235" s="13">
        <v>12.857100000000001</v>
      </c>
      <c r="F235">
        <v>3.3399999999999999E-2</v>
      </c>
      <c r="G235" s="13">
        <v>25.857099999999999</v>
      </c>
      <c r="H235">
        <v>5.2200000000000003E-2</v>
      </c>
      <c r="I235">
        <v>259.28570000000002</v>
      </c>
      <c r="J235">
        <v>6.2799999999999995E-2</v>
      </c>
      <c r="K235">
        <v>611.42859999999996</v>
      </c>
      <c r="L235">
        <v>6.9400000000000003E-2</v>
      </c>
      <c r="M235" s="13">
        <v>1302.8570999999999</v>
      </c>
    </row>
    <row r="236" spans="1:13" x14ac:dyDescent="0.2">
      <c r="A236">
        <v>234</v>
      </c>
      <c r="B236">
        <v>19931202</v>
      </c>
      <c r="C236" s="13">
        <v>0.85714299999999999</v>
      </c>
      <c r="D236" s="9">
        <v>3.1699999999999999E-2</v>
      </c>
      <c r="E236" s="13">
        <v>13</v>
      </c>
      <c r="F236">
        <v>3.3500000000000002E-2</v>
      </c>
      <c r="G236" s="13">
        <v>26</v>
      </c>
      <c r="H236">
        <v>5.21E-2</v>
      </c>
      <c r="I236">
        <v>258.42860000000002</v>
      </c>
      <c r="J236">
        <v>6.2399999999999997E-2</v>
      </c>
      <c r="K236">
        <v>610.57140000000004</v>
      </c>
      <c r="L236">
        <v>6.8599999999999994E-2</v>
      </c>
      <c r="M236" s="13">
        <v>1302</v>
      </c>
    </row>
    <row r="237" spans="1:13" x14ac:dyDescent="0.2">
      <c r="A237">
        <v>235</v>
      </c>
      <c r="B237">
        <v>19931209</v>
      </c>
      <c r="C237" s="13">
        <v>1</v>
      </c>
      <c r="D237" s="9">
        <v>3.1300000000000001E-2</v>
      </c>
      <c r="E237" s="13">
        <v>13</v>
      </c>
      <c r="F237">
        <v>3.3300000000000003E-2</v>
      </c>
      <c r="G237" s="13">
        <v>26</v>
      </c>
      <c r="H237">
        <v>5.16E-2</v>
      </c>
      <c r="I237">
        <v>257.42860000000002</v>
      </c>
      <c r="J237">
        <v>6.0999999999999999E-2</v>
      </c>
      <c r="K237">
        <v>609.57140000000004</v>
      </c>
      <c r="L237">
        <v>6.7100000000000007E-2</v>
      </c>
      <c r="M237" s="13">
        <v>1301</v>
      </c>
    </row>
    <row r="238" spans="1:13" x14ac:dyDescent="0.2">
      <c r="A238">
        <v>236</v>
      </c>
      <c r="B238">
        <v>19931216</v>
      </c>
      <c r="C238" s="13">
        <v>1</v>
      </c>
      <c r="D238" s="9">
        <v>3.0700000000000002E-2</v>
      </c>
      <c r="E238" s="13">
        <v>13</v>
      </c>
      <c r="F238">
        <v>3.32E-2</v>
      </c>
      <c r="G238" s="13">
        <v>26</v>
      </c>
      <c r="H238">
        <v>5.2299999999999999E-2</v>
      </c>
      <c r="I238">
        <v>256.42860000000002</v>
      </c>
      <c r="J238">
        <v>6.2399999999999997E-2</v>
      </c>
      <c r="K238">
        <v>608.57140000000004</v>
      </c>
      <c r="L238">
        <v>6.93E-2</v>
      </c>
      <c r="M238" s="13">
        <v>1300</v>
      </c>
    </row>
    <row r="239" spans="1:13" x14ac:dyDescent="0.2">
      <c r="A239">
        <v>237</v>
      </c>
      <c r="B239">
        <v>19931223</v>
      </c>
      <c r="C239" s="13">
        <v>1</v>
      </c>
      <c r="D239" s="9">
        <v>3.1099999999999999E-2</v>
      </c>
      <c r="E239" s="13">
        <v>13</v>
      </c>
      <c r="F239">
        <v>3.2800000000000003E-2</v>
      </c>
      <c r="G239" s="13">
        <v>26</v>
      </c>
      <c r="H239">
        <v>5.1700000000000003E-2</v>
      </c>
      <c r="I239">
        <v>255.42859999999999</v>
      </c>
      <c r="J239">
        <v>6.1600000000000002E-2</v>
      </c>
      <c r="K239">
        <v>607.57140000000004</v>
      </c>
      <c r="L239">
        <v>6.83E-2</v>
      </c>
      <c r="M239" s="13">
        <v>1299</v>
      </c>
    </row>
    <row r="240" spans="1:13" x14ac:dyDescent="0.2">
      <c r="A240">
        <v>238</v>
      </c>
      <c r="B240">
        <v>19931230</v>
      </c>
      <c r="C240" s="13">
        <v>1</v>
      </c>
      <c r="D240" s="9">
        <v>3.0499999999999999E-2</v>
      </c>
      <c r="E240" s="13">
        <v>13</v>
      </c>
      <c r="F240">
        <v>3.2800000000000003E-2</v>
      </c>
      <c r="G240" s="13">
        <v>26</v>
      </c>
      <c r="H240">
        <v>5.16E-2</v>
      </c>
      <c r="I240">
        <v>254.42859999999999</v>
      </c>
      <c r="J240">
        <v>6.1199999999999997E-2</v>
      </c>
      <c r="K240">
        <v>606.57140000000004</v>
      </c>
      <c r="L240">
        <v>6.8500000000000005E-2</v>
      </c>
      <c r="M240" s="13">
        <v>1298</v>
      </c>
    </row>
    <row r="241" spans="1:13" x14ac:dyDescent="0.2">
      <c r="A241">
        <v>239</v>
      </c>
      <c r="B241">
        <v>19940106</v>
      </c>
      <c r="C241" s="13">
        <v>1</v>
      </c>
      <c r="D241" s="9">
        <v>3.1199999999999999E-2</v>
      </c>
      <c r="E241" s="13">
        <v>13</v>
      </c>
      <c r="F241">
        <v>3.3399999999999999E-2</v>
      </c>
      <c r="G241" s="13">
        <v>26</v>
      </c>
      <c r="H241">
        <v>5.3800000000000001E-2</v>
      </c>
      <c r="I241">
        <v>266.57139999999998</v>
      </c>
      <c r="J241">
        <v>6.2799999999999995E-2</v>
      </c>
      <c r="K241">
        <v>605.57140000000004</v>
      </c>
      <c r="L241">
        <v>6.93E-2</v>
      </c>
      <c r="M241" s="13">
        <v>1310.1429000000001</v>
      </c>
    </row>
    <row r="242" spans="1:13" x14ac:dyDescent="0.2">
      <c r="A242">
        <v>240</v>
      </c>
      <c r="B242">
        <v>19940113</v>
      </c>
      <c r="C242" s="13">
        <v>1</v>
      </c>
      <c r="D242" s="9">
        <v>0.03</v>
      </c>
      <c r="E242" s="13">
        <v>13</v>
      </c>
      <c r="F242">
        <v>3.1899999999999998E-2</v>
      </c>
      <c r="G242" s="13">
        <v>26</v>
      </c>
      <c r="H242">
        <v>5.11E-2</v>
      </c>
      <c r="I242">
        <v>265.57139999999998</v>
      </c>
      <c r="J242">
        <v>6.0600000000000001E-2</v>
      </c>
      <c r="K242">
        <v>604.57140000000004</v>
      </c>
      <c r="L242">
        <v>6.8000000000000005E-2</v>
      </c>
      <c r="M242" s="13">
        <v>1309.1429000000001</v>
      </c>
    </row>
    <row r="243" spans="1:13" x14ac:dyDescent="0.2">
      <c r="A243">
        <v>241</v>
      </c>
      <c r="B243">
        <v>19940120</v>
      </c>
      <c r="C243" s="13">
        <v>1</v>
      </c>
      <c r="D243" s="9">
        <v>3.0099999999999998E-2</v>
      </c>
      <c r="E243" s="13">
        <v>13</v>
      </c>
      <c r="F243">
        <v>3.2000000000000001E-2</v>
      </c>
      <c r="G243" s="13">
        <v>26</v>
      </c>
      <c r="H243">
        <v>5.1999999999999998E-2</v>
      </c>
      <c r="I243">
        <v>264.57139999999998</v>
      </c>
      <c r="J243">
        <v>6.1199999999999997E-2</v>
      </c>
      <c r="K243">
        <v>603.57140000000004</v>
      </c>
      <c r="L243">
        <v>6.8599999999999994E-2</v>
      </c>
      <c r="M243" s="13">
        <v>1308.1429000000001</v>
      </c>
    </row>
    <row r="244" spans="1:13" x14ac:dyDescent="0.2">
      <c r="A244">
        <v>242</v>
      </c>
      <c r="B244">
        <v>19940127</v>
      </c>
      <c r="C244" s="13">
        <v>1</v>
      </c>
      <c r="D244" s="9">
        <v>2.9600000000000001E-2</v>
      </c>
      <c r="E244" s="13">
        <v>13</v>
      </c>
      <c r="F244">
        <v>3.2000000000000001E-2</v>
      </c>
      <c r="G244" s="13">
        <v>26</v>
      </c>
      <c r="H244">
        <v>5.1999999999999998E-2</v>
      </c>
      <c r="I244">
        <v>263.57139999999998</v>
      </c>
      <c r="J244">
        <v>6.1199999999999997E-2</v>
      </c>
      <c r="K244">
        <v>602.57140000000004</v>
      </c>
      <c r="L244">
        <v>6.9000000000000006E-2</v>
      </c>
      <c r="M244" s="13">
        <v>1307.1429000000001</v>
      </c>
    </row>
    <row r="245" spans="1:13" x14ac:dyDescent="0.2">
      <c r="A245">
        <v>243</v>
      </c>
      <c r="B245">
        <v>19940203</v>
      </c>
      <c r="C245" s="13">
        <v>1</v>
      </c>
      <c r="D245" s="9">
        <v>3.1099999999999999E-2</v>
      </c>
      <c r="E245" s="13">
        <v>13</v>
      </c>
      <c r="F245">
        <v>3.2899999999999999E-2</v>
      </c>
      <c r="G245" s="13">
        <v>26</v>
      </c>
      <c r="H245">
        <v>5.1900000000000002E-2</v>
      </c>
      <c r="I245">
        <v>262.57139999999998</v>
      </c>
      <c r="J245">
        <v>6.0900000000000003E-2</v>
      </c>
      <c r="K245">
        <v>601.57140000000004</v>
      </c>
      <c r="L245">
        <v>6.8199999999999997E-2</v>
      </c>
      <c r="M245" s="13">
        <v>1306.1429000000001</v>
      </c>
    </row>
    <row r="246" spans="1:13" x14ac:dyDescent="0.2">
      <c r="A246">
        <v>244</v>
      </c>
      <c r="B246">
        <v>19940210</v>
      </c>
      <c r="C246" s="13">
        <v>1</v>
      </c>
      <c r="D246" s="9">
        <v>3.3000000000000002E-2</v>
      </c>
      <c r="E246" s="13">
        <v>13</v>
      </c>
      <c r="F246">
        <v>3.4799999999999998E-2</v>
      </c>
      <c r="G246" s="13">
        <v>26</v>
      </c>
      <c r="H246">
        <v>5.4199999999999998E-2</v>
      </c>
      <c r="I246">
        <v>261.57139999999998</v>
      </c>
      <c r="J246">
        <v>6.2899999999999998E-2</v>
      </c>
      <c r="K246">
        <v>600.57140000000004</v>
      </c>
      <c r="L246">
        <v>6.9199999999999998E-2</v>
      </c>
      <c r="M246" s="13">
        <v>1305.1429000000001</v>
      </c>
    </row>
    <row r="247" spans="1:13" x14ac:dyDescent="0.2">
      <c r="A247">
        <v>245</v>
      </c>
      <c r="B247">
        <v>19940217</v>
      </c>
      <c r="C247" s="13">
        <v>1</v>
      </c>
      <c r="D247" s="9">
        <v>3.32E-2</v>
      </c>
      <c r="E247" s="13">
        <v>13</v>
      </c>
      <c r="F247">
        <v>3.5099999999999999E-2</v>
      </c>
      <c r="G247" s="13">
        <v>26</v>
      </c>
      <c r="H247">
        <v>5.4199999999999998E-2</v>
      </c>
      <c r="I247">
        <v>260.57139999999998</v>
      </c>
      <c r="J247">
        <v>6.2600000000000003E-2</v>
      </c>
      <c r="K247">
        <v>599.57140000000004</v>
      </c>
      <c r="L247">
        <v>6.9699999999999998E-2</v>
      </c>
      <c r="M247" s="13">
        <v>1304.1429000000001</v>
      </c>
    </row>
    <row r="248" spans="1:13" x14ac:dyDescent="0.2">
      <c r="A248">
        <v>246</v>
      </c>
      <c r="B248">
        <v>19940224</v>
      </c>
      <c r="C248" s="13">
        <v>1</v>
      </c>
      <c r="D248" s="9">
        <v>3.44E-2</v>
      </c>
      <c r="E248" s="13">
        <v>13</v>
      </c>
      <c r="F248">
        <v>3.6900000000000002E-2</v>
      </c>
      <c r="G248" s="13">
        <v>26</v>
      </c>
      <c r="H248">
        <v>5.67E-2</v>
      </c>
      <c r="I248">
        <v>259.57139999999998</v>
      </c>
      <c r="J248">
        <v>6.5199999999999994E-2</v>
      </c>
      <c r="K248">
        <v>598.57140000000004</v>
      </c>
      <c r="L248">
        <v>7.1199999999999999E-2</v>
      </c>
      <c r="M248" s="13">
        <v>1303.1429000000001</v>
      </c>
    </row>
    <row r="249" spans="1:13" x14ac:dyDescent="0.2">
      <c r="A249">
        <v>247</v>
      </c>
      <c r="B249">
        <v>19940303</v>
      </c>
      <c r="C249" s="13">
        <v>1</v>
      </c>
      <c r="D249" s="9">
        <v>3.5299999999999998E-2</v>
      </c>
      <c r="E249" s="13">
        <v>13</v>
      </c>
      <c r="F249">
        <v>3.78E-2</v>
      </c>
      <c r="G249" s="13">
        <v>26</v>
      </c>
      <c r="H249">
        <v>5.8400000000000001E-2</v>
      </c>
      <c r="I249">
        <v>258.57139999999998</v>
      </c>
      <c r="J249">
        <v>6.6699999999999995E-2</v>
      </c>
      <c r="K249">
        <v>597.57140000000004</v>
      </c>
      <c r="L249">
        <v>7.2599999999999998E-2</v>
      </c>
      <c r="M249" s="13">
        <v>1302.1429000000001</v>
      </c>
    </row>
    <row r="250" spans="1:13" x14ac:dyDescent="0.2">
      <c r="A250">
        <v>248</v>
      </c>
      <c r="B250">
        <v>19940310</v>
      </c>
      <c r="C250" s="13">
        <v>1</v>
      </c>
      <c r="D250" s="9">
        <v>3.5900000000000001E-2</v>
      </c>
      <c r="E250" s="13">
        <v>13</v>
      </c>
      <c r="F250">
        <v>3.8800000000000001E-2</v>
      </c>
      <c r="G250" s="13">
        <v>26</v>
      </c>
      <c r="H250">
        <v>5.96E-2</v>
      </c>
      <c r="I250">
        <v>270.28570000000002</v>
      </c>
      <c r="J250">
        <v>6.7500000000000004E-2</v>
      </c>
      <c r="K250">
        <v>596.57140000000004</v>
      </c>
      <c r="L250">
        <v>7.2800000000000004E-2</v>
      </c>
      <c r="M250" s="13">
        <v>1301.1429000000001</v>
      </c>
    </row>
    <row r="251" spans="1:13" x14ac:dyDescent="0.2">
      <c r="A251">
        <v>249</v>
      </c>
      <c r="B251">
        <v>19940317</v>
      </c>
      <c r="C251" s="13">
        <v>1</v>
      </c>
      <c r="D251" s="9">
        <v>3.5900000000000001E-2</v>
      </c>
      <c r="E251" s="13">
        <v>13</v>
      </c>
      <c r="F251">
        <v>3.9E-2</v>
      </c>
      <c r="G251" s="13">
        <v>26</v>
      </c>
      <c r="H251">
        <v>5.9299999999999999E-2</v>
      </c>
      <c r="I251">
        <v>256.57139999999998</v>
      </c>
      <c r="J251">
        <v>6.7500000000000004E-2</v>
      </c>
      <c r="K251">
        <v>595.57140000000004</v>
      </c>
      <c r="L251">
        <v>7.2599999999999998E-2</v>
      </c>
      <c r="M251" s="13">
        <v>1300.1429000000001</v>
      </c>
    </row>
    <row r="252" spans="1:13" x14ac:dyDescent="0.2">
      <c r="A252">
        <v>250</v>
      </c>
      <c r="B252">
        <v>19940324</v>
      </c>
      <c r="C252" s="13">
        <v>1</v>
      </c>
      <c r="D252" s="9">
        <v>3.5200000000000002E-2</v>
      </c>
      <c r="E252" s="13">
        <v>13</v>
      </c>
      <c r="F252">
        <v>3.8800000000000001E-2</v>
      </c>
      <c r="G252" s="13">
        <v>26</v>
      </c>
      <c r="H252">
        <v>0.06</v>
      </c>
      <c r="I252">
        <v>255.57140000000001</v>
      </c>
      <c r="J252">
        <v>6.8099999999999994E-2</v>
      </c>
      <c r="K252">
        <v>594.57140000000004</v>
      </c>
      <c r="L252">
        <v>7.2800000000000004E-2</v>
      </c>
      <c r="M252" s="13">
        <v>1299.1429000000001</v>
      </c>
    </row>
    <row r="253" spans="1:13" x14ac:dyDescent="0.2">
      <c r="A253">
        <v>251</v>
      </c>
      <c r="B253">
        <v>19940331</v>
      </c>
      <c r="C253" s="13">
        <v>1</v>
      </c>
      <c r="D253" s="9">
        <v>3.5499999999999997E-2</v>
      </c>
      <c r="E253" s="13">
        <v>13</v>
      </c>
      <c r="F253">
        <v>3.9100000000000003E-2</v>
      </c>
      <c r="G253" s="13">
        <v>26</v>
      </c>
      <c r="H253">
        <v>6.3399999999999998E-2</v>
      </c>
      <c r="I253">
        <v>254.57140000000001</v>
      </c>
      <c r="J253">
        <v>7.17E-2</v>
      </c>
      <c r="K253">
        <v>593.57140000000004</v>
      </c>
      <c r="L253">
        <v>7.5300000000000006E-2</v>
      </c>
      <c r="M253" s="13">
        <v>1298.1429000000001</v>
      </c>
    </row>
    <row r="254" spans="1:13" x14ac:dyDescent="0.2">
      <c r="A254">
        <v>252</v>
      </c>
      <c r="B254">
        <v>19940407</v>
      </c>
      <c r="C254" s="13">
        <v>1</v>
      </c>
      <c r="D254" s="9">
        <v>3.6499999999999998E-2</v>
      </c>
      <c r="E254" s="13">
        <v>13</v>
      </c>
      <c r="F254">
        <v>4.0599999999999997E-2</v>
      </c>
      <c r="G254" s="13">
        <v>26</v>
      </c>
      <c r="H254">
        <v>6.54E-2</v>
      </c>
      <c r="I254">
        <v>266.28570000000002</v>
      </c>
      <c r="J254">
        <v>7.3099999999999998E-2</v>
      </c>
      <c r="K254">
        <v>592.57140000000004</v>
      </c>
      <c r="L254">
        <v>7.6600000000000001E-2</v>
      </c>
      <c r="M254" s="13">
        <v>1297.1429000000001</v>
      </c>
    </row>
    <row r="255" spans="1:13" x14ac:dyDescent="0.2">
      <c r="A255">
        <v>253</v>
      </c>
      <c r="B255">
        <v>19940414</v>
      </c>
      <c r="C255" s="13">
        <v>1</v>
      </c>
      <c r="D255" s="9">
        <v>3.6200000000000003E-2</v>
      </c>
      <c r="E255" s="13">
        <v>13</v>
      </c>
      <c r="F255">
        <v>4.1099999999999998E-2</v>
      </c>
      <c r="G255" s="13">
        <v>26</v>
      </c>
      <c r="H255">
        <v>6.5799999999999997E-2</v>
      </c>
      <c r="I255">
        <v>265.28570000000002</v>
      </c>
      <c r="J255">
        <v>7.2800000000000004E-2</v>
      </c>
      <c r="K255">
        <v>591.57140000000004</v>
      </c>
      <c r="L255">
        <v>7.6799999999999993E-2</v>
      </c>
      <c r="M255" s="13">
        <v>1296.1429000000001</v>
      </c>
    </row>
    <row r="256" spans="1:13" x14ac:dyDescent="0.2">
      <c r="A256">
        <v>254</v>
      </c>
      <c r="B256">
        <v>19940421</v>
      </c>
      <c r="C256" s="13">
        <v>1</v>
      </c>
      <c r="D256" s="9">
        <v>3.8100000000000002E-2</v>
      </c>
      <c r="E256" s="13">
        <v>13</v>
      </c>
      <c r="F256">
        <v>4.3200000000000002E-2</v>
      </c>
      <c r="G256" s="13">
        <v>26</v>
      </c>
      <c r="H256">
        <v>6.7199999999999996E-2</v>
      </c>
      <c r="I256">
        <v>264.28570000000002</v>
      </c>
      <c r="J256">
        <v>7.3899999999999993E-2</v>
      </c>
      <c r="K256">
        <v>590.57140000000004</v>
      </c>
      <c r="L256">
        <v>7.6999999999999999E-2</v>
      </c>
      <c r="M256" s="13">
        <v>1295.1429000000001</v>
      </c>
    </row>
    <row r="257" spans="1:13" x14ac:dyDescent="0.2">
      <c r="A257">
        <v>255</v>
      </c>
      <c r="B257">
        <v>19940429</v>
      </c>
      <c r="C257" s="13">
        <v>1.142857</v>
      </c>
      <c r="D257" s="9">
        <v>3.9600000000000003E-2</v>
      </c>
      <c r="E257" s="13">
        <v>12.857100000000001</v>
      </c>
      <c r="F257">
        <v>4.4200000000000003E-2</v>
      </c>
      <c r="G257" s="13">
        <v>25.857099999999999</v>
      </c>
      <c r="H257">
        <v>6.7400000000000002E-2</v>
      </c>
      <c r="I257">
        <v>263.1429</v>
      </c>
      <c r="J257">
        <v>7.3400000000000007E-2</v>
      </c>
      <c r="K257">
        <v>589.42859999999996</v>
      </c>
      <c r="L257">
        <v>7.6399999999999996E-2</v>
      </c>
      <c r="M257" s="13">
        <v>1294</v>
      </c>
    </row>
    <row r="258" spans="1:13" x14ac:dyDescent="0.2">
      <c r="A258">
        <v>256</v>
      </c>
      <c r="B258">
        <v>19940505</v>
      </c>
      <c r="C258" s="13">
        <v>0.85714299999999999</v>
      </c>
      <c r="D258" s="9">
        <v>4.1300000000000003E-2</v>
      </c>
      <c r="E258" s="13">
        <v>13</v>
      </c>
      <c r="F258">
        <v>4.5999999999999999E-2</v>
      </c>
      <c r="G258" s="13">
        <v>26</v>
      </c>
      <c r="H258">
        <v>6.8099999999999994E-2</v>
      </c>
      <c r="I258">
        <v>262.28570000000002</v>
      </c>
      <c r="J258">
        <v>7.4200000000000002E-2</v>
      </c>
      <c r="K258">
        <v>588.57140000000004</v>
      </c>
      <c r="L258">
        <v>7.6700000000000004E-2</v>
      </c>
      <c r="M258" s="13">
        <v>1293.1429000000001</v>
      </c>
    </row>
    <row r="259" spans="1:13" x14ac:dyDescent="0.2">
      <c r="A259">
        <v>257</v>
      </c>
      <c r="B259">
        <v>19940512</v>
      </c>
      <c r="C259" s="13">
        <v>1</v>
      </c>
      <c r="D259" s="9">
        <v>4.2999999999999997E-2</v>
      </c>
      <c r="E259" s="13">
        <v>13</v>
      </c>
      <c r="F259">
        <v>4.9299999999999997E-2</v>
      </c>
      <c r="G259" s="13">
        <v>26</v>
      </c>
      <c r="H259">
        <v>7.0900000000000005E-2</v>
      </c>
      <c r="I259">
        <v>261.28570000000002</v>
      </c>
      <c r="J259">
        <v>7.6799999999999993E-2</v>
      </c>
      <c r="K259">
        <v>587.57140000000004</v>
      </c>
      <c r="L259">
        <v>7.8899999999999998E-2</v>
      </c>
      <c r="M259" s="13">
        <v>1292.1429000000001</v>
      </c>
    </row>
    <row r="260" spans="1:13" x14ac:dyDescent="0.2">
      <c r="A260">
        <v>258</v>
      </c>
      <c r="B260">
        <v>19940519</v>
      </c>
      <c r="C260" s="13">
        <v>1</v>
      </c>
      <c r="D260" s="9">
        <v>4.2700000000000002E-2</v>
      </c>
      <c r="E260" s="13">
        <v>13</v>
      </c>
      <c r="F260">
        <v>4.7E-2</v>
      </c>
      <c r="G260" s="13">
        <v>26</v>
      </c>
      <c r="H260">
        <v>6.6799999999999998E-2</v>
      </c>
      <c r="I260">
        <v>260.28570000000002</v>
      </c>
      <c r="J260">
        <v>7.3099999999999998E-2</v>
      </c>
      <c r="K260">
        <v>586.57140000000004</v>
      </c>
      <c r="L260">
        <v>7.6200000000000004E-2</v>
      </c>
      <c r="M260" s="13">
        <v>1291.1429000000001</v>
      </c>
    </row>
    <row r="261" spans="1:13" x14ac:dyDescent="0.2">
      <c r="A261">
        <v>259</v>
      </c>
      <c r="B261">
        <v>19940526</v>
      </c>
      <c r="C261" s="13">
        <v>1</v>
      </c>
      <c r="D261" s="9">
        <v>4.2599999999999999E-2</v>
      </c>
      <c r="E261" s="13">
        <v>13</v>
      </c>
      <c r="F261">
        <v>4.7399999999999998E-2</v>
      </c>
      <c r="G261" s="13">
        <v>26.142900000000001</v>
      </c>
      <c r="H261">
        <v>6.7900000000000002E-2</v>
      </c>
      <c r="I261">
        <v>259.28570000000002</v>
      </c>
      <c r="J261">
        <v>7.4300000000000005E-2</v>
      </c>
      <c r="K261">
        <v>585.57140000000004</v>
      </c>
      <c r="L261">
        <v>7.7200000000000005E-2</v>
      </c>
      <c r="M261" s="13">
        <v>1290.1429000000001</v>
      </c>
    </row>
    <row r="262" spans="1:13" x14ac:dyDescent="0.2">
      <c r="A262">
        <v>260</v>
      </c>
      <c r="B262">
        <v>19940602</v>
      </c>
      <c r="C262" s="13">
        <v>1</v>
      </c>
      <c r="D262" s="9">
        <v>4.2599999999999999E-2</v>
      </c>
      <c r="E262" s="13">
        <v>13</v>
      </c>
      <c r="F262">
        <v>4.8099999999999997E-2</v>
      </c>
      <c r="G262" s="13">
        <v>26</v>
      </c>
      <c r="H262">
        <v>6.7799999999999999E-2</v>
      </c>
      <c r="I262">
        <v>258.28570000000002</v>
      </c>
      <c r="J262">
        <v>7.4099999999999999E-2</v>
      </c>
      <c r="K262">
        <v>584.57140000000004</v>
      </c>
      <c r="L262">
        <v>7.7200000000000005E-2</v>
      </c>
      <c r="M262" s="13">
        <v>1315</v>
      </c>
    </row>
    <row r="263" spans="1:13" x14ac:dyDescent="0.2">
      <c r="A263">
        <v>261</v>
      </c>
      <c r="B263">
        <v>19940609</v>
      </c>
      <c r="C263" s="13">
        <v>1</v>
      </c>
      <c r="D263" s="9">
        <v>4.19E-2</v>
      </c>
      <c r="E263" s="13">
        <v>13</v>
      </c>
      <c r="F263">
        <v>4.6399999999999997E-2</v>
      </c>
      <c r="G263" s="13">
        <v>26</v>
      </c>
      <c r="H263">
        <v>6.5500000000000003E-2</v>
      </c>
      <c r="I263">
        <v>257.28570000000002</v>
      </c>
      <c r="J263">
        <v>7.2599999999999998E-2</v>
      </c>
      <c r="K263">
        <v>583.57140000000004</v>
      </c>
      <c r="L263">
        <v>7.6300000000000007E-2</v>
      </c>
      <c r="M263" s="13">
        <v>1314</v>
      </c>
    </row>
    <row r="264" spans="1:13" x14ac:dyDescent="0.2">
      <c r="A264">
        <v>262</v>
      </c>
      <c r="B264">
        <v>19940616</v>
      </c>
      <c r="C264" s="13">
        <v>1</v>
      </c>
      <c r="D264" s="9">
        <v>4.2099999999999999E-2</v>
      </c>
      <c r="E264" s="13">
        <v>13</v>
      </c>
      <c r="F264">
        <v>4.6399999999999997E-2</v>
      </c>
      <c r="G264" s="13">
        <v>26</v>
      </c>
      <c r="H264">
        <v>6.6799999999999998E-2</v>
      </c>
      <c r="I264">
        <v>256.28570000000002</v>
      </c>
      <c r="J264">
        <v>7.3899999999999993E-2</v>
      </c>
      <c r="K264">
        <v>582.57140000000004</v>
      </c>
      <c r="L264">
        <v>7.7299999999999994E-2</v>
      </c>
      <c r="M264" s="13">
        <v>1313</v>
      </c>
    </row>
    <row r="265" spans="1:13" x14ac:dyDescent="0.2">
      <c r="A265">
        <v>263</v>
      </c>
      <c r="B265">
        <v>19940623</v>
      </c>
      <c r="C265" s="13">
        <v>1</v>
      </c>
      <c r="D265" s="9">
        <v>4.2599999999999999E-2</v>
      </c>
      <c r="E265" s="13">
        <v>13</v>
      </c>
      <c r="F265">
        <v>4.7300000000000002E-2</v>
      </c>
      <c r="G265" s="13">
        <v>26</v>
      </c>
      <c r="H265">
        <v>6.7400000000000002E-2</v>
      </c>
      <c r="I265">
        <v>255.28569999999999</v>
      </c>
      <c r="J265">
        <v>7.4099999999999999E-2</v>
      </c>
      <c r="K265">
        <v>581.57140000000004</v>
      </c>
      <c r="L265">
        <v>7.7200000000000005E-2</v>
      </c>
      <c r="M265" s="13">
        <v>1312</v>
      </c>
    </row>
    <row r="266" spans="1:13" x14ac:dyDescent="0.2">
      <c r="A266">
        <v>264</v>
      </c>
      <c r="B266">
        <v>19940630</v>
      </c>
      <c r="C266" s="13">
        <v>1</v>
      </c>
      <c r="D266" s="9">
        <v>4.2299999999999997E-2</v>
      </c>
      <c r="E266" s="13">
        <v>13</v>
      </c>
      <c r="F266">
        <v>4.7199999999999999E-2</v>
      </c>
      <c r="G266" s="13">
        <v>26</v>
      </c>
      <c r="H266">
        <v>6.88E-2</v>
      </c>
      <c r="I266">
        <v>254.28569999999999</v>
      </c>
      <c r="J266">
        <v>7.5300000000000006E-2</v>
      </c>
      <c r="K266">
        <v>580.57140000000004</v>
      </c>
      <c r="L266">
        <v>7.8100000000000003E-2</v>
      </c>
      <c r="M266" s="13">
        <v>1311</v>
      </c>
    </row>
    <row r="267" spans="1:13" x14ac:dyDescent="0.2">
      <c r="A267">
        <v>265</v>
      </c>
      <c r="B267">
        <v>19940707</v>
      </c>
      <c r="C267" s="13">
        <v>1</v>
      </c>
      <c r="D267" s="9">
        <v>4.3700000000000003E-2</v>
      </c>
      <c r="E267" s="13">
        <v>13</v>
      </c>
      <c r="F267">
        <v>4.8899999999999999E-2</v>
      </c>
      <c r="G267" s="13">
        <v>26</v>
      </c>
      <c r="H267">
        <v>6.9699999999999998E-2</v>
      </c>
      <c r="I267">
        <v>266.42860000000002</v>
      </c>
      <c r="J267">
        <v>7.6100000000000001E-2</v>
      </c>
      <c r="K267">
        <v>579.57140000000004</v>
      </c>
      <c r="L267">
        <v>7.9000000000000001E-2</v>
      </c>
      <c r="M267" s="13">
        <v>1310</v>
      </c>
    </row>
    <row r="268" spans="1:13" x14ac:dyDescent="0.2">
      <c r="A268">
        <v>266</v>
      </c>
      <c r="B268">
        <v>19940714</v>
      </c>
      <c r="C268" s="13">
        <v>1</v>
      </c>
      <c r="D268" s="9">
        <v>4.4999999999999998E-2</v>
      </c>
      <c r="E268" s="13">
        <v>13</v>
      </c>
      <c r="F268">
        <v>0.05</v>
      </c>
      <c r="G268" s="13">
        <v>26</v>
      </c>
      <c r="H268">
        <v>7.0699999999999999E-2</v>
      </c>
      <c r="I268">
        <v>265.42860000000002</v>
      </c>
      <c r="J268">
        <v>7.7100000000000002E-2</v>
      </c>
      <c r="K268">
        <v>578.57140000000004</v>
      </c>
      <c r="L268">
        <v>7.9500000000000001E-2</v>
      </c>
      <c r="M268" s="13">
        <v>1309</v>
      </c>
    </row>
    <row r="269" spans="1:13" x14ac:dyDescent="0.2">
      <c r="A269">
        <v>267</v>
      </c>
      <c r="B269">
        <v>19940721</v>
      </c>
      <c r="C269" s="13">
        <v>1</v>
      </c>
      <c r="D269" s="9">
        <v>4.3900000000000002E-2</v>
      </c>
      <c r="E269" s="13">
        <v>13</v>
      </c>
      <c r="F269">
        <v>4.87E-2</v>
      </c>
      <c r="G269" s="13">
        <v>26</v>
      </c>
      <c r="H269">
        <v>6.9000000000000006E-2</v>
      </c>
      <c r="I269">
        <v>264.42860000000002</v>
      </c>
      <c r="J269">
        <v>7.5300000000000006E-2</v>
      </c>
      <c r="K269">
        <v>577.57140000000004</v>
      </c>
      <c r="L269">
        <v>7.8299999999999995E-2</v>
      </c>
      <c r="M269" s="13">
        <v>1308</v>
      </c>
    </row>
    <row r="270" spans="1:13" x14ac:dyDescent="0.2">
      <c r="A270">
        <v>268</v>
      </c>
      <c r="B270">
        <v>19940728</v>
      </c>
      <c r="C270" s="13">
        <v>1</v>
      </c>
      <c r="D270" s="9">
        <v>4.5499999999999999E-2</v>
      </c>
      <c r="E270" s="13">
        <v>13</v>
      </c>
      <c r="F270">
        <v>5.04E-2</v>
      </c>
      <c r="G270" s="13">
        <v>26</v>
      </c>
      <c r="H270">
        <v>7.0099999999999996E-2</v>
      </c>
      <c r="I270">
        <v>263.42860000000002</v>
      </c>
      <c r="J270">
        <v>7.6100000000000001E-2</v>
      </c>
      <c r="K270">
        <v>576.57140000000004</v>
      </c>
      <c r="L270">
        <v>7.8399999999999997E-2</v>
      </c>
      <c r="M270" s="13">
        <v>1301</v>
      </c>
    </row>
    <row r="271" spans="1:13" x14ac:dyDescent="0.2">
      <c r="A271">
        <v>269</v>
      </c>
      <c r="B271">
        <v>19940804</v>
      </c>
      <c r="C271" s="13">
        <v>1</v>
      </c>
      <c r="D271" s="9">
        <v>4.4200000000000003E-2</v>
      </c>
      <c r="E271" s="13">
        <v>13</v>
      </c>
      <c r="F271">
        <v>4.87E-2</v>
      </c>
      <c r="G271" s="13">
        <v>26</v>
      </c>
      <c r="H271">
        <v>6.7299999999999999E-2</v>
      </c>
      <c r="I271">
        <v>262.42860000000002</v>
      </c>
      <c r="J271">
        <v>7.3499999999999996E-2</v>
      </c>
      <c r="K271">
        <v>575.57140000000004</v>
      </c>
      <c r="L271">
        <v>7.6399999999999996E-2</v>
      </c>
      <c r="M271" s="13">
        <v>1306</v>
      </c>
    </row>
    <row r="272" spans="1:13" x14ac:dyDescent="0.2">
      <c r="A272">
        <v>270</v>
      </c>
      <c r="B272">
        <v>19940811</v>
      </c>
      <c r="C272" s="13">
        <v>1</v>
      </c>
      <c r="D272" s="9">
        <v>4.4699999999999997E-2</v>
      </c>
      <c r="E272" s="13">
        <v>13</v>
      </c>
      <c r="F272">
        <v>5.0700000000000002E-2</v>
      </c>
      <c r="G272" s="13">
        <v>26</v>
      </c>
      <c r="H272">
        <v>6.9500000000000006E-2</v>
      </c>
      <c r="I272">
        <v>261.42860000000002</v>
      </c>
      <c r="J272">
        <v>7.5600000000000001E-2</v>
      </c>
      <c r="K272">
        <v>574.57140000000004</v>
      </c>
      <c r="L272">
        <v>7.8200000000000006E-2</v>
      </c>
      <c r="M272" s="13">
        <v>1305</v>
      </c>
    </row>
    <row r="273" spans="1:13" x14ac:dyDescent="0.2">
      <c r="A273">
        <v>271</v>
      </c>
      <c r="B273">
        <v>19940818</v>
      </c>
      <c r="C273" s="13">
        <v>1</v>
      </c>
      <c r="D273" s="9">
        <v>4.6699999999999998E-2</v>
      </c>
      <c r="E273" s="13">
        <v>13</v>
      </c>
      <c r="F273">
        <v>5.0799999999999998E-2</v>
      </c>
      <c r="G273" s="13">
        <v>26</v>
      </c>
      <c r="H273">
        <v>6.8199999999999997E-2</v>
      </c>
      <c r="I273">
        <v>260.42860000000002</v>
      </c>
      <c r="J273">
        <v>7.3999999999999996E-2</v>
      </c>
      <c r="K273">
        <v>573.57140000000004</v>
      </c>
      <c r="L273">
        <v>7.7399999999999997E-2</v>
      </c>
      <c r="M273" s="13">
        <v>1304</v>
      </c>
    </row>
    <row r="274" spans="1:13" x14ac:dyDescent="0.2">
      <c r="A274">
        <v>272</v>
      </c>
      <c r="B274">
        <v>19940825</v>
      </c>
      <c r="C274" s="13">
        <v>1</v>
      </c>
      <c r="D274" s="9">
        <v>4.6399999999999997E-2</v>
      </c>
      <c r="E274" s="13">
        <v>13.142899999999999</v>
      </c>
      <c r="F274">
        <v>5.0599999999999999E-2</v>
      </c>
      <c r="G274" s="13">
        <v>26</v>
      </c>
      <c r="H274">
        <v>6.8500000000000005E-2</v>
      </c>
      <c r="I274">
        <v>259.42860000000002</v>
      </c>
      <c r="J274">
        <v>7.4800000000000005E-2</v>
      </c>
      <c r="K274">
        <v>572.57140000000004</v>
      </c>
      <c r="L274">
        <v>7.8399999999999997E-2</v>
      </c>
      <c r="M274" s="13">
        <v>1303</v>
      </c>
    </row>
    <row r="275" spans="1:13" x14ac:dyDescent="0.2">
      <c r="A275">
        <v>273</v>
      </c>
      <c r="B275">
        <v>19940901</v>
      </c>
      <c r="C275" s="13">
        <v>1</v>
      </c>
      <c r="D275" s="9">
        <v>4.6600000000000003E-2</v>
      </c>
      <c r="E275" s="13">
        <v>13</v>
      </c>
      <c r="F275">
        <v>5.0200000000000002E-2</v>
      </c>
      <c r="G275" s="13">
        <v>26</v>
      </c>
      <c r="H275">
        <v>6.8000000000000005E-2</v>
      </c>
      <c r="I275">
        <v>258.42860000000002</v>
      </c>
      <c r="J275">
        <v>7.4399999999999994E-2</v>
      </c>
      <c r="K275">
        <v>571.57140000000004</v>
      </c>
      <c r="L275">
        <v>7.8399999999999997E-2</v>
      </c>
      <c r="M275" s="13">
        <v>1302</v>
      </c>
    </row>
    <row r="276" spans="1:13" x14ac:dyDescent="0.2">
      <c r="A276">
        <v>274</v>
      </c>
      <c r="B276">
        <v>19940908</v>
      </c>
      <c r="C276" s="13">
        <v>1</v>
      </c>
      <c r="D276" s="9">
        <v>4.6399999999999997E-2</v>
      </c>
      <c r="E276" s="13">
        <v>13</v>
      </c>
      <c r="F276">
        <v>5.04E-2</v>
      </c>
      <c r="G276" s="13">
        <v>26</v>
      </c>
      <c r="H276">
        <v>6.9000000000000006E-2</v>
      </c>
      <c r="I276">
        <v>257.42860000000002</v>
      </c>
      <c r="J276">
        <v>7.5700000000000003E-2</v>
      </c>
      <c r="K276">
        <v>570.57140000000004</v>
      </c>
      <c r="L276">
        <v>7.9899999999999999E-2</v>
      </c>
      <c r="M276" s="13">
        <v>1301</v>
      </c>
    </row>
    <row r="277" spans="1:13" x14ac:dyDescent="0.2">
      <c r="A277">
        <v>275</v>
      </c>
      <c r="B277">
        <v>19940915</v>
      </c>
      <c r="C277" s="13">
        <v>1</v>
      </c>
      <c r="D277" s="9">
        <v>4.6800000000000001E-2</v>
      </c>
      <c r="E277" s="13">
        <v>13</v>
      </c>
      <c r="F277">
        <v>5.1400000000000001E-2</v>
      </c>
      <c r="G277" s="13">
        <v>26</v>
      </c>
      <c r="H277">
        <v>7.0199999999999999E-2</v>
      </c>
      <c r="I277">
        <v>256.42860000000002</v>
      </c>
      <c r="J277">
        <v>7.6999999999999999E-2</v>
      </c>
      <c r="K277">
        <v>569.57140000000004</v>
      </c>
      <c r="L277">
        <v>8.0799999999999997E-2</v>
      </c>
      <c r="M277" s="13">
        <v>1300</v>
      </c>
    </row>
    <row r="278" spans="1:13" x14ac:dyDescent="0.2">
      <c r="A278">
        <v>276</v>
      </c>
      <c r="B278">
        <v>19940922</v>
      </c>
      <c r="C278" s="13">
        <v>1</v>
      </c>
      <c r="D278" s="9">
        <v>4.8899999999999999E-2</v>
      </c>
      <c r="E278" s="13">
        <v>13</v>
      </c>
      <c r="F278">
        <v>5.3800000000000001E-2</v>
      </c>
      <c r="G278" s="13">
        <v>26</v>
      </c>
      <c r="H278">
        <v>7.2099999999999997E-2</v>
      </c>
      <c r="I278">
        <v>255.42859999999999</v>
      </c>
      <c r="J278">
        <v>7.8399999999999997E-2</v>
      </c>
      <c r="K278">
        <v>568.57140000000004</v>
      </c>
      <c r="L278">
        <v>8.1699999999999995E-2</v>
      </c>
      <c r="M278" s="13">
        <v>1299</v>
      </c>
    </row>
    <row r="279" spans="1:13" x14ac:dyDescent="0.2">
      <c r="A279">
        <v>277</v>
      </c>
      <c r="B279">
        <v>19940929</v>
      </c>
      <c r="C279" s="13">
        <v>1</v>
      </c>
      <c r="D279" s="9">
        <v>4.6399999999999997E-2</v>
      </c>
      <c r="E279" s="13">
        <v>13</v>
      </c>
      <c r="F279">
        <v>5.3600000000000002E-2</v>
      </c>
      <c r="G279" s="13">
        <v>26</v>
      </c>
      <c r="H279">
        <v>7.22E-2</v>
      </c>
      <c r="I279">
        <v>254.42859999999999</v>
      </c>
      <c r="J279">
        <v>7.8399999999999997E-2</v>
      </c>
      <c r="K279">
        <v>567.57140000000004</v>
      </c>
      <c r="L279">
        <v>8.1900000000000001E-2</v>
      </c>
      <c r="M279" s="13">
        <v>1298</v>
      </c>
    </row>
    <row r="280" spans="1:13" x14ac:dyDescent="0.2">
      <c r="A280">
        <v>278</v>
      </c>
      <c r="B280">
        <v>19941006</v>
      </c>
      <c r="C280" s="13">
        <v>1</v>
      </c>
      <c r="D280" s="9">
        <v>5.0700000000000002E-2</v>
      </c>
      <c r="E280" s="13">
        <v>13</v>
      </c>
      <c r="F280">
        <v>5.6000000000000001E-2</v>
      </c>
      <c r="G280" s="13">
        <v>26</v>
      </c>
      <c r="H280">
        <v>7.4700000000000003E-2</v>
      </c>
      <c r="I280">
        <v>266.57139999999998</v>
      </c>
      <c r="J280">
        <v>8.0399999999999999E-2</v>
      </c>
      <c r="K280">
        <v>566.57140000000004</v>
      </c>
      <c r="L280">
        <v>8.3000000000000004E-2</v>
      </c>
      <c r="M280" s="13">
        <v>1291</v>
      </c>
    </row>
    <row r="281" spans="1:13" x14ac:dyDescent="0.2">
      <c r="A281">
        <v>279</v>
      </c>
      <c r="B281">
        <v>19941013</v>
      </c>
      <c r="C281" s="13">
        <v>1</v>
      </c>
      <c r="D281" s="9">
        <v>5.0999999999999997E-2</v>
      </c>
      <c r="E281" s="13">
        <v>13</v>
      </c>
      <c r="F281">
        <v>5.5500000000000001E-2</v>
      </c>
      <c r="G281" s="13">
        <v>26</v>
      </c>
      <c r="H281">
        <v>7.3800000000000004E-2</v>
      </c>
      <c r="I281">
        <v>265.57139999999998</v>
      </c>
      <c r="J281">
        <v>7.9500000000000001E-2</v>
      </c>
      <c r="K281">
        <v>565.57140000000004</v>
      </c>
      <c r="L281">
        <v>8.2500000000000004E-2</v>
      </c>
      <c r="M281" s="13">
        <v>1296</v>
      </c>
    </row>
    <row r="282" spans="1:13" x14ac:dyDescent="0.2">
      <c r="A282">
        <v>280</v>
      </c>
      <c r="B282">
        <v>19941020</v>
      </c>
      <c r="C282" s="13">
        <v>1</v>
      </c>
      <c r="D282" s="9">
        <v>5.0299999999999997E-2</v>
      </c>
      <c r="E282" s="13">
        <v>13</v>
      </c>
      <c r="F282">
        <v>5.5599999999999997E-2</v>
      </c>
      <c r="G282" s="13">
        <v>26</v>
      </c>
      <c r="H282">
        <v>7.3899999999999993E-2</v>
      </c>
      <c r="I282">
        <v>264.57139999999998</v>
      </c>
      <c r="J282">
        <v>7.9200000000000007E-2</v>
      </c>
      <c r="K282">
        <v>564.57140000000004</v>
      </c>
      <c r="L282">
        <v>8.2400000000000001E-2</v>
      </c>
      <c r="M282" s="13">
        <v>1295</v>
      </c>
    </row>
    <row r="283" spans="1:13" x14ac:dyDescent="0.2">
      <c r="A283">
        <v>281</v>
      </c>
      <c r="B283">
        <v>19941027</v>
      </c>
      <c r="C283" s="13">
        <v>1</v>
      </c>
      <c r="D283" s="9">
        <v>5.11E-2</v>
      </c>
      <c r="E283" s="13">
        <v>13</v>
      </c>
      <c r="F283">
        <v>5.6899999999999999E-2</v>
      </c>
      <c r="G283" s="13">
        <v>26</v>
      </c>
      <c r="H283">
        <v>7.5600000000000001E-2</v>
      </c>
      <c r="I283">
        <v>263.57139999999998</v>
      </c>
      <c r="J283">
        <v>8.1000000000000003E-2</v>
      </c>
      <c r="K283">
        <v>563.57140000000004</v>
      </c>
      <c r="L283">
        <v>8.3500000000000005E-2</v>
      </c>
      <c r="M283" s="13">
        <v>1294</v>
      </c>
    </row>
    <row r="284" spans="1:13" x14ac:dyDescent="0.2">
      <c r="A284">
        <v>282</v>
      </c>
      <c r="B284">
        <v>19941103</v>
      </c>
      <c r="C284" s="13">
        <v>1</v>
      </c>
      <c r="D284" s="9">
        <v>5.21E-2</v>
      </c>
      <c r="E284" s="13">
        <v>13</v>
      </c>
      <c r="F284">
        <v>5.7500000000000002E-2</v>
      </c>
      <c r="G284" s="13">
        <v>26</v>
      </c>
      <c r="H284">
        <v>7.6399999999999996E-2</v>
      </c>
      <c r="I284">
        <v>262.57139999999998</v>
      </c>
      <c r="J284">
        <v>8.1699999999999995E-2</v>
      </c>
      <c r="K284">
        <v>562.57140000000004</v>
      </c>
      <c r="L284">
        <v>8.3500000000000005E-2</v>
      </c>
      <c r="M284" s="13">
        <v>1293</v>
      </c>
    </row>
    <row r="285" spans="1:13" x14ac:dyDescent="0.2">
      <c r="A285">
        <v>283</v>
      </c>
      <c r="B285">
        <v>19941110</v>
      </c>
      <c r="C285" s="13">
        <v>1</v>
      </c>
      <c r="D285" s="9">
        <v>5.3199999999999997E-2</v>
      </c>
      <c r="E285" s="13">
        <v>13</v>
      </c>
      <c r="F285">
        <v>5.8400000000000001E-2</v>
      </c>
      <c r="G285" s="13">
        <v>26</v>
      </c>
      <c r="H285">
        <v>7.6700000000000004E-2</v>
      </c>
      <c r="I285">
        <v>261.57139999999998</v>
      </c>
      <c r="J285">
        <v>8.14E-2</v>
      </c>
      <c r="K285">
        <v>561.57140000000004</v>
      </c>
      <c r="L285">
        <v>8.3500000000000005E-2</v>
      </c>
      <c r="M285" s="13">
        <v>1292</v>
      </c>
    </row>
    <row r="286" spans="1:13" x14ac:dyDescent="0.2">
      <c r="A286">
        <v>284</v>
      </c>
      <c r="B286">
        <v>19941117</v>
      </c>
      <c r="C286" s="13">
        <v>1</v>
      </c>
      <c r="D286" s="9">
        <v>5.5E-2</v>
      </c>
      <c r="E286" s="13">
        <v>13</v>
      </c>
      <c r="F286">
        <v>6.0199999999999997E-2</v>
      </c>
      <c r="G286" s="13">
        <v>26</v>
      </c>
      <c r="H286">
        <v>7.7499999999999999E-2</v>
      </c>
      <c r="I286">
        <v>260.57139999999998</v>
      </c>
      <c r="J286">
        <v>8.1699999999999995E-2</v>
      </c>
      <c r="K286">
        <v>560.57140000000004</v>
      </c>
      <c r="L286">
        <v>8.3400000000000002E-2</v>
      </c>
      <c r="M286" s="13">
        <v>1291</v>
      </c>
    </row>
    <row r="287" spans="1:13" x14ac:dyDescent="0.2">
      <c r="A287">
        <v>285</v>
      </c>
      <c r="B287">
        <v>19941125</v>
      </c>
      <c r="C287" s="13">
        <v>1.142857</v>
      </c>
      <c r="D287" s="9">
        <v>5.4100000000000002E-2</v>
      </c>
      <c r="E287" s="13">
        <v>12.857100000000001</v>
      </c>
      <c r="F287">
        <v>5.9700000000000003E-2</v>
      </c>
      <c r="G287" s="13">
        <v>25.857099999999999</v>
      </c>
      <c r="H287">
        <v>7.6499999999999999E-2</v>
      </c>
      <c r="I287">
        <v>259.42860000000002</v>
      </c>
      <c r="J287">
        <v>0.08</v>
      </c>
      <c r="K287">
        <v>559.42859999999996</v>
      </c>
      <c r="L287">
        <v>8.1600000000000006E-2</v>
      </c>
      <c r="M287" s="13">
        <v>1289.8570999999999</v>
      </c>
    </row>
    <row r="288" spans="1:13" x14ac:dyDescent="0.2">
      <c r="A288">
        <v>286</v>
      </c>
      <c r="B288">
        <v>19941201</v>
      </c>
      <c r="C288" s="13">
        <v>0.85714299999999999</v>
      </c>
      <c r="D288" s="9">
        <v>5.7000000000000002E-2</v>
      </c>
      <c r="E288" s="13">
        <v>13</v>
      </c>
      <c r="F288">
        <v>6.2100000000000002E-2</v>
      </c>
      <c r="G288" s="13">
        <v>26</v>
      </c>
      <c r="H288">
        <v>7.7799999999999994E-2</v>
      </c>
      <c r="I288">
        <v>258.57139999999998</v>
      </c>
      <c r="J288">
        <v>8.0399999999999999E-2</v>
      </c>
      <c r="K288">
        <v>558.57140000000004</v>
      </c>
      <c r="L288">
        <v>8.14E-2</v>
      </c>
      <c r="M288" s="13">
        <v>1315.2856999999999</v>
      </c>
    </row>
    <row r="289" spans="1:13" x14ac:dyDescent="0.2">
      <c r="A289">
        <v>287</v>
      </c>
      <c r="B289">
        <v>19941208</v>
      </c>
      <c r="C289" s="13">
        <v>1</v>
      </c>
      <c r="D289" s="9">
        <v>5.8000000000000003E-2</v>
      </c>
      <c r="E289" s="13">
        <v>13</v>
      </c>
      <c r="F289">
        <v>6.4199999999999993E-2</v>
      </c>
      <c r="G289" s="13">
        <v>26</v>
      </c>
      <c r="H289">
        <v>7.7200000000000005E-2</v>
      </c>
      <c r="I289">
        <v>257.57139999999998</v>
      </c>
      <c r="J289">
        <v>7.9399999999999998E-2</v>
      </c>
      <c r="K289">
        <v>557.57140000000004</v>
      </c>
      <c r="L289">
        <v>8.0500000000000002E-2</v>
      </c>
      <c r="M289" s="13">
        <v>1314.2856999999999</v>
      </c>
    </row>
    <row r="290" spans="1:13" x14ac:dyDescent="0.2">
      <c r="A290">
        <v>288</v>
      </c>
      <c r="B290">
        <v>19941215</v>
      </c>
      <c r="C290" s="13">
        <v>1</v>
      </c>
      <c r="D290" s="9">
        <v>5.8200000000000002E-2</v>
      </c>
      <c r="E290" s="13">
        <v>13</v>
      </c>
      <c r="F290">
        <v>6.5500000000000003E-2</v>
      </c>
      <c r="G290" s="13">
        <v>26</v>
      </c>
      <c r="H290">
        <v>7.7700000000000005E-2</v>
      </c>
      <c r="I290">
        <v>256.57139999999998</v>
      </c>
      <c r="J290">
        <v>7.9200000000000007E-2</v>
      </c>
      <c r="K290">
        <v>556.57140000000004</v>
      </c>
      <c r="L290">
        <v>7.9899999999999999E-2</v>
      </c>
      <c r="M290" s="13">
        <v>1313.2856999999999</v>
      </c>
    </row>
    <row r="291" spans="1:13" x14ac:dyDescent="0.2">
      <c r="A291">
        <v>289</v>
      </c>
      <c r="B291">
        <v>19941222</v>
      </c>
      <c r="C291" s="13">
        <v>1</v>
      </c>
      <c r="D291" s="9">
        <v>5.5399999999999998E-2</v>
      </c>
      <c r="E291" s="13">
        <v>13</v>
      </c>
      <c r="F291">
        <v>6.4100000000000004E-2</v>
      </c>
      <c r="G291" s="13">
        <v>26</v>
      </c>
      <c r="H291">
        <v>7.7499999999999999E-2</v>
      </c>
      <c r="I291">
        <v>255.57140000000001</v>
      </c>
      <c r="J291">
        <v>7.9100000000000004E-2</v>
      </c>
      <c r="K291">
        <v>555.57140000000004</v>
      </c>
      <c r="L291">
        <v>7.9500000000000001E-2</v>
      </c>
      <c r="M291" s="13">
        <v>1312.2856999999999</v>
      </c>
    </row>
    <row r="292" spans="1:13" x14ac:dyDescent="0.2">
      <c r="A292">
        <v>290</v>
      </c>
      <c r="B292">
        <v>19941229</v>
      </c>
      <c r="C292" s="13">
        <v>1</v>
      </c>
      <c r="D292" s="9">
        <v>5.6500000000000002E-2</v>
      </c>
      <c r="E292" s="13">
        <v>13</v>
      </c>
      <c r="F292">
        <v>6.54E-2</v>
      </c>
      <c r="G292" s="13">
        <v>26</v>
      </c>
      <c r="H292">
        <v>7.8100000000000003E-2</v>
      </c>
      <c r="I292">
        <v>254.57140000000001</v>
      </c>
      <c r="J292">
        <v>7.8899999999999998E-2</v>
      </c>
      <c r="K292">
        <v>554.57140000000004</v>
      </c>
      <c r="L292">
        <v>7.9299999999999995E-2</v>
      </c>
      <c r="M292" s="13">
        <v>1311.2856999999999</v>
      </c>
    </row>
    <row r="293" spans="1:13" x14ac:dyDescent="0.2">
      <c r="A293">
        <v>291</v>
      </c>
      <c r="B293">
        <v>19950105</v>
      </c>
      <c r="C293" s="13">
        <v>1</v>
      </c>
      <c r="D293" s="9">
        <v>5.8299999999999998E-2</v>
      </c>
      <c r="E293" s="13">
        <v>13</v>
      </c>
      <c r="F293">
        <v>6.5500000000000003E-2</v>
      </c>
      <c r="G293" s="13">
        <v>26</v>
      </c>
      <c r="H293">
        <v>7.8200000000000006E-2</v>
      </c>
      <c r="I293">
        <v>266.71429999999998</v>
      </c>
      <c r="J293">
        <v>7.9299999999999995E-2</v>
      </c>
      <c r="K293">
        <v>553.57140000000004</v>
      </c>
      <c r="L293">
        <v>7.9699999999999993E-2</v>
      </c>
      <c r="M293" s="13">
        <v>1310.2856999999999</v>
      </c>
    </row>
    <row r="294" spans="1:13" x14ac:dyDescent="0.2">
      <c r="A294">
        <v>292</v>
      </c>
      <c r="B294">
        <v>19950112</v>
      </c>
      <c r="C294" s="13">
        <v>1</v>
      </c>
      <c r="D294" s="9">
        <v>5.7700000000000001E-2</v>
      </c>
      <c r="E294" s="13">
        <v>13</v>
      </c>
      <c r="F294">
        <v>6.5000000000000002E-2</v>
      </c>
      <c r="G294" s="13">
        <v>26</v>
      </c>
      <c r="H294">
        <v>7.8100000000000003E-2</v>
      </c>
      <c r="I294">
        <v>265.71429999999998</v>
      </c>
      <c r="J294">
        <v>7.9000000000000001E-2</v>
      </c>
      <c r="K294">
        <v>552.57140000000004</v>
      </c>
      <c r="L294">
        <v>7.9799999999999996E-2</v>
      </c>
      <c r="M294" s="13">
        <v>1309.2856999999999</v>
      </c>
    </row>
    <row r="295" spans="1:13" x14ac:dyDescent="0.2">
      <c r="A295">
        <v>293</v>
      </c>
      <c r="B295">
        <v>19950119</v>
      </c>
      <c r="C295" s="13">
        <v>1</v>
      </c>
      <c r="D295" s="9">
        <v>5.8500000000000003E-2</v>
      </c>
      <c r="E295" s="13">
        <v>13</v>
      </c>
      <c r="F295">
        <v>6.4500000000000002E-2</v>
      </c>
      <c r="G295" s="13">
        <v>26</v>
      </c>
      <c r="H295">
        <v>7.6999999999999999E-2</v>
      </c>
      <c r="I295">
        <v>264.71429999999998</v>
      </c>
      <c r="J295">
        <v>7.85E-2</v>
      </c>
      <c r="K295">
        <v>551.57140000000004</v>
      </c>
      <c r="L295">
        <v>7.9100000000000004E-2</v>
      </c>
      <c r="M295" s="13">
        <v>1308.2856999999999</v>
      </c>
    </row>
    <row r="296" spans="1:13" x14ac:dyDescent="0.2">
      <c r="A296">
        <v>294</v>
      </c>
      <c r="B296">
        <v>19950126</v>
      </c>
      <c r="C296" s="13">
        <v>1</v>
      </c>
      <c r="D296" s="9">
        <v>5.91E-2</v>
      </c>
      <c r="E296" s="13">
        <v>13</v>
      </c>
      <c r="F296">
        <v>6.4500000000000002E-2</v>
      </c>
      <c r="G296" s="13">
        <v>26</v>
      </c>
      <c r="H296">
        <v>7.7600000000000002E-2</v>
      </c>
      <c r="I296">
        <v>263.71429999999998</v>
      </c>
      <c r="J296">
        <v>7.9299999999999995E-2</v>
      </c>
      <c r="K296">
        <v>550.57140000000004</v>
      </c>
      <c r="L296">
        <v>7.9899999999999999E-2</v>
      </c>
      <c r="M296" s="13">
        <v>1307.2856999999999</v>
      </c>
    </row>
    <row r="297" spans="1:13" x14ac:dyDescent="0.2">
      <c r="A297">
        <v>295</v>
      </c>
      <c r="B297">
        <v>19950202</v>
      </c>
      <c r="C297" s="13">
        <v>1</v>
      </c>
      <c r="D297" s="9">
        <v>6.0499999999999998E-2</v>
      </c>
      <c r="E297" s="13">
        <v>13</v>
      </c>
      <c r="F297">
        <v>6.4799999999999996E-2</v>
      </c>
      <c r="G297" s="13">
        <v>26</v>
      </c>
      <c r="H297">
        <v>7.5999999999999998E-2</v>
      </c>
      <c r="I297">
        <v>262.71429999999998</v>
      </c>
      <c r="J297">
        <v>7.7799999999999994E-2</v>
      </c>
      <c r="K297">
        <v>549.57140000000004</v>
      </c>
      <c r="L297">
        <v>7.8600000000000003E-2</v>
      </c>
      <c r="M297" s="13">
        <v>1306.2856999999999</v>
      </c>
    </row>
    <row r="298" spans="1:13" x14ac:dyDescent="0.2">
      <c r="A298">
        <v>296</v>
      </c>
      <c r="B298">
        <v>19950209</v>
      </c>
      <c r="C298" s="13">
        <v>1</v>
      </c>
      <c r="D298" s="9">
        <v>5.91E-2</v>
      </c>
      <c r="E298" s="13">
        <v>13</v>
      </c>
      <c r="F298">
        <v>6.3200000000000006E-2</v>
      </c>
      <c r="G298" s="13">
        <v>26</v>
      </c>
      <c r="H298">
        <v>7.4499999999999997E-2</v>
      </c>
      <c r="I298">
        <v>261.71429999999998</v>
      </c>
      <c r="J298">
        <v>7.6700000000000004E-2</v>
      </c>
      <c r="K298">
        <v>548.57140000000004</v>
      </c>
      <c r="L298">
        <v>7.7799999999999994E-2</v>
      </c>
      <c r="M298" s="13">
        <v>1305.2856999999999</v>
      </c>
    </row>
    <row r="299" spans="1:13" x14ac:dyDescent="0.2">
      <c r="A299">
        <v>297</v>
      </c>
      <c r="B299">
        <v>19950216</v>
      </c>
      <c r="C299" s="13">
        <v>1</v>
      </c>
      <c r="D299" s="9">
        <v>5.91E-2</v>
      </c>
      <c r="E299" s="13">
        <v>13</v>
      </c>
      <c r="F299">
        <v>6.2899999999999998E-2</v>
      </c>
      <c r="G299" s="13">
        <v>26</v>
      </c>
      <c r="H299">
        <v>7.3899999999999993E-2</v>
      </c>
      <c r="I299">
        <v>260.71429999999998</v>
      </c>
      <c r="J299">
        <v>7.5999999999999998E-2</v>
      </c>
      <c r="K299">
        <v>547.57140000000004</v>
      </c>
      <c r="L299">
        <v>7.7700000000000005E-2</v>
      </c>
      <c r="M299" s="13">
        <v>1304.2856999999999</v>
      </c>
    </row>
    <row r="300" spans="1:13" x14ac:dyDescent="0.2">
      <c r="A300">
        <v>298</v>
      </c>
      <c r="B300">
        <v>19950223</v>
      </c>
      <c r="C300" s="13">
        <v>1</v>
      </c>
      <c r="D300" s="9">
        <v>5.8299999999999998E-2</v>
      </c>
      <c r="E300" s="13">
        <v>13</v>
      </c>
      <c r="F300">
        <v>6.1499999999999999E-2</v>
      </c>
      <c r="G300" s="13">
        <v>26</v>
      </c>
      <c r="H300">
        <v>7.2099999999999997E-2</v>
      </c>
      <c r="I300">
        <v>259.71429999999998</v>
      </c>
      <c r="J300">
        <v>7.51E-2</v>
      </c>
      <c r="K300">
        <v>546.57140000000004</v>
      </c>
      <c r="L300">
        <v>7.7799999999999994E-2</v>
      </c>
      <c r="M300" s="13">
        <v>1303.2856999999999</v>
      </c>
    </row>
    <row r="301" spans="1:13" x14ac:dyDescent="0.2">
      <c r="A301">
        <v>299</v>
      </c>
      <c r="B301">
        <v>19950302</v>
      </c>
      <c r="C301" s="13">
        <v>1</v>
      </c>
      <c r="D301" s="9">
        <v>5.8999999999999997E-2</v>
      </c>
      <c r="E301" s="13">
        <v>13</v>
      </c>
      <c r="F301">
        <v>6.1800000000000001E-2</v>
      </c>
      <c r="G301" s="13">
        <v>26</v>
      </c>
      <c r="H301">
        <v>7.0900000000000005E-2</v>
      </c>
      <c r="I301">
        <v>258.71429999999998</v>
      </c>
      <c r="J301">
        <v>7.4099999999999999E-2</v>
      </c>
      <c r="K301">
        <v>545.57140000000004</v>
      </c>
      <c r="L301">
        <v>7.7299999999999994E-2</v>
      </c>
      <c r="M301" s="13">
        <v>1302.2856999999999</v>
      </c>
    </row>
    <row r="302" spans="1:13" x14ac:dyDescent="0.2">
      <c r="A302">
        <v>300</v>
      </c>
      <c r="B302">
        <v>19950309</v>
      </c>
      <c r="C302" s="13">
        <v>1</v>
      </c>
      <c r="D302" s="9">
        <v>5.91E-2</v>
      </c>
      <c r="E302" s="13">
        <v>13</v>
      </c>
      <c r="F302">
        <v>6.2399999999999997E-2</v>
      </c>
      <c r="G302" s="13">
        <v>26</v>
      </c>
      <c r="H302">
        <v>7.22E-2</v>
      </c>
      <c r="I302">
        <v>257.71429999999998</v>
      </c>
      <c r="J302">
        <v>7.5499999999999998E-2</v>
      </c>
      <c r="K302">
        <v>544.57140000000004</v>
      </c>
      <c r="L302">
        <v>7.8200000000000006E-2</v>
      </c>
      <c r="M302" s="13">
        <v>1301.2856999999999</v>
      </c>
    </row>
    <row r="303" spans="1:13" x14ac:dyDescent="0.2">
      <c r="A303">
        <v>301</v>
      </c>
      <c r="B303">
        <v>19950316</v>
      </c>
      <c r="C303" s="13">
        <v>1</v>
      </c>
      <c r="D303" s="9">
        <v>5.8799999999999998E-2</v>
      </c>
      <c r="E303" s="13">
        <v>13</v>
      </c>
      <c r="F303">
        <v>6.1600000000000002E-2</v>
      </c>
      <c r="G303" s="13">
        <v>26</v>
      </c>
      <c r="H303">
        <v>6.93E-2</v>
      </c>
      <c r="I303">
        <v>256.71429999999998</v>
      </c>
      <c r="J303">
        <v>7.2800000000000004E-2</v>
      </c>
      <c r="K303">
        <v>543.57140000000004</v>
      </c>
      <c r="L303">
        <v>7.6499999999999999E-2</v>
      </c>
      <c r="M303" s="13">
        <v>1300.2856999999999</v>
      </c>
    </row>
    <row r="304" spans="1:13" x14ac:dyDescent="0.2">
      <c r="A304">
        <v>302</v>
      </c>
      <c r="B304">
        <v>19950323</v>
      </c>
      <c r="C304" s="13">
        <v>1</v>
      </c>
      <c r="D304" s="9">
        <v>5.8700000000000002E-2</v>
      </c>
      <c r="E304" s="13">
        <v>13</v>
      </c>
      <c r="F304">
        <v>6.1100000000000002E-2</v>
      </c>
      <c r="G304" s="13">
        <v>26</v>
      </c>
      <c r="H304">
        <v>7.0499999999999993E-2</v>
      </c>
      <c r="I304">
        <v>255.71430000000001</v>
      </c>
      <c r="J304">
        <v>7.4300000000000005E-2</v>
      </c>
      <c r="K304">
        <v>542.57140000000004</v>
      </c>
      <c r="L304">
        <v>7.7499999999999999E-2</v>
      </c>
      <c r="M304" s="13">
        <v>1299.2856999999999</v>
      </c>
    </row>
    <row r="305" spans="1:13" x14ac:dyDescent="0.2">
      <c r="A305">
        <v>303</v>
      </c>
      <c r="B305">
        <v>19950330</v>
      </c>
      <c r="C305" s="13">
        <v>1</v>
      </c>
      <c r="D305" s="9">
        <v>5.8000000000000003E-2</v>
      </c>
      <c r="E305" s="13">
        <v>13</v>
      </c>
      <c r="F305">
        <v>6.0199999999999997E-2</v>
      </c>
      <c r="G305" s="13">
        <v>26</v>
      </c>
      <c r="H305">
        <v>7.0199999999999999E-2</v>
      </c>
      <c r="I305">
        <v>254.71430000000001</v>
      </c>
      <c r="J305">
        <v>7.3499999999999996E-2</v>
      </c>
      <c r="K305">
        <v>541.57140000000004</v>
      </c>
      <c r="L305">
        <v>7.6799999999999993E-2</v>
      </c>
      <c r="M305" s="13">
        <v>1298.2856999999999</v>
      </c>
    </row>
    <row r="306" spans="1:13" x14ac:dyDescent="0.2">
      <c r="A306">
        <v>304</v>
      </c>
      <c r="B306">
        <v>19950406</v>
      </c>
      <c r="C306" s="13">
        <v>1</v>
      </c>
      <c r="D306" s="9">
        <v>5.8400000000000001E-2</v>
      </c>
      <c r="E306" s="13">
        <v>13</v>
      </c>
      <c r="F306">
        <v>6.1100000000000002E-2</v>
      </c>
      <c r="G306" s="13">
        <v>26</v>
      </c>
      <c r="H306">
        <v>6.9699999999999998E-2</v>
      </c>
      <c r="I306">
        <v>253.71430000000001</v>
      </c>
      <c r="J306">
        <v>7.3099999999999998E-2</v>
      </c>
      <c r="K306">
        <v>540.57140000000004</v>
      </c>
      <c r="L306">
        <v>7.6799999999999993E-2</v>
      </c>
      <c r="M306" s="13">
        <v>1297.2856999999999</v>
      </c>
    </row>
    <row r="307" spans="1:13" x14ac:dyDescent="0.2">
      <c r="A307">
        <v>305</v>
      </c>
      <c r="B307">
        <v>19950413</v>
      </c>
      <c r="C307" s="13">
        <v>1</v>
      </c>
      <c r="D307" s="9">
        <v>5.7799999999999997E-2</v>
      </c>
      <c r="E307" s="13">
        <v>13</v>
      </c>
      <c r="F307">
        <v>6.0199999999999997E-2</v>
      </c>
      <c r="G307" s="13">
        <v>26</v>
      </c>
      <c r="H307">
        <v>6.8699999999999997E-2</v>
      </c>
      <c r="I307">
        <v>265.57139999999998</v>
      </c>
      <c r="J307">
        <v>7.2700000000000001E-2</v>
      </c>
      <c r="K307">
        <v>539.57140000000004</v>
      </c>
      <c r="L307">
        <v>7.6799999999999993E-2</v>
      </c>
      <c r="M307" s="13">
        <v>1296.2856999999999</v>
      </c>
    </row>
    <row r="308" spans="1:13" x14ac:dyDescent="0.2">
      <c r="A308">
        <v>306</v>
      </c>
      <c r="B308">
        <v>19950420</v>
      </c>
      <c r="C308" s="13">
        <v>1</v>
      </c>
      <c r="D308" s="9">
        <v>5.7599999999999998E-2</v>
      </c>
      <c r="E308" s="13">
        <v>13</v>
      </c>
      <c r="F308">
        <v>5.9400000000000001E-2</v>
      </c>
      <c r="G308" s="13">
        <v>26</v>
      </c>
      <c r="H308">
        <v>6.7799999999999999E-2</v>
      </c>
      <c r="I308">
        <v>264.57139999999998</v>
      </c>
      <c r="J308">
        <v>7.2700000000000001E-2</v>
      </c>
      <c r="K308">
        <v>538.57140000000004</v>
      </c>
      <c r="L308">
        <v>7.6999999999999999E-2</v>
      </c>
      <c r="M308" s="13">
        <v>1295.2856999999999</v>
      </c>
    </row>
    <row r="309" spans="1:13" x14ac:dyDescent="0.2">
      <c r="A309">
        <v>307</v>
      </c>
      <c r="B309">
        <v>19950427</v>
      </c>
      <c r="C309" s="13">
        <v>1</v>
      </c>
      <c r="D309" s="9">
        <v>5.8099999999999999E-2</v>
      </c>
      <c r="E309" s="13">
        <v>13</v>
      </c>
      <c r="F309">
        <v>0.06</v>
      </c>
      <c r="G309" s="13">
        <v>26</v>
      </c>
      <c r="H309">
        <v>6.7699999999999996E-2</v>
      </c>
      <c r="I309">
        <v>263.57139999999998</v>
      </c>
      <c r="J309">
        <v>7.2099999999999997E-2</v>
      </c>
      <c r="K309">
        <v>537.57140000000004</v>
      </c>
      <c r="L309">
        <v>7.6399999999999996E-2</v>
      </c>
      <c r="M309" s="13">
        <v>1294.2856999999999</v>
      </c>
    </row>
    <row r="310" spans="1:13" x14ac:dyDescent="0.2">
      <c r="A310">
        <v>308</v>
      </c>
      <c r="B310">
        <v>19950504</v>
      </c>
      <c r="C310" s="13">
        <v>1</v>
      </c>
      <c r="D310" s="9">
        <v>5.8000000000000003E-2</v>
      </c>
      <c r="E310" s="13">
        <v>13</v>
      </c>
      <c r="F310">
        <v>5.9400000000000001E-2</v>
      </c>
      <c r="G310" s="13">
        <v>26</v>
      </c>
      <c r="H310">
        <v>6.6799999999999998E-2</v>
      </c>
      <c r="I310">
        <v>262.57139999999998</v>
      </c>
      <c r="J310">
        <v>7.1400000000000005E-2</v>
      </c>
      <c r="K310">
        <v>536.57140000000004</v>
      </c>
      <c r="L310">
        <v>7.5700000000000003E-2</v>
      </c>
      <c r="M310" s="13">
        <v>1293.2856999999999</v>
      </c>
    </row>
    <row r="311" spans="1:13" x14ac:dyDescent="0.2">
      <c r="A311">
        <v>309</v>
      </c>
      <c r="B311">
        <v>19950511</v>
      </c>
      <c r="C311" s="13">
        <v>1</v>
      </c>
      <c r="D311" s="9">
        <v>5.7799999999999997E-2</v>
      </c>
      <c r="E311" s="13">
        <v>13</v>
      </c>
      <c r="F311">
        <v>5.8799999999999998E-2</v>
      </c>
      <c r="G311" s="13">
        <v>26</v>
      </c>
      <c r="H311">
        <v>6.3299999999999995E-2</v>
      </c>
      <c r="I311">
        <v>261.57139999999998</v>
      </c>
      <c r="J311">
        <v>6.8400000000000002E-2</v>
      </c>
      <c r="K311">
        <v>535.57140000000004</v>
      </c>
      <c r="L311">
        <v>7.3099999999999998E-2</v>
      </c>
      <c r="M311" s="13">
        <v>1292.2856999999999</v>
      </c>
    </row>
    <row r="312" spans="1:13" x14ac:dyDescent="0.2">
      <c r="A312">
        <v>310</v>
      </c>
      <c r="B312">
        <v>19950518</v>
      </c>
      <c r="C312" s="13">
        <v>1</v>
      </c>
      <c r="D312" s="9">
        <v>5.8200000000000002E-2</v>
      </c>
      <c r="E312" s="13">
        <v>13</v>
      </c>
      <c r="F312">
        <v>5.8700000000000002E-2</v>
      </c>
      <c r="G312" s="13">
        <v>26</v>
      </c>
      <c r="H312">
        <v>6.3299999999999995E-2</v>
      </c>
      <c r="I312">
        <v>260.57139999999998</v>
      </c>
      <c r="J312">
        <v>6.7299999999999999E-2</v>
      </c>
      <c r="K312">
        <v>534.57140000000004</v>
      </c>
      <c r="L312">
        <v>7.1900000000000006E-2</v>
      </c>
      <c r="M312" s="13">
        <v>1291.2856999999999</v>
      </c>
    </row>
    <row r="313" spans="1:13" x14ac:dyDescent="0.2">
      <c r="A313">
        <v>311</v>
      </c>
      <c r="B313">
        <v>19950525</v>
      </c>
      <c r="C313" s="13">
        <v>1</v>
      </c>
      <c r="D313" s="9">
        <v>5.8299999999999998E-2</v>
      </c>
      <c r="E313" s="13">
        <v>13</v>
      </c>
      <c r="F313">
        <v>5.8700000000000002E-2</v>
      </c>
      <c r="G313" s="13">
        <v>26.142900000000001</v>
      </c>
      <c r="H313">
        <v>6.2E-2</v>
      </c>
      <c r="I313">
        <v>259.57139999999998</v>
      </c>
      <c r="J313">
        <v>6.6400000000000001E-2</v>
      </c>
      <c r="K313">
        <v>533.57140000000004</v>
      </c>
      <c r="L313">
        <v>7.0800000000000002E-2</v>
      </c>
      <c r="M313" s="13">
        <v>1290.2856999999999</v>
      </c>
    </row>
    <row r="314" spans="1:13" x14ac:dyDescent="0.2">
      <c r="A314">
        <v>312</v>
      </c>
      <c r="B314">
        <v>19950601</v>
      </c>
      <c r="C314" s="13">
        <v>1</v>
      </c>
      <c r="D314" s="9">
        <v>5.7799999999999997E-2</v>
      </c>
      <c r="E314" s="13">
        <v>13</v>
      </c>
      <c r="F314">
        <v>5.8000000000000003E-2</v>
      </c>
      <c r="G314" s="13">
        <v>26</v>
      </c>
      <c r="H314">
        <v>6.0199999999999997E-2</v>
      </c>
      <c r="I314">
        <v>258.57139999999998</v>
      </c>
      <c r="J314">
        <v>6.5100000000000005E-2</v>
      </c>
      <c r="K314">
        <v>532.57140000000004</v>
      </c>
      <c r="L314">
        <v>7.0199999999999999E-2</v>
      </c>
      <c r="M314" s="13">
        <v>1289.2856999999999</v>
      </c>
    </row>
    <row r="315" spans="1:13" x14ac:dyDescent="0.2">
      <c r="A315">
        <v>313</v>
      </c>
      <c r="B315">
        <v>19950608</v>
      </c>
      <c r="C315" s="13">
        <v>1</v>
      </c>
      <c r="D315" s="9">
        <v>5.7200000000000001E-2</v>
      </c>
      <c r="E315" s="13">
        <v>13</v>
      </c>
      <c r="F315">
        <v>5.7299999999999997E-2</v>
      </c>
      <c r="G315" s="13">
        <v>26</v>
      </c>
      <c r="H315">
        <v>5.91E-2</v>
      </c>
      <c r="I315">
        <v>257.57139999999998</v>
      </c>
      <c r="J315">
        <v>6.4000000000000001E-2</v>
      </c>
      <c r="K315">
        <v>531.57140000000004</v>
      </c>
      <c r="L315">
        <v>6.88E-2</v>
      </c>
      <c r="M315" s="13">
        <v>1288.2856999999999</v>
      </c>
    </row>
    <row r="316" spans="1:13" x14ac:dyDescent="0.2">
      <c r="A316">
        <v>314</v>
      </c>
      <c r="B316">
        <v>19950615</v>
      </c>
      <c r="C316" s="13">
        <v>1</v>
      </c>
      <c r="D316" s="9">
        <v>5.5899999999999998E-2</v>
      </c>
      <c r="E316" s="13">
        <v>13</v>
      </c>
      <c r="F316">
        <v>5.6099999999999997E-2</v>
      </c>
      <c r="G316" s="13">
        <v>26</v>
      </c>
      <c r="H316">
        <v>5.8099999999999999E-2</v>
      </c>
      <c r="I316">
        <v>256.57139999999998</v>
      </c>
      <c r="J316">
        <v>6.4100000000000004E-2</v>
      </c>
      <c r="K316">
        <v>530.57140000000004</v>
      </c>
      <c r="L316">
        <v>6.9500000000000006E-2</v>
      </c>
      <c r="M316" s="13">
        <v>1287.2856999999999</v>
      </c>
    </row>
    <row r="317" spans="1:13" x14ac:dyDescent="0.2">
      <c r="A317">
        <v>315</v>
      </c>
      <c r="B317">
        <v>19950622</v>
      </c>
      <c r="C317" s="13">
        <v>1</v>
      </c>
      <c r="D317" s="9">
        <v>5.5599999999999997E-2</v>
      </c>
      <c r="E317" s="13">
        <v>13</v>
      </c>
      <c r="F317">
        <v>5.6300000000000003E-2</v>
      </c>
      <c r="G317" s="13">
        <v>26</v>
      </c>
      <c r="H317">
        <v>5.8400000000000001E-2</v>
      </c>
      <c r="I317">
        <v>255.57140000000001</v>
      </c>
      <c r="J317">
        <v>6.3600000000000004E-2</v>
      </c>
      <c r="K317">
        <v>529.57140000000004</v>
      </c>
      <c r="L317">
        <v>6.9099999999999995E-2</v>
      </c>
      <c r="M317" s="13">
        <v>1299.1429000000001</v>
      </c>
    </row>
    <row r="318" spans="1:13" x14ac:dyDescent="0.2">
      <c r="A318">
        <v>316</v>
      </c>
      <c r="B318">
        <v>19950629</v>
      </c>
      <c r="C318" s="13">
        <v>1</v>
      </c>
      <c r="D318" s="9">
        <v>5.5399999999999998E-2</v>
      </c>
      <c r="E318" s="13">
        <v>13</v>
      </c>
      <c r="F318">
        <v>5.5500000000000001E-2</v>
      </c>
      <c r="G318" s="13">
        <v>26</v>
      </c>
      <c r="H318">
        <v>5.8299999999999998E-2</v>
      </c>
      <c r="I318">
        <v>254.57140000000001</v>
      </c>
      <c r="J318">
        <v>6.3200000000000006E-2</v>
      </c>
      <c r="K318">
        <v>528.57140000000004</v>
      </c>
      <c r="L318">
        <v>6.8500000000000005E-2</v>
      </c>
      <c r="M318" s="13">
        <v>1298.1429000000001</v>
      </c>
    </row>
    <row r="319" spans="1:13" x14ac:dyDescent="0.2">
      <c r="A319">
        <v>317</v>
      </c>
      <c r="B319">
        <v>19950706</v>
      </c>
      <c r="C319" s="13">
        <v>1</v>
      </c>
      <c r="D319" s="9">
        <v>5.6599999999999998E-2</v>
      </c>
      <c r="E319" s="13">
        <v>13</v>
      </c>
      <c r="F319">
        <v>5.6599999999999998E-2</v>
      </c>
      <c r="G319" s="13">
        <v>26</v>
      </c>
      <c r="H319">
        <v>5.9700000000000003E-2</v>
      </c>
      <c r="I319">
        <v>266.71429999999998</v>
      </c>
      <c r="J319">
        <v>6.3899999999999998E-2</v>
      </c>
      <c r="K319">
        <v>527.57140000000004</v>
      </c>
      <c r="L319">
        <v>6.9400000000000003E-2</v>
      </c>
      <c r="M319" s="13">
        <v>1297.1429000000001</v>
      </c>
    </row>
    <row r="320" spans="1:13" x14ac:dyDescent="0.2">
      <c r="A320">
        <v>318</v>
      </c>
      <c r="B320">
        <v>19950713</v>
      </c>
      <c r="C320" s="13">
        <v>1</v>
      </c>
      <c r="D320" s="9">
        <v>5.5199999999999999E-2</v>
      </c>
      <c r="E320" s="13">
        <v>13</v>
      </c>
      <c r="F320">
        <v>5.5100000000000003E-2</v>
      </c>
      <c r="G320" s="13">
        <v>26</v>
      </c>
      <c r="H320">
        <v>5.8200000000000002E-2</v>
      </c>
      <c r="I320">
        <v>265.71429999999998</v>
      </c>
      <c r="J320">
        <v>6.3100000000000003E-2</v>
      </c>
      <c r="K320">
        <v>526.57140000000004</v>
      </c>
      <c r="L320">
        <v>6.9000000000000006E-2</v>
      </c>
      <c r="M320" s="13">
        <v>1296.1429000000001</v>
      </c>
    </row>
    <row r="321" spans="1:13" x14ac:dyDescent="0.2">
      <c r="A321">
        <v>319</v>
      </c>
      <c r="B321">
        <v>19950720</v>
      </c>
      <c r="C321" s="13">
        <v>1</v>
      </c>
      <c r="D321" s="9">
        <v>5.5399999999999998E-2</v>
      </c>
      <c r="E321" s="13">
        <v>13</v>
      </c>
      <c r="F321">
        <v>5.6300000000000003E-2</v>
      </c>
      <c r="G321" s="13">
        <v>26</v>
      </c>
      <c r="H321">
        <v>6.1899999999999997E-2</v>
      </c>
      <c r="I321">
        <v>264.71429999999998</v>
      </c>
      <c r="J321">
        <v>6.6500000000000004E-2</v>
      </c>
      <c r="K321">
        <v>525.57140000000004</v>
      </c>
      <c r="L321">
        <v>7.2599999999999998E-2</v>
      </c>
      <c r="M321" s="13">
        <v>1295.1429000000001</v>
      </c>
    </row>
    <row r="322" spans="1:13" x14ac:dyDescent="0.2">
      <c r="A322">
        <v>320</v>
      </c>
      <c r="B322">
        <v>19950727</v>
      </c>
      <c r="C322" s="13">
        <v>1</v>
      </c>
      <c r="D322" s="9">
        <v>5.6099999999999997E-2</v>
      </c>
      <c r="E322" s="13">
        <v>13</v>
      </c>
      <c r="F322">
        <v>5.6500000000000002E-2</v>
      </c>
      <c r="G322" s="13">
        <v>26</v>
      </c>
      <c r="H322">
        <v>6.2700000000000006E-2</v>
      </c>
      <c r="I322">
        <v>263.71429999999998</v>
      </c>
      <c r="J322">
        <v>6.7000000000000004E-2</v>
      </c>
      <c r="K322">
        <v>524.57140000000004</v>
      </c>
      <c r="L322">
        <v>7.1999999999999995E-2</v>
      </c>
      <c r="M322" s="13">
        <v>1294.1429000000001</v>
      </c>
    </row>
    <row r="323" spans="1:13" x14ac:dyDescent="0.2">
      <c r="A323">
        <v>321</v>
      </c>
      <c r="B323">
        <v>19950803</v>
      </c>
      <c r="C323" s="13">
        <v>1</v>
      </c>
      <c r="D323" s="9">
        <v>5.57E-2</v>
      </c>
      <c r="E323" s="13">
        <v>13</v>
      </c>
      <c r="F323">
        <v>5.6099999999999997E-2</v>
      </c>
      <c r="G323" s="13">
        <v>26</v>
      </c>
      <c r="H323">
        <v>6.2E-2</v>
      </c>
      <c r="I323">
        <v>262.71429999999998</v>
      </c>
      <c r="J323">
        <v>6.6500000000000004E-2</v>
      </c>
      <c r="K323">
        <v>523.57140000000004</v>
      </c>
      <c r="L323">
        <v>7.1800000000000003E-2</v>
      </c>
      <c r="M323" s="13">
        <v>1293.1429000000001</v>
      </c>
    </row>
    <row r="324" spans="1:13" x14ac:dyDescent="0.2">
      <c r="A324">
        <v>322</v>
      </c>
      <c r="B324">
        <v>19950810</v>
      </c>
      <c r="C324" s="13">
        <v>1</v>
      </c>
      <c r="D324" s="9">
        <v>5.5300000000000002E-2</v>
      </c>
      <c r="E324" s="13">
        <v>13</v>
      </c>
      <c r="F324">
        <v>5.6000000000000001E-2</v>
      </c>
      <c r="G324" s="13">
        <v>26</v>
      </c>
      <c r="H324">
        <v>6.25E-2</v>
      </c>
      <c r="I324">
        <v>261.71429999999998</v>
      </c>
      <c r="J324">
        <v>6.7000000000000004E-2</v>
      </c>
      <c r="K324">
        <v>522.57140000000004</v>
      </c>
      <c r="L324">
        <v>7.2300000000000003E-2</v>
      </c>
      <c r="M324" s="13">
        <v>1292.1429000000001</v>
      </c>
    </row>
    <row r="325" spans="1:13" x14ac:dyDescent="0.2">
      <c r="A325">
        <v>323</v>
      </c>
      <c r="B325">
        <v>19950817</v>
      </c>
      <c r="C325" s="13">
        <v>1</v>
      </c>
      <c r="D325" s="9">
        <v>5.5599999999999997E-2</v>
      </c>
      <c r="E325" s="13">
        <v>13</v>
      </c>
      <c r="F325">
        <v>5.6800000000000003E-2</v>
      </c>
      <c r="G325" s="13">
        <v>26</v>
      </c>
      <c r="H325">
        <v>6.3600000000000004E-2</v>
      </c>
      <c r="I325">
        <v>260.71429999999998</v>
      </c>
      <c r="J325">
        <v>6.7699999999999996E-2</v>
      </c>
      <c r="K325">
        <v>521.57140000000004</v>
      </c>
      <c r="L325">
        <v>7.22E-2</v>
      </c>
      <c r="M325" s="13">
        <v>1291.1429000000001</v>
      </c>
    </row>
    <row r="326" spans="1:13" x14ac:dyDescent="0.2">
      <c r="A326">
        <v>324</v>
      </c>
      <c r="B326">
        <v>19950824</v>
      </c>
      <c r="C326" s="13">
        <v>1</v>
      </c>
      <c r="D326" s="9">
        <v>5.5800000000000002E-2</v>
      </c>
      <c r="E326" s="13">
        <v>13.142899999999999</v>
      </c>
      <c r="F326">
        <v>5.6599999999999998E-2</v>
      </c>
      <c r="G326" s="13">
        <v>26</v>
      </c>
      <c r="H326">
        <v>6.4000000000000001E-2</v>
      </c>
      <c r="I326">
        <v>259.71429999999998</v>
      </c>
      <c r="J326">
        <v>6.8099999999999994E-2</v>
      </c>
      <c r="K326">
        <v>520.57140000000004</v>
      </c>
      <c r="L326">
        <v>7.2400000000000006E-2</v>
      </c>
      <c r="M326" s="13">
        <v>1290.1429000000001</v>
      </c>
    </row>
    <row r="327" spans="1:13" x14ac:dyDescent="0.2">
      <c r="A327">
        <v>325</v>
      </c>
      <c r="B327">
        <v>19950831</v>
      </c>
      <c r="C327" s="13">
        <v>1</v>
      </c>
      <c r="D327" s="9">
        <v>5.4399999999999997E-2</v>
      </c>
      <c r="E327" s="13">
        <v>13</v>
      </c>
      <c r="F327">
        <v>5.5300000000000002E-2</v>
      </c>
      <c r="G327" s="13">
        <v>26</v>
      </c>
      <c r="H327">
        <v>6.1199999999999997E-2</v>
      </c>
      <c r="I327">
        <v>258.71429999999998</v>
      </c>
      <c r="J327">
        <v>6.5500000000000003E-2</v>
      </c>
      <c r="K327">
        <v>519.57140000000004</v>
      </c>
      <c r="L327">
        <v>7.0400000000000004E-2</v>
      </c>
      <c r="M327" s="13">
        <v>1289.1429000000001</v>
      </c>
    </row>
    <row r="328" spans="1:13" x14ac:dyDescent="0.2">
      <c r="A328">
        <v>326</v>
      </c>
      <c r="B328">
        <v>19950907</v>
      </c>
      <c r="C328" s="13">
        <v>1</v>
      </c>
      <c r="D328" s="9">
        <v>5.4600000000000003E-2</v>
      </c>
      <c r="E328" s="13">
        <v>13</v>
      </c>
      <c r="F328">
        <v>5.5300000000000002E-2</v>
      </c>
      <c r="G328" s="13">
        <v>26</v>
      </c>
      <c r="H328">
        <v>5.9799999999999999E-2</v>
      </c>
      <c r="I328">
        <v>257.71429999999998</v>
      </c>
      <c r="J328">
        <v>6.3899999999999998E-2</v>
      </c>
      <c r="K328">
        <v>518.57140000000004</v>
      </c>
      <c r="L328">
        <v>6.93E-2</v>
      </c>
      <c r="M328" s="13">
        <v>1288.1429000000001</v>
      </c>
    </row>
    <row r="329" spans="1:13" x14ac:dyDescent="0.2">
      <c r="A329">
        <v>327</v>
      </c>
      <c r="B329">
        <v>19950914</v>
      </c>
      <c r="C329" s="13">
        <v>1</v>
      </c>
      <c r="D329" s="9">
        <v>5.4399999999999997E-2</v>
      </c>
      <c r="E329" s="13">
        <v>13</v>
      </c>
      <c r="F329">
        <v>5.5100000000000003E-2</v>
      </c>
      <c r="G329" s="13">
        <v>26</v>
      </c>
      <c r="H329">
        <v>6.0100000000000001E-2</v>
      </c>
      <c r="I329">
        <v>256.71429999999998</v>
      </c>
      <c r="J329">
        <v>6.4000000000000001E-2</v>
      </c>
      <c r="K329">
        <v>517.57140000000004</v>
      </c>
      <c r="L329">
        <v>6.9099999999999995E-2</v>
      </c>
      <c r="M329" s="13">
        <v>1287.1429000000001</v>
      </c>
    </row>
    <row r="330" spans="1:13" x14ac:dyDescent="0.2">
      <c r="A330">
        <v>328</v>
      </c>
      <c r="B330">
        <v>19950921</v>
      </c>
      <c r="C330" s="13">
        <v>1</v>
      </c>
      <c r="D330" s="9">
        <v>5.3100000000000001E-2</v>
      </c>
      <c r="E330" s="13">
        <v>13</v>
      </c>
      <c r="F330">
        <v>5.4100000000000002E-2</v>
      </c>
      <c r="G330" s="13">
        <v>26</v>
      </c>
      <c r="H330">
        <v>5.9400000000000001E-2</v>
      </c>
      <c r="I330">
        <v>255.71430000000001</v>
      </c>
      <c r="J330">
        <v>6.3200000000000006E-2</v>
      </c>
      <c r="K330">
        <v>516.57140000000004</v>
      </c>
      <c r="L330">
        <v>6.8400000000000002E-2</v>
      </c>
      <c r="M330" s="13">
        <v>1299.2856999999999</v>
      </c>
    </row>
    <row r="331" spans="1:13" x14ac:dyDescent="0.2">
      <c r="A331">
        <v>329</v>
      </c>
      <c r="B331">
        <v>19950928</v>
      </c>
      <c r="C331" s="13">
        <v>1</v>
      </c>
      <c r="D331" s="9">
        <v>5.3999999999999999E-2</v>
      </c>
      <c r="E331" s="13">
        <v>13</v>
      </c>
      <c r="F331">
        <v>5.5800000000000002E-2</v>
      </c>
      <c r="G331" s="13">
        <v>26</v>
      </c>
      <c r="H331">
        <v>6.13E-2</v>
      </c>
      <c r="I331">
        <v>254.71430000000001</v>
      </c>
      <c r="J331">
        <v>6.4899999999999999E-2</v>
      </c>
      <c r="K331">
        <v>515.57140000000004</v>
      </c>
      <c r="L331">
        <v>6.9599999999999995E-2</v>
      </c>
      <c r="M331" s="13">
        <v>1298.2856999999999</v>
      </c>
    </row>
    <row r="332" spans="1:13" x14ac:dyDescent="0.2">
      <c r="A332">
        <v>330</v>
      </c>
      <c r="B332">
        <v>19951005</v>
      </c>
      <c r="C332" s="13">
        <v>1</v>
      </c>
      <c r="D332" s="9">
        <v>5.45E-2</v>
      </c>
      <c r="E332" s="13">
        <v>13</v>
      </c>
      <c r="F332">
        <v>5.5500000000000001E-2</v>
      </c>
      <c r="G332" s="13">
        <v>26</v>
      </c>
      <c r="H332">
        <v>5.9299999999999999E-2</v>
      </c>
      <c r="I332">
        <v>253.71430000000001</v>
      </c>
      <c r="J332">
        <v>6.2799999999999995E-2</v>
      </c>
      <c r="K332">
        <v>514.57140000000004</v>
      </c>
      <c r="L332">
        <v>6.7799999999999999E-2</v>
      </c>
      <c r="M332" s="13">
        <v>1297.2856999999999</v>
      </c>
    </row>
    <row r="333" spans="1:13" x14ac:dyDescent="0.2">
      <c r="A333">
        <v>331</v>
      </c>
      <c r="B333">
        <v>19951012</v>
      </c>
      <c r="C333" s="13">
        <v>1</v>
      </c>
      <c r="D333" s="9">
        <v>5.4399999999999997E-2</v>
      </c>
      <c r="E333" s="13">
        <v>13</v>
      </c>
      <c r="F333">
        <v>5.5500000000000001E-2</v>
      </c>
      <c r="G333" s="13">
        <v>26</v>
      </c>
      <c r="H333">
        <v>5.9299999999999999E-2</v>
      </c>
      <c r="I333">
        <v>265.8571</v>
      </c>
      <c r="J333">
        <v>6.2600000000000003E-2</v>
      </c>
      <c r="K333">
        <v>513.57140000000004</v>
      </c>
      <c r="L333">
        <v>6.7500000000000004E-2</v>
      </c>
      <c r="M333" s="13">
        <v>1296.2856999999999</v>
      </c>
    </row>
    <row r="334" spans="1:13" x14ac:dyDescent="0.2">
      <c r="A334">
        <v>332</v>
      </c>
      <c r="B334">
        <v>19951019</v>
      </c>
      <c r="C334" s="13">
        <v>1</v>
      </c>
      <c r="D334" s="9">
        <v>5.3900000000000003E-2</v>
      </c>
      <c r="E334" s="13">
        <v>13</v>
      </c>
      <c r="F334">
        <v>5.5300000000000002E-2</v>
      </c>
      <c r="G334" s="13">
        <v>26</v>
      </c>
      <c r="H334">
        <v>5.8400000000000001E-2</v>
      </c>
      <c r="I334">
        <v>264.8571</v>
      </c>
      <c r="J334">
        <v>6.1499999999999999E-2</v>
      </c>
      <c r="K334">
        <v>512.57140000000004</v>
      </c>
      <c r="L334">
        <v>6.6299999999999998E-2</v>
      </c>
      <c r="M334" s="13">
        <v>1295.2856999999999</v>
      </c>
    </row>
    <row r="335" spans="1:13" x14ac:dyDescent="0.2">
      <c r="A335">
        <v>333</v>
      </c>
      <c r="B335">
        <v>19951026</v>
      </c>
      <c r="C335" s="13">
        <v>1</v>
      </c>
      <c r="D335" s="9">
        <v>5.3699999999999998E-2</v>
      </c>
      <c r="E335" s="13">
        <v>13</v>
      </c>
      <c r="F335">
        <v>5.5300000000000002E-2</v>
      </c>
      <c r="G335" s="13">
        <v>26</v>
      </c>
      <c r="H335">
        <v>5.8099999999999999E-2</v>
      </c>
      <c r="I335">
        <v>263.8571</v>
      </c>
      <c r="J335">
        <v>6.1600000000000002E-2</v>
      </c>
      <c r="K335">
        <v>511.57139999999998</v>
      </c>
      <c r="L335">
        <v>6.6000000000000003E-2</v>
      </c>
      <c r="M335" s="13">
        <v>1294.2856999999999</v>
      </c>
    </row>
    <row r="336" spans="1:13" x14ac:dyDescent="0.2">
      <c r="A336">
        <v>334</v>
      </c>
      <c r="B336">
        <v>19951102</v>
      </c>
      <c r="C336" s="13">
        <v>1</v>
      </c>
      <c r="D336" s="9">
        <v>5.4600000000000003E-2</v>
      </c>
      <c r="E336" s="13">
        <v>13</v>
      </c>
      <c r="F336">
        <v>5.4699999999999999E-2</v>
      </c>
      <c r="G336" s="13">
        <v>26</v>
      </c>
      <c r="H336">
        <v>5.7299999999999997E-2</v>
      </c>
      <c r="I336">
        <v>262.8571</v>
      </c>
      <c r="J336">
        <v>6.1400000000000003E-2</v>
      </c>
      <c r="K336">
        <v>510.57139999999998</v>
      </c>
      <c r="L336">
        <v>6.5799999999999997E-2</v>
      </c>
      <c r="M336" s="13">
        <v>1293.2856999999999</v>
      </c>
    </row>
    <row r="337" spans="1:13" x14ac:dyDescent="0.2">
      <c r="A337">
        <v>335</v>
      </c>
      <c r="B337">
        <v>19951109</v>
      </c>
      <c r="C337" s="13">
        <v>1</v>
      </c>
      <c r="D337" s="9">
        <v>5.4899999999999997E-2</v>
      </c>
      <c r="E337" s="13">
        <v>13</v>
      </c>
      <c r="F337">
        <v>5.4699999999999999E-2</v>
      </c>
      <c r="G337" s="13">
        <v>26</v>
      </c>
      <c r="H337">
        <v>5.7000000000000002E-2</v>
      </c>
      <c r="I337">
        <v>261.8571</v>
      </c>
      <c r="J337">
        <v>6.08E-2</v>
      </c>
      <c r="K337">
        <v>509.57139999999998</v>
      </c>
      <c r="L337">
        <v>6.5299999999999997E-2</v>
      </c>
      <c r="M337" s="13">
        <v>1292.2856999999999</v>
      </c>
    </row>
    <row r="338" spans="1:13" x14ac:dyDescent="0.2">
      <c r="A338">
        <v>336</v>
      </c>
      <c r="B338">
        <v>19951116</v>
      </c>
      <c r="C338" s="13">
        <v>1</v>
      </c>
      <c r="D338" s="9">
        <v>5.5300000000000002E-2</v>
      </c>
      <c r="E338" s="13">
        <v>13</v>
      </c>
      <c r="F338">
        <v>5.5300000000000002E-2</v>
      </c>
      <c r="G338" s="13">
        <v>26</v>
      </c>
      <c r="H338">
        <v>5.7599999999999998E-2</v>
      </c>
      <c r="I338">
        <v>260.8571</v>
      </c>
      <c r="J338">
        <v>6.1400000000000003E-2</v>
      </c>
      <c r="K338">
        <v>508.57139999999998</v>
      </c>
      <c r="L338">
        <v>6.6199999999999995E-2</v>
      </c>
      <c r="M338" s="13">
        <v>1291.2856999999999</v>
      </c>
    </row>
    <row r="339" spans="1:13" x14ac:dyDescent="0.2">
      <c r="A339">
        <v>337</v>
      </c>
      <c r="B339">
        <v>19951124</v>
      </c>
      <c r="C339" s="13">
        <v>1.142857</v>
      </c>
      <c r="D339" s="9">
        <v>5.5E-2</v>
      </c>
      <c r="E339" s="13">
        <v>12.857100000000001</v>
      </c>
      <c r="F339">
        <v>5.4899999999999997E-2</v>
      </c>
      <c r="G339" s="13">
        <v>25.857099999999999</v>
      </c>
      <c r="H339">
        <v>5.7299999999999997E-2</v>
      </c>
      <c r="I339">
        <v>259.71429999999998</v>
      </c>
      <c r="J339">
        <v>6.1199999999999997E-2</v>
      </c>
      <c r="K339">
        <v>507.42860000000002</v>
      </c>
      <c r="L339">
        <v>6.6199999999999995E-2</v>
      </c>
      <c r="M339" s="13">
        <v>1290.1429000000001</v>
      </c>
    </row>
    <row r="340" spans="1:13" x14ac:dyDescent="0.2">
      <c r="A340">
        <v>338</v>
      </c>
      <c r="B340">
        <v>19951130</v>
      </c>
      <c r="C340" s="13">
        <v>0.85714299999999999</v>
      </c>
      <c r="D340" s="9">
        <v>5.4800000000000001E-2</v>
      </c>
      <c r="E340" s="13">
        <v>13</v>
      </c>
      <c r="F340">
        <v>5.4699999999999999E-2</v>
      </c>
      <c r="G340" s="13">
        <v>26</v>
      </c>
      <c r="H340">
        <v>5.6300000000000003E-2</v>
      </c>
      <c r="I340">
        <v>258.8571</v>
      </c>
      <c r="J340">
        <v>6.0299999999999999E-2</v>
      </c>
      <c r="K340">
        <v>506.57139999999998</v>
      </c>
      <c r="L340">
        <v>6.54E-2</v>
      </c>
      <c r="M340" s="13">
        <v>1289.2856999999999</v>
      </c>
    </row>
    <row r="341" spans="1:13" x14ac:dyDescent="0.2">
      <c r="A341">
        <v>339</v>
      </c>
      <c r="B341">
        <v>19951207</v>
      </c>
      <c r="C341" s="13">
        <v>1</v>
      </c>
      <c r="D341" s="9">
        <v>5.4600000000000003E-2</v>
      </c>
      <c r="E341" s="13">
        <v>13</v>
      </c>
      <c r="F341">
        <v>5.3900000000000003E-2</v>
      </c>
      <c r="G341" s="13">
        <v>26</v>
      </c>
      <c r="H341">
        <v>5.4699999999999999E-2</v>
      </c>
      <c r="I341">
        <v>257.8571</v>
      </c>
      <c r="J341">
        <v>5.8299999999999998E-2</v>
      </c>
      <c r="K341">
        <v>505.57139999999998</v>
      </c>
      <c r="L341">
        <v>6.3500000000000001E-2</v>
      </c>
      <c r="M341" s="13">
        <v>1288.2856999999999</v>
      </c>
    </row>
    <row r="342" spans="1:13" x14ac:dyDescent="0.2">
      <c r="A342">
        <v>340</v>
      </c>
      <c r="B342">
        <v>19951214</v>
      </c>
      <c r="C342" s="13">
        <v>1</v>
      </c>
      <c r="D342" s="9">
        <v>5.3999999999999999E-2</v>
      </c>
      <c r="E342" s="13">
        <v>13</v>
      </c>
      <c r="F342">
        <v>5.4100000000000002E-2</v>
      </c>
      <c r="G342" s="13">
        <v>26</v>
      </c>
      <c r="H342">
        <v>5.5300000000000002E-2</v>
      </c>
      <c r="I342">
        <v>256.8571</v>
      </c>
      <c r="J342">
        <v>5.8999999999999997E-2</v>
      </c>
      <c r="K342">
        <v>504.57139999999998</v>
      </c>
      <c r="L342">
        <v>6.3799999999999996E-2</v>
      </c>
      <c r="M342" s="13">
        <v>1287.2856999999999</v>
      </c>
    </row>
    <row r="343" spans="1:13" x14ac:dyDescent="0.2">
      <c r="A343">
        <v>341</v>
      </c>
      <c r="B343">
        <v>19951221</v>
      </c>
      <c r="C343" s="13">
        <v>1</v>
      </c>
      <c r="D343" s="9">
        <v>5.1299999999999998E-2</v>
      </c>
      <c r="E343" s="13">
        <v>13</v>
      </c>
      <c r="F343">
        <v>5.2699999999999997E-2</v>
      </c>
      <c r="G343" s="13">
        <v>26</v>
      </c>
      <c r="H343">
        <v>5.5199999999999999E-2</v>
      </c>
      <c r="I343">
        <v>255.8571</v>
      </c>
      <c r="J343">
        <v>5.91E-2</v>
      </c>
      <c r="K343">
        <v>503.57139999999998</v>
      </c>
      <c r="L343">
        <v>6.4399999999999999E-2</v>
      </c>
      <c r="M343" s="13">
        <v>1286.2856999999999</v>
      </c>
    </row>
    <row r="344" spans="1:13" x14ac:dyDescent="0.2">
      <c r="A344">
        <v>342</v>
      </c>
      <c r="B344">
        <v>19951228</v>
      </c>
      <c r="C344" s="13">
        <v>1</v>
      </c>
      <c r="D344" s="9">
        <v>5.0200000000000002E-2</v>
      </c>
      <c r="E344" s="13">
        <v>13</v>
      </c>
      <c r="F344">
        <v>5.1999999999999998E-2</v>
      </c>
      <c r="G344" s="13">
        <v>26</v>
      </c>
      <c r="H344">
        <v>5.4600000000000003E-2</v>
      </c>
      <c r="I344">
        <v>254.8571</v>
      </c>
      <c r="J344">
        <v>5.8099999999999999E-2</v>
      </c>
      <c r="K344">
        <v>502.57139999999998</v>
      </c>
      <c r="L344">
        <v>6.3200000000000006E-2</v>
      </c>
      <c r="M344" s="13">
        <v>1285.2856999999999</v>
      </c>
    </row>
    <row r="345" spans="1:13" x14ac:dyDescent="0.2">
      <c r="A345">
        <v>343</v>
      </c>
      <c r="B345">
        <v>19960104</v>
      </c>
      <c r="C345" s="13">
        <v>1</v>
      </c>
      <c r="D345" s="9">
        <v>5.1799999999999999E-2</v>
      </c>
      <c r="E345" s="13">
        <v>13</v>
      </c>
      <c r="F345">
        <v>5.1900000000000002E-2</v>
      </c>
      <c r="G345" s="13">
        <v>26.142900000000001</v>
      </c>
      <c r="H345">
        <v>5.3499999999999999E-2</v>
      </c>
      <c r="I345">
        <v>253.8571</v>
      </c>
      <c r="J345">
        <v>5.7200000000000001E-2</v>
      </c>
      <c r="K345">
        <v>501.57139999999998</v>
      </c>
      <c r="L345">
        <v>6.2600000000000003E-2</v>
      </c>
      <c r="M345" s="13">
        <v>1284.2856999999999</v>
      </c>
    </row>
    <row r="346" spans="1:13" x14ac:dyDescent="0.2">
      <c r="A346">
        <v>344</v>
      </c>
      <c r="B346">
        <v>19960111</v>
      </c>
      <c r="C346" s="13">
        <v>1</v>
      </c>
      <c r="D346" s="9">
        <v>5.1700000000000003E-2</v>
      </c>
      <c r="E346" s="13">
        <v>13</v>
      </c>
      <c r="F346">
        <v>5.1700000000000003E-2</v>
      </c>
      <c r="G346" s="13">
        <v>26</v>
      </c>
      <c r="H346">
        <v>5.5100000000000003E-2</v>
      </c>
      <c r="I346">
        <v>252.8571</v>
      </c>
      <c r="J346">
        <v>5.9499999999999997E-2</v>
      </c>
      <c r="K346">
        <v>500.57139999999998</v>
      </c>
      <c r="L346">
        <v>6.4799999999999996E-2</v>
      </c>
      <c r="M346" s="13">
        <v>1283.2856999999999</v>
      </c>
    </row>
    <row r="347" spans="1:13" x14ac:dyDescent="0.2">
      <c r="A347">
        <v>345</v>
      </c>
      <c r="B347">
        <v>19960118</v>
      </c>
      <c r="C347" s="13">
        <v>1</v>
      </c>
      <c r="D347" s="9">
        <v>5.1200000000000002E-2</v>
      </c>
      <c r="E347" s="13">
        <v>13</v>
      </c>
      <c r="F347">
        <v>5.0299999999999997E-2</v>
      </c>
      <c r="G347" s="13">
        <v>26</v>
      </c>
      <c r="H347">
        <v>5.2999999999999999E-2</v>
      </c>
      <c r="I347">
        <v>251.8571</v>
      </c>
      <c r="J347">
        <v>5.74E-2</v>
      </c>
      <c r="K347">
        <v>499.57139999999998</v>
      </c>
      <c r="L347">
        <v>6.3299999999999995E-2</v>
      </c>
      <c r="M347" s="13">
        <v>1282.2856999999999</v>
      </c>
    </row>
    <row r="348" spans="1:13" x14ac:dyDescent="0.2">
      <c r="A348">
        <v>346</v>
      </c>
      <c r="B348">
        <v>19960125</v>
      </c>
      <c r="C348" s="13">
        <v>1</v>
      </c>
      <c r="D348" s="9">
        <v>5.0999999999999997E-2</v>
      </c>
      <c r="E348" s="13">
        <v>13</v>
      </c>
      <c r="F348">
        <v>5.0799999999999998E-2</v>
      </c>
      <c r="G348" s="13">
        <v>26</v>
      </c>
      <c r="H348">
        <v>5.3199999999999997E-2</v>
      </c>
      <c r="I348">
        <v>250.8571</v>
      </c>
      <c r="J348">
        <v>5.7599999999999998E-2</v>
      </c>
      <c r="K348">
        <v>498.57139999999998</v>
      </c>
      <c r="L348">
        <v>6.3399999999999998E-2</v>
      </c>
      <c r="M348" s="13">
        <v>1281.2856999999999</v>
      </c>
    </row>
    <row r="349" spans="1:13" x14ac:dyDescent="0.2">
      <c r="A349">
        <v>347</v>
      </c>
      <c r="B349">
        <v>19960201</v>
      </c>
      <c r="C349" s="13">
        <v>1</v>
      </c>
      <c r="D349" s="9">
        <v>5.0299999999999997E-2</v>
      </c>
      <c r="E349" s="13">
        <v>13</v>
      </c>
      <c r="F349">
        <v>4.9500000000000002E-2</v>
      </c>
      <c r="G349" s="13">
        <v>26</v>
      </c>
      <c r="H349">
        <v>5.2499999999999998E-2</v>
      </c>
      <c r="I349">
        <v>249.8571</v>
      </c>
      <c r="J349">
        <v>5.7500000000000002E-2</v>
      </c>
      <c r="K349">
        <v>497.57139999999998</v>
      </c>
      <c r="L349">
        <v>6.3500000000000001E-2</v>
      </c>
      <c r="M349" s="13">
        <v>1280.2856999999999</v>
      </c>
    </row>
    <row r="350" spans="1:13" x14ac:dyDescent="0.2">
      <c r="A350">
        <v>348</v>
      </c>
      <c r="B350">
        <v>19960208</v>
      </c>
      <c r="C350" s="13">
        <v>1</v>
      </c>
      <c r="D350" s="9">
        <v>4.9200000000000001E-2</v>
      </c>
      <c r="E350" s="13">
        <v>13</v>
      </c>
      <c r="F350">
        <v>4.9299999999999997E-2</v>
      </c>
      <c r="G350" s="13">
        <v>26</v>
      </c>
      <c r="H350">
        <v>5.2900000000000003E-2</v>
      </c>
      <c r="I350">
        <v>248.8571</v>
      </c>
      <c r="J350">
        <v>5.8400000000000001E-2</v>
      </c>
      <c r="K350">
        <v>496.57139999999998</v>
      </c>
      <c r="L350">
        <v>6.5000000000000002E-2</v>
      </c>
      <c r="M350" s="13">
        <v>1279.2856999999999</v>
      </c>
    </row>
    <row r="351" spans="1:13" x14ac:dyDescent="0.2">
      <c r="A351">
        <v>349</v>
      </c>
      <c r="B351">
        <v>19960215</v>
      </c>
      <c r="C351" s="13">
        <v>1</v>
      </c>
      <c r="D351" s="9">
        <v>4.9200000000000001E-2</v>
      </c>
      <c r="E351" s="13">
        <v>13</v>
      </c>
      <c r="F351">
        <v>4.87E-2</v>
      </c>
      <c r="G351" s="13">
        <v>26</v>
      </c>
      <c r="H351">
        <v>5.1799999999999999E-2</v>
      </c>
      <c r="I351">
        <v>247.8571</v>
      </c>
      <c r="J351">
        <v>5.8099999999999999E-2</v>
      </c>
      <c r="K351">
        <v>495.57139999999998</v>
      </c>
      <c r="L351">
        <v>6.5000000000000002E-2</v>
      </c>
      <c r="M351" s="13">
        <v>1278.2856999999999</v>
      </c>
    </row>
    <row r="352" spans="1:13" x14ac:dyDescent="0.2">
      <c r="A352">
        <v>350</v>
      </c>
      <c r="B352">
        <v>19960222</v>
      </c>
      <c r="C352" s="13">
        <v>1</v>
      </c>
      <c r="D352" s="9">
        <v>4.9399999999999999E-2</v>
      </c>
      <c r="E352" s="13">
        <v>13</v>
      </c>
      <c r="F352">
        <v>5.0099999999999999E-2</v>
      </c>
      <c r="G352" s="13">
        <v>26</v>
      </c>
      <c r="H352">
        <v>5.5500000000000001E-2</v>
      </c>
      <c r="I352">
        <v>246.8571</v>
      </c>
      <c r="J352">
        <v>6.1699999999999998E-2</v>
      </c>
      <c r="K352">
        <v>494.57139999999998</v>
      </c>
      <c r="L352">
        <v>6.8000000000000005E-2</v>
      </c>
      <c r="M352" s="13">
        <v>1277.2856999999999</v>
      </c>
    </row>
    <row r="353" spans="1:13" x14ac:dyDescent="0.2">
      <c r="A353">
        <v>351</v>
      </c>
      <c r="B353">
        <v>19960229</v>
      </c>
      <c r="C353" s="13">
        <v>0.85714299999999999</v>
      </c>
      <c r="D353" s="9">
        <v>0.05</v>
      </c>
      <c r="E353" s="13">
        <v>13.142860000000001</v>
      </c>
      <c r="F353">
        <v>5.04E-2</v>
      </c>
      <c r="G353" s="13">
        <v>26.142859999999999</v>
      </c>
      <c r="H353">
        <v>5.7599999999999998E-2</v>
      </c>
      <c r="I353">
        <v>257.14285999999998</v>
      </c>
      <c r="J353">
        <v>6.7000000000000004E-2</v>
      </c>
      <c r="K353">
        <v>713.57142999999996</v>
      </c>
      <c r="L353">
        <v>6.8699999999999997E-2</v>
      </c>
      <c r="M353" s="13">
        <v>1300.7142899999999</v>
      </c>
    </row>
    <row r="354" spans="1:13" x14ac:dyDescent="0.2">
      <c r="A354">
        <v>352</v>
      </c>
      <c r="B354">
        <v>19960307</v>
      </c>
      <c r="C354" s="13">
        <v>1</v>
      </c>
      <c r="D354" s="9">
        <v>5.0200000000000002E-2</v>
      </c>
      <c r="E354" s="13">
        <v>13.142860000000001</v>
      </c>
      <c r="F354">
        <v>5.0299999999999997E-2</v>
      </c>
      <c r="G354" s="13">
        <v>26.142859999999999</v>
      </c>
      <c r="H354">
        <v>5.7099999999999998E-2</v>
      </c>
      <c r="I354">
        <v>256.14285999999998</v>
      </c>
      <c r="J354">
        <v>6.6600000000000006E-2</v>
      </c>
      <c r="K354">
        <v>712.57142999999996</v>
      </c>
      <c r="L354">
        <v>6.83E-2</v>
      </c>
      <c r="M354" s="13">
        <v>1299.7142899999999</v>
      </c>
    </row>
    <row r="355" spans="1:13" x14ac:dyDescent="0.2">
      <c r="A355">
        <v>353</v>
      </c>
      <c r="B355">
        <v>19960314</v>
      </c>
      <c r="C355" s="13">
        <v>1</v>
      </c>
      <c r="D355" s="9">
        <v>5.0900000000000001E-2</v>
      </c>
      <c r="E355" s="13">
        <v>13.142860000000001</v>
      </c>
      <c r="F355">
        <v>5.16E-2</v>
      </c>
      <c r="G355" s="13">
        <v>26.142859999999999</v>
      </c>
      <c r="H355">
        <v>6.0999999999999999E-2</v>
      </c>
      <c r="I355">
        <v>255.14286000000001</v>
      </c>
      <c r="J355">
        <v>6.9500000000000006E-2</v>
      </c>
      <c r="K355">
        <v>711.57142999999996</v>
      </c>
      <c r="L355">
        <v>7.0400000000000004E-2</v>
      </c>
      <c r="M355" s="13">
        <v>1298.7142899999999</v>
      </c>
    </row>
    <row r="356" spans="1:13" x14ac:dyDescent="0.2">
      <c r="A356">
        <v>354</v>
      </c>
      <c r="B356">
        <v>19960321</v>
      </c>
      <c r="C356" s="13">
        <v>1</v>
      </c>
      <c r="D356" s="9">
        <v>5.1499999999999997E-2</v>
      </c>
      <c r="E356" s="13">
        <v>13.142860000000001</v>
      </c>
      <c r="F356">
        <v>5.21E-2</v>
      </c>
      <c r="G356" s="13">
        <v>26.142859999999999</v>
      </c>
      <c r="H356">
        <v>6.0900000000000003E-2</v>
      </c>
      <c r="I356">
        <v>254.14286000000001</v>
      </c>
      <c r="J356">
        <v>6.9000000000000006E-2</v>
      </c>
      <c r="K356">
        <v>710.57142999999996</v>
      </c>
      <c r="L356">
        <v>7.0199999999999999E-2</v>
      </c>
      <c r="M356" s="13">
        <v>1297.7142899999999</v>
      </c>
    </row>
    <row r="357" spans="1:13" x14ac:dyDescent="0.2">
      <c r="A357">
        <v>355</v>
      </c>
      <c r="B357">
        <v>19960328</v>
      </c>
      <c r="C357" s="13">
        <v>1</v>
      </c>
      <c r="D357" s="9">
        <v>5.16E-2</v>
      </c>
      <c r="E357" s="13">
        <v>13.142860000000001</v>
      </c>
      <c r="F357">
        <v>5.1700000000000003E-2</v>
      </c>
      <c r="G357" s="13">
        <v>26.142859999999999</v>
      </c>
      <c r="H357">
        <v>6.13E-2</v>
      </c>
      <c r="I357">
        <v>253.14286000000001</v>
      </c>
      <c r="J357">
        <v>6.9400000000000003E-2</v>
      </c>
      <c r="K357">
        <v>709.57142999999996</v>
      </c>
      <c r="L357">
        <v>7.0800000000000002E-2</v>
      </c>
      <c r="M357" s="13">
        <v>1296.7142899999999</v>
      </c>
    </row>
    <row r="358" spans="1:13" x14ac:dyDescent="0.2">
      <c r="A358">
        <v>356</v>
      </c>
      <c r="B358">
        <v>19960404</v>
      </c>
      <c r="C358" s="13">
        <v>1</v>
      </c>
      <c r="D358" s="9">
        <v>5.1400000000000001E-2</v>
      </c>
      <c r="E358" s="13">
        <v>13.28571</v>
      </c>
      <c r="F358">
        <v>5.2299999999999999E-2</v>
      </c>
      <c r="G358" s="13">
        <v>26.142859999999999</v>
      </c>
      <c r="H358">
        <v>6.0999999999999999E-2</v>
      </c>
      <c r="I358">
        <v>264.85714000000002</v>
      </c>
      <c r="J358">
        <v>6.88E-2</v>
      </c>
      <c r="K358">
        <v>708.57142999999996</v>
      </c>
      <c r="L358">
        <v>7.0300000000000001E-2</v>
      </c>
      <c r="M358" s="13">
        <v>1308.42857</v>
      </c>
    </row>
    <row r="359" spans="1:13" x14ac:dyDescent="0.2">
      <c r="A359">
        <v>357</v>
      </c>
      <c r="B359">
        <v>19960411</v>
      </c>
      <c r="C359" s="13">
        <v>1</v>
      </c>
      <c r="D359" s="9">
        <v>5.0700000000000002E-2</v>
      </c>
      <c r="E359" s="13">
        <v>13.142860000000001</v>
      </c>
      <c r="F359">
        <v>5.2900000000000003E-2</v>
      </c>
      <c r="G359" s="13">
        <v>26.142859999999999</v>
      </c>
      <c r="H359">
        <v>6.4799999999999996E-2</v>
      </c>
      <c r="I359">
        <v>263.85714000000002</v>
      </c>
      <c r="J359">
        <v>7.2099999999999997E-2</v>
      </c>
      <c r="K359">
        <v>707.57142999999996</v>
      </c>
      <c r="L359">
        <v>7.2800000000000004E-2</v>
      </c>
      <c r="M359" s="13">
        <v>1307.42857</v>
      </c>
    </row>
    <row r="360" spans="1:13" x14ac:dyDescent="0.2">
      <c r="A360">
        <v>358</v>
      </c>
      <c r="B360">
        <v>19960418</v>
      </c>
      <c r="C360" s="13">
        <v>1</v>
      </c>
      <c r="D360" s="9">
        <v>4.9500000000000002E-2</v>
      </c>
      <c r="E360" s="13">
        <v>13.142860000000001</v>
      </c>
      <c r="F360">
        <v>5.2400000000000002E-2</v>
      </c>
      <c r="G360" s="13">
        <v>26.142859999999999</v>
      </c>
      <c r="H360">
        <v>6.4199999999999993E-2</v>
      </c>
      <c r="I360">
        <v>262.85714000000002</v>
      </c>
      <c r="J360">
        <v>7.0999999999999994E-2</v>
      </c>
      <c r="K360">
        <v>706.57142999999996</v>
      </c>
      <c r="L360">
        <v>7.1999999999999995E-2</v>
      </c>
      <c r="M360" s="13">
        <v>1306.42857</v>
      </c>
    </row>
    <row r="361" spans="1:13" x14ac:dyDescent="0.2">
      <c r="A361">
        <v>359</v>
      </c>
      <c r="B361">
        <v>19960425</v>
      </c>
      <c r="C361" s="13">
        <v>1</v>
      </c>
      <c r="D361" s="9">
        <v>5.1299999999999998E-2</v>
      </c>
      <c r="E361" s="13">
        <v>13.142860000000001</v>
      </c>
      <c r="F361">
        <v>5.2200000000000003E-2</v>
      </c>
      <c r="G361" s="13">
        <v>26.142859999999999</v>
      </c>
      <c r="H361">
        <v>6.3600000000000004E-2</v>
      </c>
      <c r="I361">
        <v>261.85714000000002</v>
      </c>
      <c r="J361">
        <v>7.1199999999999999E-2</v>
      </c>
      <c r="K361">
        <v>705.57142999999996</v>
      </c>
      <c r="L361">
        <v>7.1999999999999995E-2</v>
      </c>
      <c r="M361" s="13">
        <v>1305.42857</v>
      </c>
    </row>
    <row r="362" spans="1:13" x14ac:dyDescent="0.2">
      <c r="A362">
        <v>360</v>
      </c>
      <c r="B362">
        <v>19960502</v>
      </c>
      <c r="C362" s="13">
        <v>1</v>
      </c>
      <c r="D362" s="9">
        <v>5.11E-2</v>
      </c>
      <c r="E362" s="13">
        <v>13.142860000000001</v>
      </c>
      <c r="F362">
        <v>5.2600000000000001E-2</v>
      </c>
      <c r="G362" s="13">
        <v>26.142859999999999</v>
      </c>
      <c r="H362">
        <v>6.4299999999999996E-2</v>
      </c>
      <c r="I362">
        <v>260.85714000000002</v>
      </c>
      <c r="J362">
        <v>7.1900000000000006E-2</v>
      </c>
      <c r="K362">
        <v>704.57142999999996</v>
      </c>
      <c r="L362">
        <v>7.2599999999999998E-2</v>
      </c>
      <c r="M362" s="13">
        <v>1304.42857</v>
      </c>
    </row>
    <row r="363" spans="1:13" x14ac:dyDescent="0.2">
      <c r="A363">
        <v>361</v>
      </c>
      <c r="B363">
        <v>19960509</v>
      </c>
      <c r="C363" s="13">
        <v>1</v>
      </c>
      <c r="D363" s="9">
        <v>5.1299999999999998E-2</v>
      </c>
      <c r="E363" s="13">
        <v>13.142860000000001</v>
      </c>
      <c r="F363">
        <v>5.2900000000000003E-2</v>
      </c>
      <c r="G363" s="13">
        <v>26.142859999999999</v>
      </c>
      <c r="H363">
        <v>6.6100000000000006E-2</v>
      </c>
      <c r="I363">
        <v>259.85714000000002</v>
      </c>
      <c r="J363">
        <v>7.2999999999999995E-2</v>
      </c>
      <c r="K363">
        <v>703.57142999999996</v>
      </c>
      <c r="L363">
        <v>7.3499999999999996E-2</v>
      </c>
      <c r="M363" s="13">
        <v>1303.42857</v>
      </c>
    </row>
    <row r="364" spans="1:13" x14ac:dyDescent="0.2">
      <c r="A364">
        <v>362</v>
      </c>
      <c r="B364">
        <v>19960516</v>
      </c>
      <c r="C364" s="13">
        <v>1</v>
      </c>
      <c r="D364" s="9">
        <v>5.1299999999999998E-2</v>
      </c>
      <c r="E364" s="13">
        <v>13.142860000000001</v>
      </c>
      <c r="F364">
        <v>5.2999999999999999E-2</v>
      </c>
      <c r="G364" s="13">
        <v>26.142859999999999</v>
      </c>
      <c r="H364">
        <v>6.3899999999999998E-2</v>
      </c>
      <c r="I364">
        <v>258.85714000000002</v>
      </c>
      <c r="J364">
        <v>7.1300000000000002E-2</v>
      </c>
      <c r="K364">
        <v>702.57142999999996</v>
      </c>
      <c r="L364">
        <v>7.1800000000000003E-2</v>
      </c>
      <c r="M364" s="13">
        <v>1302.42857</v>
      </c>
    </row>
    <row r="365" spans="1:13" x14ac:dyDescent="0.2">
      <c r="A365">
        <v>363</v>
      </c>
      <c r="B365">
        <v>19960523</v>
      </c>
      <c r="C365" s="13">
        <v>1</v>
      </c>
      <c r="D365" s="9">
        <v>5.1700000000000003E-2</v>
      </c>
      <c r="E365" s="13">
        <v>13.142860000000001</v>
      </c>
      <c r="F365">
        <v>5.2999999999999999E-2</v>
      </c>
      <c r="G365" s="13">
        <v>26.142859999999999</v>
      </c>
      <c r="H365">
        <v>6.3899999999999998E-2</v>
      </c>
      <c r="I365">
        <v>257.85714000000002</v>
      </c>
      <c r="J365">
        <v>7.0900000000000005E-2</v>
      </c>
      <c r="K365">
        <v>701.57142999999996</v>
      </c>
      <c r="L365">
        <v>7.1300000000000002E-2</v>
      </c>
      <c r="M365" s="13">
        <v>1301.42857</v>
      </c>
    </row>
    <row r="366" spans="1:13" x14ac:dyDescent="0.2">
      <c r="A366">
        <v>364</v>
      </c>
      <c r="B366">
        <v>19960530</v>
      </c>
      <c r="C366" s="13">
        <v>1</v>
      </c>
      <c r="D366" s="9">
        <v>5.1700000000000003E-2</v>
      </c>
      <c r="E366" s="13">
        <v>13.142860000000001</v>
      </c>
      <c r="F366">
        <v>5.3400000000000003E-2</v>
      </c>
      <c r="G366" s="13">
        <v>26.142859999999999</v>
      </c>
      <c r="H366">
        <v>6.5600000000000006E-2</v>
      </c>
      <c r="I366">
        <v>256.85714000000002</v>
      </c>
      <c r="J366">
        <v>7.1999999999999995E-2</v>
      </c>
      <c r="K366">
        <v>700.57142999999996</v>
      </c>
      <c r="L366">
        <v>7.2499999999999995E-2</v>
      </c>
      <c r="M366" s="13">
        <v>1300.42857</v>
      </c>
    </row>
    <row r="367" spans="1:13" x14ac:dyDescent="0.2">
      <c r="A367">
        <v>365</v>
      </c>
      <c r="B367">
        <v>19960606</v>
      </c>
      <c r="C367" s="13">
        <v>1</v>
      </c>
      <c r="D367" s="9">
        <v>5.1999999999999998E-2</v>
      </c>
      <c r="E367" s="13">
        <v>13.142860000000001</v>
      </c>
      <c r="F367">
        <v>5.3900000000000003E-2</v>
      </c>
      <c r="G367" s="13">
        <v>26.142859999999999</v>
      </c>
      <c r="H367">
        <v>6.6100000000000006E-2</v>
      </c>
      <c r="I367">
        <v>255.85713999999999</v>
      </c>
      <c r="J367">
        <v>7.2400000000000006E-2</v>
      </c>
      <c r="K367">
        <v>699.57142999999996</v>
      </c>
      <c r="L367">
        <v>7.2499999999999995E-2</v>
      </c>
      <c r="M367" s="13">
        <v>1299.42857</v>
      </c>
    </row>
    <row r="368" spans="1:13" x14ac:dyDescent="0.2">
      <c r="A368">
        <v>366</v>
      </c>
      <c r="B368">
        <v>19960613</v>
      </c>
      <c r="C368" s="13">
        <v>1</v>
      </c>
      <c r="D368" s="9">
        <v>5.2400000000000002E-2</v>
      </c>
      <c r="E368" s="13">
        <v>13.142860000000001</v>
      </c>
      <c r="F368">
        <v>5.5300000000000002E-2</v>
      </c>
      <c r="G368" s="13">
        <v>26.142859999999999</v>
      </c>
      <c r="H368">
        <v>6.83E-2</v>
      </c>
      <c r="I368">
        <v>254.85713999999999</v>
      </c>
      <c r="J368">
        <v>7.4499999999999997E-2</v>
      </c>
      <c r="K368">
        <v>698.57142999999996</v>
      </c>
      <c r="L368">
        <v>7.4800000000000005E-2</v>
      </c>
      <c r="M368" s="13">
        <v>1298.42857</v>
      </c>
    </row>
    <row r="369" spans="1:13" x14ac:dyDescent="0.2">
      <c r="A369">
        <v>367</v>
      </c>
      <c r="B369">
        <v>19960620</v>
      </c>
      <c r="C369" s="13">
        <v>1</v>
      </c>
      <c r="D369" s="9">
        <v>5.2200000000000003E-2</v>
      </c>
      <c r="E369" s="13">
        <v>13.142860000000001</v>
      </c>
      <c r="F369">
        <v>5.4399999999999997E-2</v>
      </c>
      <c r="G369" s="13">
        <v>26.142859999999999</v>
      </c>
      <c r="H369">
        <v>6.7599999999999993E-2</v>
      </c>
      <c r="I369">
        <v>253.85713999999999</v>
      </c>
      <c r="J369">
        <v>7.3499999999999996E-2</v>
      </c>
      <c r="K369">
        <v>697.57142999999996</v>
      </c>
      <c r="L369">
        <v>7.4200000000000002E-2</v>
      </c>
      <c r="M369" s="13">
        <v>1297.42857</v>
      </c>
    </row>
    <row r="370" spans="1:13" x14ac:dyDescent="0.2">
      <c r="A370">
        <v>368</v>
      </c>
      <c r="B370">
        <v>19960627</v>
      </c>
      <c r="C370" s="13">
        <v>1</v>
      </c>
      <c r="D370" s="9">
        <v>5.2200000000000003E-2</v>
      </c>
      <c r="E370" s="13">
        <v>13.142860000000001</v>
      </c>
      <c r="F370">
        <v>5.4199999999999998E-2</v>
      </c>
      <c r="G370" s="13">
        <v>26.142859999999999</v>
      </c>
      <c r="H370">
        <v>6.6799999999999998E-2</v>
      </c>
      <c r="I370">
        <v>252.85713999999999</v>
      </c>
      <c r="J370">
        <v>7.2700000000000001E-2</v>
      </c>
      <c r="K370">
        <v>696.57142999999996</v>
      </c>
      <c r="L370">
        <v>7.3099999999999998E-2</v>
      </c>
      <c r="M370" s="13">
        <v>1296.42857</v>
      </c>
    </row>
    <row r="371" spans="1:13" x14ac:dyDescent="0.2">
      <c r="A371">
        <v>369</v>
      </c>
      <c r="B371">
        <v>19960705</v>
      </c>
      <c r="C371" s="13">
        <v>1</v>
      </c>
      <c r="D371" s="9">
        <v>5.2999999999999999E-2</v>
      </c>
      <c r="E371" s="13">
        <v>13.142860000000001</v>
      </c>
      <c r="F371">
        <v>5.4699999999999999E-2</v>
      </c>
      <c r="G371" s="13">
        <v>26.142859999999999</v>
      </c>
      <c r="H371">
        <v>6.5799999999999997E-2</v>
      </c>
      <c r="I371">
        <v>265</v>
      </c>
      <c r="J371">
        <v>7.1400000000000005E-2</v>
      </c>
      <c r="K371">
        <v>695.57142999999996</v>
      </c>
      <c r="L371">
        <v>7.1800000000000003E-2</v>
      </c>
      <c r="M371" s="13">
        <v>1308.57143</v>
      </c>
    </row>
    <row r="372" spans="1:13" x14ac:dyDescent="0.2">
      <c r="A372">
        <v>370</v>
      </c>
      <c r="B372">
        <v>19960711</v>
      </c>
      <c r="C372" s="13">
        <v>1</v>
      </c>
      <c r="D372" s="9">
        <v>5.2699999999999997E-2</v>
      </c>
      <c r="E372" s="13">
        <v>13.142860000000001</v>
      </c>
      <c r="F372">
        <v>5.5599999999999997E-2</v>
      </c>
      <c r="G372" s="13">
        <v>26.142859999999999</v>
      </c>
      <c r="H372">
        <v>6.7299999999999999E-2</v>
      </c>
      <c r="I372">
        <v>264</v>
      </c>
      <c r="J372">
        <v>7.2999999999999995E-2</v>
      </c>
      <c r="K372">
        <v>694.57142999999996</v>
      </c>
      <c r="L372">
        <v>7.3400000000000007E-2</v>
      </c>
      <c r="M372" s="13">
        <v>1307.57143</v>
      </c>
    </row>
    <row r="373" spans="1:13" x14ac:dyDescent="0.2">
      <c r="A373">
        <v>371</v>
      </c>
      <c r="B373">
        <v>19960718</v>
      </c>
      <c r="C373" s="13">
        <v>1</v>
      </c>
      <c r="D373" s="9">
        <v>5.2499999999999998E-2</v>
      </c>
      <c r="E373" s="13">
        <v>13.142860000000001</v>
      </c>
      <c r="F373">
        <v>5.4699999999999999E-2</v>
      </c>
      <c r="G373" s="13">
        <v>26.142859999999999</v>
      </c>
      <c r="H373">
        <v>6.6299999999999998E-2</v>
      </c>
      <c r="I373">
        <v>263</v>
      </c>
      <c r="J373">
        <v>7.2099999999999997E-2</v>
      </c>
      <c r="K373">
        <v>693.57142999999996</v>
      </c>
      <c r="L373">
        <v>7.2700000000000001E-2</v>
      </c>
      <c r="M373" s="13">
        <v>1306.57143</v>
      </c>
    </row>
    <row r="374" spans="1:13" x14ac:dyDescent="0.2">
      <c r="A374">
        <v>372</v>
      </c>
      <c r="B374">
        <v>19960725</v>
      </c>
      <c r="C374" s="13">
        <v>1</v>
      </c>
      <c r="D374" s="9">
        <v>5.2900000000000003E-2</v>
      </c>
      <c r="E374" s="13">
        <v>13.142860000000001</v>
      </c>
      <c r="F374">
        <v>5.5100000000000003E-2</v>
      </c>
      <c r="G374" s="13">
        <v>26.142859999999999</v>
      </c>
      <c r="H374">
        <v>6.6500000000000004E-2</v>
      </c>
      <c r="I374">
        <v>262</v>
      </c>
      <c r="J374">
        <v>7.22E-2</v>
      </c>
      <c r="K374">
        <v>692.57142999999996</v>
      </c>
      <c r="L374">
        <v>7.2900000000000006E-2</v>
      </c>
      <c r="M374" s="13">
        <v>1305.57143</v>
      </c>
    </row>
    <row r="375" spans="1:13" x14ac:dyDescent="0.2">
      <c r="A375">
        <v>373</v>
      </c>
      <c r="B375">
        <v>19960801</v>
      </c>
      <c r="C375" s="13">
        <v>1</v>
      </c>
      <c r="D375" s="9">
        <v>5.2999999999999999E-2</v>
      </c>
      <c r="E375" s="13">
        <v>13.142860000000001</v>
      </c>
      <c r="F375">
        <v>5.45E-2</v>
      </c>
      <c r="G375" s="13">
        <v>26.142859999999999</v>
      </c>
      <c r="H375">
        <v>6.59E-2</v>
      </c>
      <c r="I375">
        <v>261</v>
      </c>
      <c r="J375">
        <v>7.1499999999999994E-2</v>
      </c>
      <c r="K375">
        <v>691.57142999999996</v>
      </c>
      <c r="L375">
        <v>7.1999999999999995E-2</v>
      </c>
      <c r="M375" s="13">
        <v>1304.57143</v>
      </c>
    </row>
    <row r="376" spans="1:13" x14ac:dyDescent="0.2">
      <c r="A376">
        <v>374</v>
      </c>
      <c r="B376">
        <v>19960808</v>
      </c>
      <c r="C376" s="13">
        <v>1</v>
      </c>
      <c r="D376" s="9">
        <v>5.1499999999999997E-2</v>
      </c>
      <c r="E376" s="13">
        <v>13.142860000000001</v>
      </c>
      <c r="F376">
        <v>5.3199999999999997E-2</v>
      </c>
      <c r="G376" s="13">
        <v>26.142859999999999</v>
      </c>
      <c r="H376">
        <v>6.3200000000000006E-2</v>
      </c>
      <c r="I376">
        <v>260</v>
      </c>
      <c r="J376">
        <v>6.9400000000000003E-2</v>
      </c>
      <c r="K376">
        <v>690.57142999999996</v>
      </c>
      <c r="L376">
        <v>7.0300000000000001E-2</v>
      </c>
      <c r="M376" s="13">
        <v>1303.57143</v>
      </c>
    </row>
    <row r="377" spans="1:13" x14ac:dyDescent="0.2">
      <c r="A377">
        <v>375</v>
      </c>
      <c r="B377">
        <v>19960815</v>
      </c>
      <c r="C377" s="13">
        <v>1</v>
      </c>
      <c r="D377" s="9">
        <v>5.1499999999999997E-2</v>
      </c>
      <c r="E377" s="13">
        <v>13.142860000000001</v>
      </c>
      <c r="F377">
        <v>5.2900000000000003E-2</v>
      </c>
      <c r="G377" s="13">
        <v>26.142859999999999</v>
      </c>
      <c r="H377">
        <v>6.3399999999999998E-2</v>
      </c>
      <c r="I377">
        <v>259</v>
      </c>
      <c r="J377">
        <v>6.9699999999999998E-2</v>
      </c>
      <c r="K377">
        <v>689.57142999999996</v>
      </c>
      <c r="L377">
        <v>7.0900000000000005E-2</v>
      </c>
      <c r="M377" s="13">
        <v>1302.57143</v>
      </c>
    </row>
    <row r="378" spans="1:13" x14ac:dyDescent="0.2">
      <c r="A378">
        <v>376</v>
      </c>
      <c r="B378">
        <v>19960822</v>
      </c>
      <c r="C378" s="13">
        <v>1</v>
      </c>
      <c r="D378" s="9">
        <v>5.1200000000000002E-2</v>
      </c>
      <c r="E378" s="13">
        <v>13.142860000000001</v>
      </c>
      <c r="F378">
        <v>5.2699999999999997E-2</v>
      </c>
      <c r="G378" s="13">
        <v>26.142859999999999</v>
      </c>
      <c r="H378">
        <v>6.3799999999999996E-2</v>
      </c>
      <c r="I378">
        <v>258</v>
      </c>
      <c r="J378">
        <v>7.0300000000000001E-2</v>
      </c>
      <c r="K378">
        <v>688.57142999999996</v>
      </c>
      <c r="L378">
        <v>7.1400000000000005E-2</v>
      </c>
      <c r="M378" s="13">
        <v>1301.57143</v>
      </c>
    </row>
    <row r="379" spans="1:13" x14ac:dyDescent="0.2">
      <c r="A379">
        <v>377</v>
      </c>
      <c r="B379">
        <v>19960829</v>
      </c>
      <c r="C379" s="13">
        <v>1</v>
      </c>
      <c r="D379" s="9">
        <v>5.1799999999999999E-2</v>
      </c>
      <c r="E379" s="13">
        <v>13.142860000000001</v>
      </c>
      <c r="F379">
        <v>5.3400000000000003E-2</v>
      </c>
      <c r="G379" s="13">
        <v>26.142859999999999</v>
      </c>
      <c r="H379">
        <v>6.5799999999999997E-2</v>
      </c>
      <c r="I379">
        <v>257</v>
      </c>
      <c r="J379">
        <v>7.1999999999999995E-2</v>
      </c>
      <c r="K379">
        <v>687.57142999999996</v>
      </c>
      <c r="L379">
        <v>7.2900000000000006E-2</v>
      </c>
      <c r="M379" s="13">
        <v>1300.57143</v>
      </c>
    </row>
    <row r="380" spans="1:13" x14ac:dyDescent="0.2">
      <c r="A380">
        <v>378</v>
      </c>
      <c r="B380">
        <v>19960905</v>
      </c>
      <c r="C380" s="13">
        <v>1</v>
      </c>
      <c r="D380" s="9">
        <v>5.2999999999999999E-2</v>
      </c>
      <c r="E380" s="13">
        <v>13.142860000000001</v>
      </c>
      <c r="F380">
        <v>5.5599999999999997E-2</v>
      </c>
      <c r="G380" s="13">
        <v>26.142859999999999</v>
      </c>
      <c r="H380">
        <v>6.7599999999999993E-2</v>
      </c>
      <c r="I380">
        <v>256</v>
      </c>
      <c r="J380">
        <v>7.3300000000000004E-2</v>
      </c>
      <c r="K380">
        <v>686.57142999999996</v>
      </c>
      <c r="L380">
        <v>7.3800000000000004E-2</v>
      </c>
      <c r="M380" s="13">
        <v>1299.57143</v>
      </c>
    </row>
    <row r="381" spans="1:13" x14ac:dyDescent="0.2">
      <c r="A381">
        <v>379</v>
      </c>
      <c r="B381">
        <v>19960912</v>
      </c>
      <c r="C381" s="13">
        <v>1</v>
      </c>
      <c r="D381" s="9">
        <v>5.2999999999999999E-2</v>
      </c>
      <c r="E381" s="13">
        <v>13.142860000000001</v>
      </c>
      <c r="F381">
        <v>5.5E-2</v>
      </c>
      <c r="G381" s="13">
        <v>26.142859999999999</v>
      </c>
      <c r="H381">
        <v>6.7299999999999999E-2</v>
      </c>
      <c r="I381">
        <v>255</v>
      </c>
      <c r="J381">
        <v>7.3400000000000007E-2</v>
      </c>
      <c r="K381">
        <v>685.57142999999996</v>
      </c>
      <c r="L381">
        <v>7.4099999999999999E-2</v>
      </c>
      <c r="M381" s="13">
        <v>1298.57143</v>
      </c>
    </row>
    <row r="382" spans="1:13" x14ac:dyDescent="0.2">
      <c r="A382">
        <v>380</v>
      </c>
      <c r="B382">
        <v>19960919</v>
      </c>
      <c r="C382" s="13">
        <v>1</v>
      </c>
      <c r="D382" s="9">
        <v>5.2200000000000003E-2</v>
      </c>
      <c r="E382" s="13">
        <v>13.142860000000001</v>
      </c>
      <c r="F382">
        <v>5.45E-2</v>
      </c>
      <c r="G382" s="13">
        <v>26.142859999999999</v>
      </c>
      <c r="H382">
        <v>6.6600000000000006E-2</v>
      </c>
      <c r="I382">
        <v>254</v>
      </c>
      <c r="J382">
        <v>7.2599999999999998E-2</v>
      </c>
      <c r="K382">
        <v>684.57142999999996</v>
      </c>
      <c r="L382">
        <v>7.3499999999999996E-2</v>
      </c>
      <c r="M382" s="13">
        <v>1297.57143</v>
      </c>
    </row>
    <row r="383" spans="1:13" x14ac:dyDescent="0.2">
      <c r="A383">
        <v>381</v>
      </c>
      <c r="B383">
        <v>19960926</v>
      </c>
      <c r="C383" s="13">
        <v>1</v>
      </c>
      <c r="D383" s="9">
        <v>5.0500000000000003E-2</v>
      </c>
      <c r="E383" s="13">
        <v>13.142860000000001</v>
      </c>
      <c r="F383">
        <v>5.2600000000000001E-2</v>
      </c>
      <c r="G383" s="13">
        <v>26.142859999999999</v>
      </c>
      <c r="H383">
        <v>6.4699999999999994E-2</v>
      </c>
      <c r="I383">
        <v>253</v>
      </c>
      <c r="J383">
        <v>7.1099999999999997E-2</v>
      </c>
      <c r="K383">
        <v>683.57142999999996</v>
      </c>
      <c r="L383">
        <v>7.22E-2</v>
      </c>
      <c r="M383" s="13">
        <v>1296.57143</v>
      </c>
    </row>
    <row r="384" spans="1:13" x14ac:dyDescent="0.2">
      <c r="A384">
        <v>382</v>
      </c>
      <c r="B384">
        <v>19961003</v>
      </c>
      <c r="C384" s="13">
        <v>1</v>
      </c>
      <c r="D384" s="9">
        <v>5.0099999999999999E-2</v>
      </c>
      <c r="E384" s="13">
        <v>13.142860000000001</v>
      </c>
      <c r="F384">
        <v>5.2699999999999997E-2</v>
      </c>
      <c r="G384" s="13">
        <v>26.142859999999999</v>
      </c>
      <c r="H384">
        <v>6.3899999999999998E-2</v>
      </c>
      <c r="I384">
        <v>265.14285999999998</v>
      </c>
      <c r="J384">
        <v>7.0099999999999996E-2</v>
      </c>
      <c r="K384">
        <v>682.57142999999996</v>
      </c>
      <c r="L384">
        <v>7.1099999999999997E-2</v>
      </c>
      <c r="M384" s="13">
        <v>1308.7142899999999</v>
      </c>
    </row>
    <row r="385" spans="1:13" x14ac:dyDescent="0.2">
      <c r="A385">
        <v>383</v>
      </c>
      <c r="B385">
        <v>19961010</v>
      </c>
      <c r="C385" s="13">
        <v>1</v>
      </c>
      <c r="D385" s="9">
        <v>5.1200000000000002E-2</v>
      </c>
      <c r="E385" s="13">
        <v>13.142860000000001</v>
      </c>
      <c r="F385">
        <v>5.2900000000000003E-2</v>
      </c>
      <c r="G385" s="13">
        <v>26.142859999999999</v>
      </c>
      <c r="H385">
        <v>6.3399999999999998E-2</v>
      </c>
      <c r="I385">
        <v>264.14285999999998</v>
      </c>
      <c r="J385">
        <v>6.9900000000000004E-2</v>
      </c>
      <c r="K385">
        <v>681.57142999999996</v>
      </c>
      <c r="L385">
        <v>7.1099999999999997E-2</v>
      </c>
      <c r="M385" s="13">
        <v>1307.7142899999999</v>
      </c>
    </row>
    <row r="386" spans="1:13" x14ac:dyDescent="0.2">
      <c r="A386">
        <v>384</v>
      </c>
      <c r="B386">
        <v>19961017</v>
      </c>
      <c r="C386" s="13">
        <v>1</v>
      </c>
      <c r="D386" s="9">
        <v>5.1200000000000002E-2</v>
      </c>
      <c r="E386" s="13">
        <v>13.142860000000001</v>
      </c>
      <c r="F386">
        <v>5.2900000000000003E-2</v>
      </c>
      <c r="G386" s="13">
        <v>25.142859999999999</v>
      </c>
      <c r="H386">
        <v>6.3399999999999998E-2</v>
      </c>
      <c r="I386">
        <v>263.14285999999998</v>
      </c>
      <c r="J386">
        <v>7.0199999999999999E-2</v>
      </c>
      <c r="K386">
        <v>680.57142999999996</v>
      </c>
      <c r="L386">
        <v>7.1599999999999997E-2</v>
      </c>
      <c r="M386" s="13">
        <v>1306.7142899999999</v>
      </c>
    </row>
    <row r="387" spans="1:13" x14ac:dyDescent="0.2">
      <c r="A387">
        <v>385</v>
      </c>
      <c r="B387">
        <v>19961024</v>
      </c>
      <c r="C387" s="13">
        <v>1</v>
      </c>
      <c r="D387" s="9">
        <v>5.11E-2</v>
      </c>
      <c r="E387" s="13">
        <v>13.142860000000001</v>
      </c>
      <c r="F387">
        <v>5.3199999999999997E-2</v>
      </c>
      <c r="G387" s="13">
        <v>26.142859999999999</v>
      </c>
      <c r="H387">
        <v>6.3299999999999995E-2</v>
      </c>
      <c r="I387">
        <v>262.14285999999998</v>
      </c>
      <c r="J387">
        <v>6.9900000000000004E-2</v>
      </c>
      <c r="K387">
        <v>679.57142999999996</v>
      </c>
      <c r="L387">
        <v>7.1300000000000002E-2</v>
      </c>
      <c r="M387" s="13">
        <v>1305.7142899999999</v>
      </c>
    </row>
    <row r="388" spans="1:13" x14ac:dyDescent="0.2">
      <c r="A388">
        <v>386</v>
      </c>
      <c r="B388">
        <v>19961031</v>
      </c>
      <c r="C388" s="13">
        <v>1</v>
      </c>
      <c r="D388" s="9">
        <v>5.1400000000000001E-2</v>
      </c>
      <c r="E388" s="13">
        <v>13.142860000000001</v>
      </c>
      <c r="F388">
        <v>5.2900000000000003E-2</v>
      </c>
      <c r="G388" s="13">
        <v>26.142859999999999</v>
      </c>
      <c r="H388">
        <v>6.1499999999999999E-2</v>
      </c>
      <c r="I388">
        <v>261.14285999999998</v>
      </c>
      <c r="J388">
        <v>6.8199999999999997E-2</v>
      </c>
      <c r="K388">
        <v>678.57142999999996</v>
      </c>
      <c r="L388">
        <v>6.9500000000000006E-2</v>
      </c>
      <c r="M388" s="13">
        <v>1304.7142899999999</v>
      </c>
    </row>
    <row r="389" spans="1:13" x14ac:dyDescent="0.2">
      <c r="A389">
        <v>387</v>
      </c>
      <c r="B389">
        <v>19961107</v>
      </c>
      <c r="C389" s="13">
        <v>1</v>
      </c>
      <c r="D389" s="9">
        <v>5.16E-2</v>
      </c>
      <c r="E389" s="13">
        <v>13.142860000000001</v>
      </c>
      <c r="F389">
        <v>5.2600000000000001E-2</v>
      </c>
      <c r="G389" s="13">
        <v>26.142859999999999</v>
      </c>
      <c r="H389">
        <v>6.08E-2</v>
      </c>
      <c r="I389">
        <v>260.14285999999998</v>
      </c>
      <c r="J389">
        <v>6.7199999999999996E-2</v>
      </c>
      <c r="K389">
        <v>677.57142999999996</v>
      </c>
      <c r="L389">
        <v>6.8699999999999997E-2</v>
      </c>
      <c r="M389" s="13">
        <v>1303.7142899999999</v>
      </c>
    </row>
    <row r="390" spans="1:13" x14ac:dyDescent="0.2">
      <c r="A390">
        <v>388</v>
      </c>
      <c r="B390">
        <v>19961114</v>
      </c>
      <c r="C390" s="13">
        <v>1</v>
      </c>
      <c r="D390" s="9">
        <v>5.1400000000000001E-2</v>
      </c>
      <c r="E390" s="13">
        <v>13.142860000000001</v>
      </c>
      <c r="F390">
        <v>5.2400000000000002E-2</v>
      </c>
      <c r="G390" s="13">
        <v>26.142859999999999</v>
      </c>
      <c r="H390">
        <v>0.06</v>
      </c>
      <c r="I390">
        <v>259.14285999999998</v>
      </c>
      <c r="J390">
        <v>6.6199999999999995E-2</v>
      </c>
      <c r="K390">
        <v>676.57142999999996</v>
      </c>
      <c r="L390">
        <v>6.7599999999999993E-2</v>
      </c>
      <c r="M390" s="13">
        <v>1302.7142899999999</v>
      </c>
    </row>
    <row r="391" spans="1:13" x14ac:dyDescent="0.2">
      <c r="A391">
        <v>389</v>
      </c>
      <c r="B391">
        <v>19961121</v>
      </c>
      <c r="C391" s="13">
        <v>1</v>
      </c>
      <c r="D391" s="9">
        <v>5.1400000000000001E-2</v>
      </c>
      <c r="E391" s="13">
        <v>13.142860000000001</v>
      </c>
      <c r="F391">
        <v>5.2400000000000002E-2</v>
      </c>
      <c r="G391" s="13">
        <v>26.142859999999999</v>
      </c>
      <c r="H391">
        <v>5.9200000000000003E-2</v>
      </c>
      <c r="I391">
        <v>258.14285999999998</v>
      </c>
      <c r="J391">
        <v>6.5299999999999997E-2</v>
      </c>
      <c r="K391">
        <v>675.57142999999996</v>
      </c>
      <c r="L391">
        <v>6.6799999999999998E-2</v>
      </c>
      <c r="M391" s="13">
        <v>1301.7142899999999</v>
      </c>
    </row>
    <row r="392" spans="1:13" x14ac:dyDescent="0.2">
      <c r="A392">
        <v>390</v>
      </c>
      <c r="B392">
        <v>19961129</v>
      </c>
      <c r="C392" s="13">
        <v>1</v>
      </c>
      <c r="D392" s="9">
        <v>5.1299999999999998E-2</v>
      </c>
      <c r="E392" s="13">
        <v>13.142860000000001</v>
      </c>
      <c r="F392">
        <v>5.2499999999999998E-2</v>
      </c>
      <c r="G392" s="13">
        <v>26.142859999999999</v>
      </c>
      <c r="H392">
        <v>5.91E-2</v>
      </c>
      <c r="I392">
        <v>257.14285999999998</v>
      </c>
      <c r="J392">
        <v>6.5600000000000006E-2</v>
      </c>
      <c r="K392">
        <v>674.57142999999996</v>
      </c>
      <c r="L392">
        <v>6.7299999999999999E-2</v>
      </c>
      <c r="M392" s="13">
        <v>1300.7142899999999</v>
      </c>
    </row>
    <row r="393" spans="1:13" x14ac:dyDescent="0.2">
      <c r="A393">
        <v>391</v>
      </c>
      <c r="B393">
        <v>19961205</v>
      </c>
      <c r="C393" s="13">
        <v>1</v>
      </c>
      <c r="D393" s="9">
        <v>5.0099999999999999E-2</v>
      </c>
      <c r="E393" s="13">
        <v>13.142860000000001</v>
      </c>
      <c r="F393">
        <v>5.1799999999999999E-2</v>
      </c>
      <c r="G393" s="13">
        <v>26.142859999999999</v>
      </c>
      <c r="H393">
        <v>5.8900000000000001E-2</v>
      </c>
      <c r="I393">
        <v>256.14285999999998</v>
      </c>
      <c r="J393">
        <v>6.54E-2</v>
      </c>
      <c r="K393">
        <v>673.57142999999996</v>
      </c>
      <c r="L393">
        <v>6.6900000000000001E-2</v>
      </c>
      <c r="M393" s="13">
        <v>1299.7142899999999</v>
      </c>
    </row>
    <row r="394" spans="1:13" x14ac:dyDescent="0.2">
      <c r="A394">
        <v>392</v>
      </c>
      <c r="B394">
        <v>19961212</v>
      </c>
      <c r="C394" s="13">
        <v>1</v>
      </c>
      <c r="D394" s="9">
        <v>4.9299999999999997E-2</v>
      </c>
      <c r="E394" s="13">
        <v>13.142860000000001</v>
      </c>
      <c r="F394">
        <v>5.1799999999999999E-2</v>
      </c>
      <c r="G394" s="13">
        <v>26.142859999999999</v>
      </c>
      <c r="H394">
        <v>6.1199999999999997E-2</v>
      </c>
      <c r="I394">
        <v>255.14286000000001</v>
      </c>
      <c r="J394">
        <v>6.7699999999999996E-2</v>
      </c>
      <c r="K394">
        <v>672.57142999999996</v>
      </c>
      <c r="L394">
        <v>6.88E-2</v>
      </c>
      <c r="M394" s="13">
        <v>1298.7142899999999</v>
      </c>
    </row>
    <row r="395" spans="1:13" x14ac:dyDescent="0.2">
      <c r="A395">
        <v>393</v>
      </c>
      <c r="B395">
        <v>19961219</v>
      </c>
      <c r="C395" s="13">
        <v>1</v>
      </c>
      <c r="D395" s="9">
        <v>0.05</v>
      </c>
      <c r="E395" s="13">
        <v>13.142860000000001</v>
      </c>
      <c r="F395">
        <v>5.2600000000000001E-2</v>
      </c>
      <c r="G395" s="13">
        <v>26.142859999999999</v>
      </c>
      <c r="H395">
        <v>6.2300000000000001E-2</v>
      </c>
      <c r="I395">
        <v>254.14286000000001</v>
      </c>
      <c r="J395">
        <v>6.8400000000000002E-2</v>
      </c>
      <c r="K395">
        <v>671.57142999999996</v>
      </c>
      <c r="L395">
        <v>6.9699999999999998E-2</v>
      </c>
      <c r="M395" s="13">
        <v>1297.7142899999999</v>
      </c>
    </row>
    <row r="396" spans="1:13" x14ac:dyDescent="0.2">
      <c r="A396">
        <v>394</v>
      </c>
      <c r="B396">
        <v>19961226</v>
      </c>
      <c r="C396" s="13">
        <v>1</v>
      </c>
      <c r="D396" s="9">
        <v>5.0599999999999999E-2</v>
      </c>
      <c r="E396" s="13">
        <v>13.142860000000001</v>
      </c>
      <c r="F396">
        <v>5.2499999999999998E-2</v>
      </c>
      <c r="G396" s="13">
        <v>26.142859999999999</v>
      </c>
      <c r="H396">
        <v>6.1499999999999999E-2</v>
      </c>
      <c r="I396">
        <v>253.14286000000001</v>
      </c>
      <c r="J396">
        <v>6.7100000000000007E-2</v>
      </c>
      <c r="K396">
        <v>670.57142999999996</v>
      </c>
      <c r="L396">
        <v>6.8500000000000005E-2</v>
      </c>
      <c r="M396" s="13">
        <v>1296.7142899999999</v>
      </c>
    </row>
    <row r="397" spans="1:13" x14ac:dyDescent="0.2">
      <c r="A397">
        <v>395</v>
      </c>
      <c r="B397">
        <v>19970102</v>
      </c>
      <c r="C397" s="13">
        <v>1</v>
      </c>
      <c r="D397" s="9">
        <v>5.33E-2</v>
      </c>
      <c r="E397" s="13">
        <v>13.28571</v>
      </c>
      <c r="F397">
        <v>5.5100000000000003E-2</v>
      </c>
      <c r="G397" s="13">
        <v>26.285710000000002</v>
      </c>
      <c r="H397">
        <v>6.2199999999999998E-2</v>
      </c>
      <c r="I397">
        <v>252.28570999999999</v>
      </c>
      <c r="J397">
        <v>6.7599999999999993E-2</v>
      </c>
      <c r="K397">
        <v>669.71429000000001</v>
      </c>
      <c r="L397">
        <v>6.9099999999999995E-2</v>
      </c>
      <c r="M397" s="13">
        <v>1295.8571400000001</v>
      </c>
    </row>
    <row r="398" spans="1:13" x14ac:dyDescent="0.2">
      <c r="A398">
        <v>396</v>
      </c>
      <c r="B398">
        <v>19970107</v>
      </c>
      <c r="C398" s="13">
        <v>0.71428599999999998</v>
      </c>
      <c r="D398" s="9">
        <v>5.1499999999999997E-2</v>
      </c>
      <c r="E398" s="13">
        <v>13.428570000000001</v>
      </c>
      <c r="F398">
        <v>5.2999999999999999E-2</v>
      </c>
      <c r="G398" s="13">
        <v>26.428570000000001</v>
      </c>
      <c r="H398">
        <v>6.3399999999999998E-2</v>
      </c>
      <c r="I398">
        <v>251.42857000000001</v>
      </c>
      <c r="J398">
        <v>6.9699999999999998E-2</v>
      </c>
      <c r="K398">
        <v>668.85713999999996</v>
      </c>
      <c r="L398">
        <v>7.0900000000000005E-2</v>
      </c>
      <c r="M398" s="13">
        <v>1295</v>
      </c>
    </row>
    <row r="399" spans="1:13" x14ac:dyDescent="0.2">
      <c r="A399">
        <v>397</v>
      </c>
      <c r="B399">
        <v>19970116</v>
      </c>
      <c r="C399" s="13">
        <v>1.285714</v>
      </c>
      <c r="D399" s="9">
        <v>5.1299999999999998E-2</v>
      </c>
      <c r="E399" s="13">
        <v>13.142860000000001</v>
      </c>
      <c r="F399">
        <v>5.2600000000000001E-2</v>
      </c>
      <c r="G399" s="13">
        <v>26.142859999999999</v>
      </c>
      <c r="H399">
        <v>6.3100000000000003E-2</v>
      </c>
      <c r="I399">
        <v>250.14286000000001</v>
      </c>
      <c r="J399">
        <v>6.9099999999999995E-2</v>
      </c>
      <c r="K399">
        <v>667.57142999999996</v>
      </c>
      <c r="L399">
        <v>7.0599999999999996E-2</v>
      </c>
      <c r="M399" s="13">
        <v>1293.7142899999999</v>
      </c>
    </row>
    <row r="400" spans="1:13" x14ac:dyDescent="0.2">
      <c r="A400">
        <v>398</v>
      </c>
      <c r="B400">
        <v>19970123</v>
      </c>
      <c r="C400" s="13">
        <v>1</v>
      </c>
      <c r="D400" s="9">
        <v>5.16E-2</v>
      </c>
      <c r="E400" s="13">
        <v>13.142860000000001</v>
      </c>
      <c r="F400">
        <v>5.3100000000000001E-2</v>
      </c>
      <c r="G400" s="13">
        <v>26.142859999999999</v>
      </c>
      <c r="H400">
        <v>6.3200000000000006E-2</v>
      </c>
      <c r="I400">
        <v>249.14286000000001</v>
      </c>
      <c r="J400">
        <v>6.9400000000000003E-2</v>
      </c>
      <c r="K400">
        <v>666.57142999999996</v>
      </c>
      <c r="L400">
        <v>7.0800000000000002E-2</v>
      </c>
      <c r="M400" s="13">
        <v>1292.7142899999999</v>
      </c>
    </row>
    <row r="401" spans="1:13" x14ac:dyDescent="0.2">
      <c r="A401">
        <v>399</v>
      </c>
      <c r="B401">
        <v>19970130</v>
      </c>
      <c r="C401" s="13">
        <v>1</v>
      </c>
      <c r="D401" s="9">
        <v>5.1700000000000003E-2</v>
      </c>
      <c r="E401" s="13">
        <v>13.142860000000001</v>
      </c>
      <c r="F401">
        <v>5.2999999999999999E-2</v>
      </c>
      <c r="G401" s="13">
        <v>26.142859999999999</v>
      </c>
      <c r="H401">
        <v>6.3899999999999998E-2</v>
      </c>
      <c r="I401">
        <v>248.14286000000001</v>
      </c>
      <c r="J401">
        <v>7.0199999999999999E-2</v>
      </c>
      <c r="K401">
        <v>665.57142999999996</v>
      </c>
      <c r="L401">
        <v>7.17E-2</v>
      </c>
      <c r="M401" s="13">
        <v>1291.7142899999999</v>
      </c>
    </row>
    <row r="402" spans="1:13" x14ac:dyDescent="0.2">
      <c r="A402">
        <v>400</v>
      </c>
      <c r="B402">
        <v>19970206</v>
      </c>
      <c r="C402" s="13">
        <v>1</v>
      </c>
      <c r="D402" s="9">
        <v>5.0200000000000002E-2</v>
      </c>
      <c r="E402" s="13">
        <v>13.142860000000001</v>
      </c>
      <c r="F402">
        <v>5.21E-2</v>
      </c>
      <c r="G402" s="13">
        <v>26.142859999999999</v>
      </c>
      <c r="H402">
        <v>6.2300000000000001E-2</v>
      </c>
      <c r="I402">
        <v>247.14286000000001</v>
      </c>
      <c r="J402">
        <v>6.8500000000000005E-2</v>
      </c>
      <c r="K402">
        <v>664.57142999999996</v>
      </c>
      <c r="L402">
        <v>7.0099999999999996E-2</v>
      </c>
      <c r="M402" s="13">
        <v>1290.7142899999999</v>
      </c>
    </row>
    <row r="403" spans="1:13" x14ac:dyDescent="0.2">
      <c r="A403">
        <v>401</v>
      </c>
      <c r="B403">
        <v>19970213</v>
      </c>
      <c r="C403" s="13">
        <v>1</v>
      </c>
      <c r="D403" s="9">
        <v>5.1299999999999998E-2</v>
      </c>
      <c r="E403" s="13">
        <v>13.142860000000001</v>
      </c>
      <c r="F403">
        <v>5.2499999999999998E-2</v>
      </c>
      <c r="G403" s="13">
        <v>26.142859999999999</v>
      </c>
      <c r="H403">
        <v>6.2E-2</v>
      </c>
      <c r="I403">
        <v>246.14286000000001</v>
      </c>
      <c r="J403">
        <v>6.8199999999999997E-2</v>
      </c>
      <c r="K403">
        <v>663.57142999999996</v>
      </c>
      <c r="L403">
        <v>6.9699999999999998E-2</v>
      </c>
      <c r="M403" s="13">
        <v>1289.7142899999999</v>
      </c>
    </row>
    <row r="404" spans="1:13" x14ac:dyDescent="0.2">
      <c r="A404">
        <v>402</v>
      </c>
      <c r="B404">
        <v>19970220</v>
      </c>
      <c r="C404" s="13">
        <v>1</v>
      </c>
      <c r="D404" s="9">
        <v>5.0900000000000001E-2</v>
      </c>
      <c r="E404" s="13">
        <v>13.142860000000001</v>
      </c>
      <c r="F404">
        <v>5.2200000000000003E-2</v>
      </c>
      <c r="G404" s="13">
        <v>26.142859999999999</v>
      </c>
      <c r="H404">
        <v>6.0999999999999999E-2</v>
      </c>
      <c r="I404">
        <v>245.14286000000001</v>
      </c>
      <c r="J404">
        <v>6.7100000000000007E-2</v>
      </c>
      <c r="K404">
        <v>662.57142999999996</v>
      </c>
      <c r="L404">
        <v>6.8699999999999997E-2</v>
      </c>
      <c r="M404" s="13">
        <v>1288.7142899999999</v>
      </c>
    </row>
    <row r="405" spans="1:13" x14ac:dyDescent="0.2">
      <c r="A405">
        <v>403</v>
      </c>
      <c r="B405">
        <v>19970227</v>
      </c>
      <c r="C405" s="13">
        <v>1</v>
      </c>
      <c r="D405" s="9">
        <v>5.1900000000000002E-2</v>
      </c>
      <c r="E405" s="13">
        <v>13.142860000000001</v>
      </c>
      <c r="F405">
        <v>5.2999999999999999E-2</v>
      </c>
      <c r="G405" s="13">
        <v>26.142859999999999</v>
      </c>
      <c r="H405">
        <v>6.3799999999999996E-2</v>
      </c>
      <c r="I405">
        <v>244.14286000000001</v>
      </c>
      <c r="J405">
        <v>6.9500000000000006E-2</v>
      </c>
      <c r="K405">
        <v>661.57142999999996</v>
      </c>
      <c r="L405">
        <v>7.0900000000000005E-2</v>
      </c>
      <c r="M405" s="13">
        <v>1287.7142899999999</v>
      </c>
    </row>
    <row r="406" spans="1:13" x14ac:dyDescent="0.2">
      <c r="A406">
        <v>404</v>
      </c>
      <c r="B406">
        <v>19970306</v>
      </c>
      <c r="C406" s="13">
        <v>1</v>
      </c>
      <c r="D406" s="9">
        <v>5.1900000000000002E-2</v>
      </c>
      <c r="E406" s="13">
        <v>13.142860000000001</v>
      </c>
      <c r="F406">
        <v>5.3800000000000001E-2</v>
      </c>
      <c r="G406" s="13">
        <v>26.142859999999999</v>
      </c>
      <c r="H406">
        <v>6.4299999999999996E-2</v>
      </c>
      <c r="I406">
        <v>243.14286000000001</v>
      </c>
      <c r="J406">
        <v>7.0000000000000007E-2</v>
      </c>
      <c r="K406">
        <v>660.57142999999996</v>
      </c>
      <c r="L406">
        <v>7.1300000000000002E-2</v>
      </c>
      <c r="M406" s="13">
        <v>1286.7142899999999</v>
      </c>
    </row>
    <row r="407" spans="1:13" x14ac:dyDescent="0.2">
      <c r="A407">
        <v>405</v>
      </c>
      <c r="B407">
        <v>19970313</v>
      </c>
      <c r="C407" s="13">
        <v>1</v>
      </c>
      <c r="D407" s="9">
        <v>5.16E-2</v>
      </c>
      <c r="E407" s="13">
        <v>13.142860000000001</v>
      </c>
      <c r="F407">
        <v>5.3699999999999998E-2</v>
      </c>
      <c r="G407" s="13">
        <v>26.142859999999999</v>
      </c>
      <c r="H407">
        <v>6.4399999999999999E-2</v>
      </c>
      <c r="I407">
        <v>242.14286000000001</v>
      </c>
      <c r="J407">
        <v>7.0199999999999999E-2</v>
      </c>
      <c r="K407">
        <v>659.57142999999996</v>
      </c>
      <c r="L407">
        <v>7.1599999999999997E-2</v>
      </c>
      <c r="M407" s="13">
        <v>1285.7142899999999</v>
      </c>
    </row>
    <row r="408" spans="1:13" x14ac:dyDescent="0.2">
      <c r="A408">
        <v>406</v>
      </c>
      <c r="B408">
        <v>19970320</v>
      </c>
      <c r="C408" s="13">
        <v>1</v>
      </c>
      <c r="D408" s="9">
        <v>5.2900000000000003E-2</v>
      </c>
      <c r="E408" s="13">
        <v>13.142860000000001</v>
      </c>
      <c r="F408">
        <v>5.5E-2</v>
      </c>
      <c r="G408" s="13">
        <v>26.142859999999999</v>
      </c>
      <c r="H408">
        <v>6.5799999999999997E-2</v>
      </c>
      <c r="I408">
        <v>241.14286000000001</v>
      </c>
      <c r="J408">
        <v>7.1499999999999994E-2</v>
      </c>
      <c r="K408">
        <v>658.57142999999996</v>
      </c>
      <c r="L408">
        <v>7.2700000000000001E-2</v>
      </c>
      <c r="M408" s="13">
        <v>1284.7142899999999</v>
      </c>
    </row>
    <row r="409" spans="1:13" x14ac:dyDescent="0.2">
      <c r="A409">
        <v>407</v>
      </c>
      <c r="B409">
        <v>19970327</v>
      </c>
      <c r="C409" s="13">
        <v>1</v>
      </c>
      <c r="D409" s="9">
        <v>5.3400000000000003E-2</v>
      </c>
      <c r="E409" s="13">
        <v>13.142860000000001</v>
      </c>
      <c r="F409">
        <v>5.5800000000000002E-2</v>
      </c>
      <c r="G409" s="13">
        <v>26.142859999999999</v>
      </c>
      <c r="H409">
        <v>6.6799999999999998E-2</v>
      </c>
      <c r="I409">
        <v>240.14286000000001</v>
      </c>
      <c r="J409">
        <v>7.1599999999999997E-2</v>
      </c>
      <c r="K409">
        <v>657.57142999999996</v>
      </c>
      <c r="L409">
        <v>7.2300000000000003E-2</v>
      </c>
      <c r="M409" s="13">
        <v>1283.7142899999999</v>
      </c>
    </row>
    <row r="410" spans="1:13" x14ac:dyDescent="0.2">
      <c r="A410">
        <v>408</v>
      </c>
      <c r="B410">
        <v>19970403</v>
      </c>
      <c r="C410" s="13">
        <v>1</v>
      </c>
      <c r="D410" s="9">
        <v>5.2699999999999997E-2</v>
      </c>
      <c r="E410" s="13">
        <v>13.142860000000001</v>
      </c>
      <c r="F410">
        <v>5.5199999999999999E-2</v>
      </c>
      <c r="G410" s="13">
        <v>26.142859999999999</v>
      </c>
      <c r="H410">
        <v>6.7400000000000002E-2</v>
      </c>
      <c r="I410">
        <v>265</v>
      </c>
      <c r="J410">
        <v>7.2499999999999995E-2</v>
      </c>
      <c r="K410">
        <v>656.57142999999996</v>
      </c>
      <c r="L410">
        <v>7.2999999999999995E-2</v>
      </c>
      <c r="M410" s="13">
        <v>1321.7142899999999</v>
      </c>
    </row>
    <row r="411" spans="1:13" x14ac:dyDescent="0.2">
      <c r="A411">
        <v>409</v>
      </c>
      <c r="B411">
        <v>19970410</v>
      </c>
      <c r="C411" s="13">
        <v>1</v>
      </c>
      <c r="D411" s="9">
        <v>5.2299999999999999E-2</v>
      </c>
      <c r="E411" s="13">
        <v>13.142860000000001</v>
      </c>
      <c r="F411">
        <v>5.5599999999999997E-2</v>
      </c>
      <c r="G411" s="13">
        <v>26.142859999999999</v>
      </c>
      <c r="H411">
        <v>6.7699999999999996E-2</v>
      </c>
      <c r="I411">
        <v>264</v>
      </c>
      <c r="J411">
        <v>7.2599999999999998E-2</v>
      </c>
      <c r="K411">
        <v>655.57142999999996</v>
      </c>
      <c r="L411">
        <v>7.3099999999999998E-2</v>
      </c>
      <c r="M411" s="13">
        <v>1320.7142899999999</v>
      </c>
    </row>
    <row r="412" spans="1:13" x14ac:dyDescent="0.2">
      <c r="A412">
        <v>410</v>
      </c>
      <c r="B412">
        <v>19970417</v>
      </c>
      <c r="C412" s="13">
        <v>1</v>
      </c>
      <c r="D412" s="9">
        <v>5.28E-2</v>
      </c>
      <c r="E412" s="13">
        <v>13.142860000000001</v>
      </c>
      <c r="F412">
        <v>5.62E-2</v>
      </c>
      <c r="G412" s="13">
        <v>26.142859999999999</v>
      </c>
      <c r="H412">
        <v>6.7699999999999996E-2</v>
      </c>
      <c r="I412">
        <v>263</v>
      </c>
      <c r="J412">
        <v>7.2599999999999998E-2</v>
      </c>
      <c r="K412">
        <v>654.57142999999996</v>
      </c>
      <c r="L412">
        <v>7.2900000000000006E-2</v>
      </c>
      <c r="M412" s="13">
        <v>1319.7142899999999</v>
      </c>
    </row>
    <row r="413" spans="1:13" x14ac:dyDescent="0.2">
      <c r="A413">
        <v>411</v>
      </c>
      <c r="B413">
        <v>19970424</v>
      </c>
      <c r="C413" s="13">
        <v>1</v>
      </c>
      <c r="D413" s="9">
        <v>5.33E-2</v>
      </c>
      <c r="E413" s="13">
        <v>13.142860000000001</v>
      </c>
      <c r="F413">
        <v>5.5899999999999998E-2</v>
      </c>
      <c r="G413" s="13">
        <v>26.142859999999999</v>
      </c>
      <c r="H413">
        <v>6.7199999999999996E-2</v>
      </c>
      <c r="I413">
        <v>262</v>
      </c>
      <c r="J413">
        <v>7.1999999999999995E-2</v>
      </c>
      <c r="K413">
        <v>653.57142999999996</v>
      </c>
      <c r="L413">
        <v>7.2400000000000006E-2</v>
      </c>
      <c r="M413" s="13">
        <v>1318.7142899999999</v>
      </c>
    </row>
    <row r="414" spans="1:13" x14ac:dyDescent="0.2">
      <c r="A414">
        <v>412</v>
      </c>
      <c r="B414">
        <v>19970501</v>
      </c>
      <c r="C414" s="13">
        <v>1</v>
      </c>
      <c r="D414" s="9">
        <v>5.2299999999999999E-2</v>
      </c>
      <c r="E414" s="13">
        <v>13.142860000000001</v>
      </c>
      <c r="F414">
        <v>5.5199999999999999E-2</v>
      </c>
      <c r="G414" s="13">
        <v>26.142859999999999</v>
      </c>
      <c r="H414">
        <v>6.5600000000000006E-2</v>
      </c>
      <c r="I414">
        <v>261</v>
      </c>
      <c r="J414">
        <v>7.0699999999999999E-2</v>
      </c>
      <c r="K414">
        <v>652.57142999999996</v>
      </c>
      <c r="L414">
        <v>7.1599999999999997E-2</v>
      </c>
      <c r="M414" s="13">
        <v>1317.7142899999999</v>
      </c>
    </row>
    <row r="415" spans="1:13" x14ac:dyDescent="0.2">
      <c r="A415">
        <v>413</v>
      </c>
      <c r="B415">
        <v>19970508</v>
      </c>
      <c r="C415" s="13">
        <v>1</v>
      </c>
      <c r="D415" s="9">
        <v>5.2299999999999999E-2</v>
      </c>
      <c r="E415" s="13">
        <v>13.142860000000001</v>
      </c>
      <c r="F415">
        <v>5.5599999999999997E-2</v>
      </c>
      <c r="G415" s="13">
        <v>26.142859999999999</v>
      </c>
      <c r="H415">
        <v>6.6100000000000006E-2</v>
      </c>
      <c r="I415">
        <v>260</v>
      </c>
      <c r="J415">
        <v>7.0900000000000005E-2</v>
      </c>
      <c r="K415">
        <v>651.57142999999996</v>
      </c>
      <c r="L415">
        <v>7.1400000000000005E-2</v>
      </c>
      <c r="M415" s="13">
        <v>1316.7142899999999</v>
      </c>
    </row>
    <row r="416" spans="1:13" x14ac:dyDescent="0.2">
      <c r="A416">
        <v>414</v>
      </c>
      <c r="B416">
        <v>19970515</v>
      </c>
      <c r="C416" s="13">
        <v>1</v>
      </c>
      <c r="D416" s="9">
        <v>5.16E-2</v>
      </c>
      <c r="E416" s="13">
        <v>13.142860000000001</v>
      </c>
      <c r="F416">
        <v>5.5E-2</v>
      </c>
      <c r="G416" s="13">
        <v>26.142859999999999</v>
      </c>
      <c r="H416">
        <v>6.5199999999999994E-2</v>
      </c>
      <c r="I416">
        <v>259</v>
      </c>
      <c r="J416">
        <v>7.0099999999999996E-2</v>
      </c>
      <c r="K416">
        <v>650.57142999999996</v>
      </c>
      <c r="L416">
        <v>7.0699999999999999E-2</v>
      </c>
      <c r="M416" s="13">
        <v>1315.7142899999999</v>
      </c>
    </row>
    <row r="417" spans="1:13" x14ac:dyDescent="0.2">
      <c r="A417">
        <v>415</v>
      </c>
      <c r="B417">
        <v>19970522</v>
      </c>
      <c r="C417" s="13">
        <v>1</v>
      </c>
      <c r="D417" s="9">
        <v>5.11E-2</v>
      </c>
      <c r="E417" s="13">
        <v>13.142860000000001</v>
      </c>
      <c r="F417">
        <v>5.4399999999999997E-2</v>
      </c>
      <c r="G417" s="13">
        <v>26.142859999999999</v>
      </c>
      <c r="H417">
        <v>6.5699999999999995E-2</v>
      </c>
      <c r="I417">
        <v>258</v>
      </c>
      <c r="J417">
        <v>7.0900000000000005E-2</v>
      </c>
      <c r="K417">
        <v>649.57142999999996</v>
      </c>
      <c r="L417">
        <v>7.17E-2</v>
      </c>
      <c r="M417" s="13">
        <v>1314.7142899999999</v>
      </c>
    </row>
    <row r="418" spans="1:13" x14ac:dyDescent="0.2">
      <c r="A418">
        <v>416</v>
      </c>
      <c r="B418">
        <v>19970529</v>
      </c>
      <c r="C418" s="13">
        <v>1</v>
      </c>
      <c r="D418" s="9">
        <v>5.1400000000000001E-2</v>
      </c>
      <c r="E418" s="13">
        <v>13.142860000000001</v>
      </c>
      <c r="F418">
        <v>5.45E-2</v>
      </c>
      <c r="G418" s="13">
        <v>26.285710000000002</v>
      </c>
      <c r="H418">
        <v>6.6400000000000001E-2</v>
      </c>
      <c r="I418">
        <v>257</v>
      </c>
      <c r="J418">
        <v>7.1400000000000005E-2</v>
      </c>
      <c r="K418">
        <v>648.57142999999996</v>
      </c>
      <c r="L418">
        <v>7.22E-2</v>
      </c>
      <c r="M418" s="13">
        <v>1313.7142899999999</v>
      </c>
    </row>
    <row r="419" spans="1:13" x14ac:dyDescent="0.2">
      <c r="A419">
        <v>417</v>
      </c>
      <c r="B419">
        <v>19970605</v>
      </c>
      <c r="C419" s="13">
        <v>1</v>
      </c>
      <c r="D419" s="9">
        <v>5.0799999999999998E-2</v>
      </c>
      <c r="E419" s="13">
        <v>13.142860000000001</v>
      </c>
      <c r="F419">
        <v>5.3900000000000003E-2</v>
      </c>
      <c r="G419" s="13">
        <v>26.142859999999999</v>
      </c>
      <c r="H419">
        <v>6.4699999999999994E-2</v>
      </c>
      <c r="I419">
        <v>256</v>
      </c>
      <c r="J419">
        <v>6.9699999999999998E-2</v>
      </c>
      <c r="K419">
        <v>647.57142999999996</v>
      </c>
      <c r="L419">
        <v>7.0599999999999996E-2</v>
      </c>
      <c r="M419" s="13">
        <v>1312.7142899999999</v>
      </c>
    </row>
    <row r="420" spans="1:13" x14ac:dyDescent="0.2">
      <c r="A420">
        <v>418</v>
      </c>
      <c r="B420">
        <v>19970612</v>
      </c>
      <c r="C420" s="13">
        <v>1</v>
      </c>
      <c r="D420" s="9">
        <v>4.9500000000000002E-2</v>
      </c>
      <c r="E420" s="13">
        <v>13.142860000000001</v>
      </c>
      <c r="F420">
        <v>5.3800000000000001E-2</v>
      </c>
      <c r="G420" s="13">
        <v>26.142859999999999</v>
      </c>
      <c r="H420">
        <v>6.4299999999999996E-2</v>
      </c>
      <c r="I420">
        <v>255</v>
      </c>
      <c r="J420">
        <v>6.93E-2</v>
      </c>
      <c r="K420">
        <v>646.57142999999996</v>
      </c>
      <c r="L420">
        <v>7.0099999999999996E-2</v>
      </c>
      <c r="M420" s="13">
        <v>1311.7142899999999</v>
      </c>
    </row>
    <row r="421" spans="1:13" x14ac:dyDescent="0.2">
      <c r="A421">
        <v>419</v>
      </c>
      <c r="B421">
        <v>19970619</v>
      </c>
      <c r="C421" s="13">
        <v>1</v>
      </c>
      <c r="D421" s="9">
        <v>5.0599999999999999E-2</v>
      </c>
      <c r="E421" s="13">
        <v>13.142860000000001</v>
      </c>
      <c r="F421">
        <v>5.2499999999999998E-2</v>
      </c>
      <c r="G421" s="13">
        <v>26.142859999999999</v>
      </c>
      <c r="H421">
        <v>6.2700000000000006E-2</v>
      </c>
      <c r="I421">
        <v>254</v>
      </c>
      <c r="J421">
        <v>6.7799999999999999E-2</v>
      </c>
      <c r="K421">
        <v>645.57142999999996</v>
      </c>
      <c r="L421">
        <v>6.8900000000000003E-2</v>
      </c>
      <c r="M421" s="13">
        <v>1310.7142899999999</v>
      </c>
    </row>
    <row r="422" spans="1:13" x14ac:dyDescent="0.2">
      <c r="A422">
        <v>420</v>
      </c>
      <c r="B422">
        <v>19970626</v>
      </c>
      <c r="C422" s="13">
        <v>1</v>
      </c>
      <c r="D422" s="9">
        <v>5.11E-2</v>
      </c>
      <c r="E422" s="13">
        <v>13.142860000000001</v>
      </c>
      <c r="F422">
        <v>5.1999999999999998E-2</v>
      </c>
      <c r="G422" s="13">
        <v>26.285710000000002</v>
      </c>
      <c r="H422">
        <v>6.3E-2</v>
      </c>
      <c r="I422">
        <v>253</v>
      </c>
      <c r="J422">
        <v>6.8199999999999997E-2</v>
      </c>
      <c r="K422">
        <v>644.57142999999996</v>
      </c>
      <c r="L422">
        <v>6.9199999999999998E-2</v>
      </c>
      <c r="M422" s="13">
        <v>1309.7142899999999</v>
      </c>
    </row>
    <row r="423" spans="1:13" x14ac:dyDescent="0.2">
      <c r="A423">
        <v>421</v>
      </c>
      <c r="B423">
        <v>19970703</v>
      </c>
      <c r="C423" s="13">
        <v>1</v>
      </c>
      <c r="D423" s="9">
        <v>5.2299999999999999E-2</v>
      </c>
      <c r="E423" s="13">
        <v>13.142860000000001</v>
      </c>
      <c r="F423">
        <v>5.2999999999999999E-2</v>
      </c>
      <c r="G423" s="13">
        <v>26.285710000000002</v>
      </c>
      <c r="H423">
        <v>6.3E-2</v>
      </c>
      <c r="I423">
        <v>265.14285999999998</v>
      </c>
      <c r="J423">
        <v>6.8000000000000005E-2</v>
      </c>
      <c r="K423">
        <v>643.57142999999996</v>
      </c>
      <c r="L423">
        <v>6.8900000000000003E-2</v>
      </c>
      <c r="M423" s="13">
        <v>1308.7142899999999</v>
      </c>
    </row>
    <row r="424" spans="1:13" x14ac:dyDescent="0.2">
      <c r="A424">
        <v>422</v>
      </c>
      <c r="B424">
        <v>19970710</v>
      </c>
      <c r="C424" s="13">
        <v>1</v>
      </c>
      <c r="D424" s="9">
        <v>5.0799999999999998E-2</v>
      </c>
      <c r="E424" s="13">
        <v>13.142860000000001</v>
      </c>
      <c r="F424">
        <v>5.28E-2</v>
      </c>
      <c r="G424" s="13">
        <v>26.142859999999999</v>
      </c>
      <c r="H424">
        <v>6.1400000000000003E-2</v>
      </c>
      <c r="I424">
        <v>264.14285999999998</v>
      </c>
      <c r="J424">
        <v>6.6100000000000006E-2</v>
      </c>
      <c r="K424">
        <v>642.57142999999996</v>
      </c>
      <c r="L424">
        <v>6.7199999999999996E-2</v>
      </c>
      <c r="M424" s="13">
        <v>1307.7142899999999</v>
      </c>
    </row>
    <row r="425" spans="1:13" x14ac:dyDescent="0.2">
      <c r="A425">
        <v>423</v>
      </c>
      <c r="B425">
        <v>19970717</v>
      </c>
      <c r="C425" s="13">
        <v>1</v>
      </c>
      <c r="D425" s="9">
        <v>5.1799999999999999E-2</v>
      </c>
      <c r="E425" s="13">
        <v>13.142860000000001</v>
      </c>
      <c r="F425">
        <v>5.2900000000000003E-2</v>
      </c>
      <c r="G425" s="13">
        <v>26.142859999999999</v>
      </c>
      <c r="H425">
        <v>6.0999999999999999E-2</v>
      </c>
      <c r="I425">
        <v>263.14285999999998</v>
      </c>
      <c r="J425">
        <v>6.5500000000000003E-2</v>
      </c>
      <c r="K425">
        <v>641.57142999999996</v>
      </c>
      <c r="L425">
        <v>6.6500000000000004E-2</v>
      </c>
      <c r="M425" s="13">
        <v>1306.7142899999999</v>
      </c>
    </row>
    <row r="426" spans="1:13" x14ac:dyDescent="0.2">
      <c r="A426">
        <v>424</v>
      </c>
      <c r="B426">
        <v>19970724</v>
      </c>
      <c r="C426" s="13">
        <v>1</v>
      </c>
      <c r="D426" s="9">
        <v>5.1799999999999999E-2</v>
      </c>
      <c r="E426" s="13">
        <v>13.142860000000001</v>
      </c>
      <c r="F426">
        <v>5.3199999999999997E-2</v>
      </c>
      <c r="G426" s="13">
        <v>26.142859999999999</v>
      </c>
      <c r="H426">
        <v>6.0400000000000002E-2</v>
      </c>
      <c r="I426">
        <v>262.14285999999998</v>
      </c>
      <c r="J426">
        <v>6.4899999999999999E-2</v>
      </c>
      <c r="K426">
        <v>640.57142999999996</v>
      </c>
      <c r="L426">
        <v>6.5799999999999997E-2</v>
      </c>
      <c r="M426" s="13">
        <v>1305.7142899999999</v>
      </c>
    </row>
    <row r="427" spans="1:13" x14ac:dyDescent="0.2">
      <c r="A427">
        <v>425</v>
      </c>
      <c r="B427">
        <v>19970731</v>
      </c>
      <c r="C427" s="13">
        <v>1</v>
      </c>
      <c r="D427" s="9">
        <v>5.2200000000000003E-2</v>
      </c>
      <c r="E427" s="13">
        <v>13.142860000000001</v>
      </c>
      <c r="F427">
        <v>5.3199999999999997E-2</v>
      </c>
      <c r="G427" s="13">
        <v>26.142859999999999</v>
      </c>
      <c r="H427">
        <v>5.9200000000000003E-2</v>
      </c>
      <c r="I427">
        <v>261.14285999999998</v>
      </c>
      <c r="J427">
        <v>6.3899999999999998E-2</v>
      </c>
      <c r="K427">
        <v>639.57142999999996</v>
      </c>
      <c r="L427">
        <v>6.4899999999999999E-2</v>
      </c>
      <c r="M427" s="13">
        <v>1304.7142899999999</v>
      </c>
    </row>
    <row r="428" spans="1:13" x14ac:dyDescent="0.2">
      <c r="A428">
        <v>426</v>
      </c>
      <c r="B428">
        <v>19970807</v>
      </c>
      <c r="C428" s="13">
        <v>1</v>
      </c>
      <c r="D428" s="9">
        <v>5.28E-2</v>
      </c>
      <c r="E428" s="13">
        <v>13.142860000000001</v>
      </c>
      <c r="F428">
        <v>5.4100000000000002E-2</v>
      </c>
      <c r="G428" s="13">
        <v>26.142859999999999</v>
      </c>
      <c r="H428">
        <v>6.1100000000000002E-2</v>
      </c>
      <c r="I428">
        <v>260.14285999999998</v>
      </c>
      <c r="J428">
        <v>6.5699999999999995E-2</v>
      </c>
      <c r="K428">
        <v>638.57142999999996</v>
      </c>
      <c r="L428">
        <v>6.6100000000000006E-2</v>
      </c>
      <c r="M428" s="13">
        <v>1303.7142899999999</v>
      </c>
    </row>
    <row r="429" spans="1:13" x14ac:dyDescent="0.2">
      <c r="A429">
        <v>427</v>
      </c>
      <c r="B429">
        <v>19970814</v>
      </c>
      <c r="C429" s="13">
        <v>1</v>
      </c>
      <c r="D429" s="9">
        <v>5.3100000000000001E-2</v>
      </c>
      <c r="E429" s="13">
        <v>13.142860000000001</v>
      </c>
      <c r="F429">
        <v>5.4100000000000002E-2</v>
      </c>
      <c r="G429" s="13">
        <v>26.142859999999999</v>
      </c>
      <c r="H429">
        <v>6.2199999999999998E-2</v>
      </c>
      <c r="I429">
        <v>259.14285999999998</v>
      </c>
      <c r="J429">
        <v>6.7400000000000002E-2</v>
      </c>
      <c r="K429">
        <v>637.57142999999996</v>
      </c>
      <c r="L429">
        <v>6.83E-2</v>
      </c>
      <c r="M429" s="13">
        <v>1302.7142899999999</v>
      </c>
    </row>
    <row r="430" spans="1:13" x14ac:dyDescent="0.2">
      <c r="A430">
        <v>428</v>
      </c>
      <c r="B430">
        <v>19970821</v>
      </c>
      <c r="C430" s="13">
        <v>1</v>
      </c>
      <c r="D430" s="9">
        <v>5.2299999999999999E-2</v>
      </c>
      <c r="E430" s="13">
        <v>13.142860000000001</v>
      </c>
      <c r="F430">
        <v>5.3499999999999999E-2</v>
      </c>
      <c r="G430" s="13">
        <v>26.142859999999999</v>
      </c>
      <c r="H430">
        <v>6.13E-2</v>
      </c>
      <c r="I430">
        <v>258.14285999999998</v>
      </c>
      <c r="J430">
        <v>6.6299999999999998E-2</v>
      </c>
      <c r="K430">
        <v>636.57142999999996</v>
      </c>
      <c r="L430">
        <v>6.7299999999999999E-2</v>
      </c>
      <c r="M430" s="13">
        <v>1301.7142899999999</v>
      </c>
    </row>
    <row r="431" spans="1:13" x14ac:dyDescent="0.2">
      <c r="A431">
        <v>429</v>
      </c>
      <c r="B431">
        <v>19970828</v>
      </c>
      <c r="C431" s="13">
        <v>1</v>
      </c>
      <c r="D431" s="9">
        <v>5.2699999999999997E-2</v>
      </c>
      <c r="E431" s="13">
        <v>13.28571</v>
      </c>
      <c r="F431">
        <v>5.3800000000000001E-2</v>
      </c>
      <c r="G431" s="13">
        <v>26.142859999999999</v>
      </c>
      <c r="H431">
        <v>6.2700000000000006E-2</v>
      </c>
      <c r="I431">
        <v>257.14285999999998</v>
      </c>
      <c r="J431">
        <v>6.7699999999999996E-2</v>
      </c>
      <c r="K431">
        <v>635.57142999999996</v>
      </c>
      <c r="L431">
        <v>6.8400000000000002E-2</v>
      </c>
      <c r="M431" s="13">
        <v>1300.7142899999999</v>
      </c>
    </row>
    <row r="432" spans="1:13" x14ac:dyDescent="0.2">
      <c r="A432">
        <v>430</v>
      </c>
      <c r="B432">
        <v>19970904</v>
      </c>
      <c r="C432" s="13">
        <v>1</v>
      </c>
      <c r="D432" s="9">
        <v>5.1299999999999998E-2</v>
      </c>
      <c r="E432" s="13">
        <v>13.142860000000001</v>
      </c>
      <c r="F432">
        <v>5.3600000000000002E-2</v>
      </c>
      <c r="G432" s="13">
        <v>26.142859999999999</v>
      </c>
      <c r="H432">
        <v>6.2199999999999998E-2</v>
      </c>
      <c r="I432">
        <v>256.14285999999998</v>
      </c>
      <c r="J432">
        <v>6.7000000000000004E-2</v>
      </c>
      <c r="K432">
        <v>634.57142999999996</v>
      </c>
      <c r="L432">
        <v>6.7699999999999996E-2</v>
      </c>
      <c r="M432" s="13">
        <v>1299.7142899999999</v>
      </c>
    </row>
    <row r="433" spans="1:13" x14ac:dyDescent="0.2">
      <c r="A433">
        <v>431</v>
      </c>
      <c r="B433">
        <v>19970911</v>
      </c>
      <c r="C433" s="13">
        <v>1</v>
      </c>
      <c r="D433" s="9">
        <v>5.0900000000000001E-2</v>
      </c>
      <c r="E433" s="13">
        <v>13.142860000000001</v>
      </c>
      <c r="F433">
        <v>5.33E-2</v>
      </c>
      <c r="G433" s="13">
        <v>26.142859999999999</v>
      </c>
      <c r="H433">
        <v>6.2399999999999997E-2</v>
      </c>
      <c r="I433">
        <v>255.14286000000001</v>
      </c>
      <c r="J433">
        <v>6.7500000000000004E-2</v>
      </c>
      <c r="K433">
        <v>633.57142999999996</v>
      </c>
      <c r="L433">
        <v>6.83E-2</v>
      </c>
      <c r="M433" s="13">
        <v>1298.7142899999999</v>
      </c>
    </row>
    <row r="434" spans="1:13" x14ac:dyDescent="0.2">
      <c r="A434">
        <v>432</v>
      </c>
      <c r="B434">
        <v>19970918</v>
      </c>
      <c r="C434" s="13">
        <v>1</v>
      </c>
      <c r="D434" s="9">
        <v>5.0900000000000001E-2</v>
      </c>
      <c r="E434" s="13">
        <v>13.142860000000001</v>
      </c>
      <c r="F434">
        <v>5.2900000000000003E-2</v>
      </c>
      <c r="G434" s="13">
        <v>26.142859999999999</v>
      </c>
      <c r="H434">
        <v>5.9700000000000003E-2</v>
      </c>
      <c r="I434">
        <v>254.14286000000001</v>
      </c>
      <c r="J434">
        <v>6.4600000000000005E-2</v>
      </c>
      <c r="K434">
        <v>632.57142999999996</v>
      </c>
      <c r="L434">
        <v>6.5500000000000003E-2</v>
      </c>
      <c r="M434" s="13">
        <v>1297.7142899999999</v>
      </c>
    </row>
    <row r="435" spans="1:13" x14ac:dyDescent="0.2">
      <c r="A435">
        <v>433</v>
      </c>
      <c r="B435">
        <v>19970925</v>
      </c>
      <c r="C435" s="13">
        <v>1</v>
      </c>
      <c r="D435" s="9">
        <v>4.9200000000000001E-2</v>
      </c>
      <c r="E435" s="13">
        <v>13.28571</v>
      </c>
      <c r="F435">
        <v>5.1499999999999997E-2</v>
      </c>
      <c r="G435" s="13">
        <v>26.142859999999999</v>
      </c>
      <c r="H435">
        <v>5.9499999999999997E-2</v>
      </c>
      <c r="I435">
        <v>253.14286000000001</v>
      </c>
      <c r="J435">
        <v>6.4000000000000001E-2</v>
      </c>
      <c r="K435">
        <v>631.57142999999996</v>
      </c>
      <c r="L435">
        <v>6.4699999999999994E-2</v>
      </c>
      <c r="M435" s="13">
        <v>1296.7142899999999</v>
      </c>
    </row>
    <row r="436" spans="1:13" x14ac:dyDescent="0.2">
      <c r="A436">
        <v>434</v>
      </c>
      <c r="B436">
        <v>19971002</v>
      </c>
      <c r="C436" s="13">
        <v>1</v>
      </c>
      <c r="D436" s="9">
        <v>5.0799999999999998E-2</v>
      </c>
      <c r="E436" s="13">
        <v>13.428570000000001</v>
      </c>
      <c r="F436">
        <v>5.2499999999999998E-2</v>
      </c>
      <c r="G436" s="13">
        <v>26.285710000000002</v>
      </c>
      <c r="H436">
        <v>5.9200000000000003E-2</v>
      </c>
      <c r="I436">
        <v>252.28570999999999</v>
      </c>
      <c r="J436">
        <v>6.3899999999999998E-2</v>
      </c>
      <c r="K436">
        <v>630.71429000000001</v>
      </c>
      <c r="L436">
        <v>6.8000000000000005E-2</v>
      </c>
      <c r="M436" s="13">
        <v>1309</v>
      </c>
    </row>
    <row r="437" spans="1:13" x14ac:dyDescent="0.2">
      <c r="A437">
        <v>435</v>
      </c>
      <c r="B437">
        <v>19971009</v>
      </c>
      <c r="C437" s="13">
        <v>1</v>
      </c>
      <c r="D437" s="9">
        <v>5.0799999999999998E-2</v>
      </c>
      <c r="E437" s="13">
        <v>13.142860000000001</v>
      </c>
      <c r="F437">
        <v>5.2299999999999999E-2</v>
      </c>
      <c r="G437" s="13">
        <v>26.142859999999999</v>
      </c>
      <c r="H437">
        <v>5.9400000000000001E-2</v>
      </c>
      <c r="I437">
        <v>251.14286000000001</v>
      </c>
      <c r="J437">
        <v>6.4199999999999993E-2</v>
      </c>
      <c r="K437">
        <v>629.57142999999996</v>
      </c>
      <c r="L437">
        <v>6.5100000000000005E-2</v>
      </c>
      <c r="M437" s="13">
        <v>1307.8571400000001</v>
      </c>
    </row>
    <row r="438" spans="1:13" x14ac:dyDescent="0.2">
      <c r="A438">
        <v>436</v>
      </c>
      <c r="B438">
        <v>19971016</v>
      </c>
      <c r="C438" s="13">
        <v>1</v>
      </c>
      <c r="D438" s="9">
        <v>5.0500000000000003E-2</v>
      </c>
      <c r="E438" s="13">
        <v>13.142860000000001</v>
      </c>
      <c r="F438">
        <v>5.3199999999999997E-2</v>
      </c>
      <c r="G438" s="13">
        <v>26.142859999999999</v>
      </c>
      <c r="H438">
        <v>6.0100000000000001E-2</v>
      </c>
      <c r="I438">
        <v>250.14286000000001</v>
      </c>
      <c r="J438">
        <v>6.4600000000000005E-2</v>
      </c>
      <c r="K438">
        <v>628.57142999999996</v>
      </c>
      <c r="L438">
        <v>6.5600000000000006E-2</v>
      </c>
      <c r="M438" s="13">
        <v>1306.8571400000001</v>
      </c>
    </row>
    <row r="439" spans="1:13" x14ac:dyDescent="0.2">
      <c r="A439">
        <v>437</v>
      </c>
      <c r="B439">
        <v>19971023</v>
      </c>
      <c r="C439" s="13">
        <v>1</v>
      </c>
      <c r="D439" s="9">
        <v>5.1299999999999998E-2</v>
      </c>
      <c r="E439" s="13">
        <v>13.142860000000001</v>
      </c>
      <c r="F439">
        <v>5.3900000000000003E-2</v>
      </c>
      <c r="G439" s="13">
        <v>26.142859999999999</v>
      </c>
      <c r="H439">
        <v>6.0600000000000001E-2</v>
      </c>
      <c r="I439">
        <v>249.14286000000001</v>
      </c>
      <c r="J439">
        <v>6.4899999999999999E-2</v>
      </c>
      <c r="K439">
        <v>627.57142999999996</v>
      </c>
      <c r="L439">
        <v>6.5600000000000006E-2</v>
      </c>
      <c r="M439" s="13">
        <v>1305.8571400000001</v>
      </c>
    </row>
    <row r="440" spans="1:13" x14ac:dyDescent="0.2">
      <c r="A440">
        <v>438</v>
      </c>
      <c r="B440">
        <v>19971030</v>
      </c>
      <c r="C440" s="13">
        <v>1</v>
      </c>
      <c r="D440" s="9">
        <v>5.2400000000000002E-2</v>
      </c>
      <c r="E440" s="13">
        <v>13.142860000000001</v>
      </c>
      <c r="F440">
        <v>5.3199999999999997E-2</v>
      </c>
      <c r="G440" s="13">
        <v>26.142859999999999</v>
      </c>
      <c r="H440">
        <v>5.8299999999999998E-2</v>
      </c>
      <c r="I440">
        <v>248.14286000000001</v>
      </c>
      <c r="J440">
        <v>6.2700000000000006E-2</v>
      </c>
      <c r="K440">
        <v>626.57142999999996</v>
      </c>
      <c r="L440">
        <v>6.3799999999999996E-2</v>
      </c>
      <c r="M440" s="13">
        <v>1304.8571400000001</v>
      </c>
    </row>
    <row r="441" spans="1:13" x14ac:dyDescent="0.2">
      <c r="A441">
        <v>439</v>
      </c>
      <c r="B441">
        <v>19971106</v>
      </c>
      <c r="C441" s="13">
        <v>1</v>
      </c>
      <c r="D441" s="9">
        <v>5.2499999999999998E-2</v>
      </c>
      <c r="E441" s="13">
        <v>13.142860000000001</v>
      </c>
      <c r="F441">
        <v>5.2999999999999999E-2</v>
      </c>
      <c r="G441" s="13">
        <v>26.142859999999999</v>
      </c>
      <c r="H441">
        <v>5.8700000000000002E-2</v>
      </c>
      <c r="I441">
        <v>247.14286000000001</v>
      </c>
      <c r="J441">
        <v>6.2899999999999998E-2</v>
      </c>
      <c r="K441">
        <v>625.57142999999996</v>
      </c>
      <c r="L441">
        <v>6.3899999999999998E-2</v>
      </c>
      <c r="M441" s="13">
        <v>1303.8571400000001</v>
      </c>
    </row>
    <row r="442" spans="1:13" x14ac:dyDescent="0.2">
      <c r="A442">
        <v>440</v>
      </c>
      <c r="B442">
        <v>19971113</v>
      </c>
      <c r="C442" s="13">
        <v>1</v>
      </c>
      <c r="D442" s="9">
        <v>5.2900000000000003E-2</v>
      </c>
      <c r="E442" s="13">
        <v>13.142860000000001</v>
      </c>
      <c r="F442">
        <v>5.3600000000000002E-2</v>
      </c>
      <c r="G442" s="13">
        <v>26.142859999999999</v>
      </c>
      <c r="H442">
        <v>5.8299999999999998E-2</v>
      </c>
      <c r="I442">
        <v>246.14286000000001</v>
      </c>
      <c r="J442">
        <v>6.2199999999999998E-2</v>
      </c>
      <c r="K442">
        <v>624.57142999999996</v>
      </c>
      <c r="L442">
        <v>6.3100000000000003E-2</v>
      </c>
      <c r="M442" s="13">
        <v>1302.8571400000001</v>
      </c>
    </row>
    <row r="443" spans="1:13" x14ac:dyDescent="0.2">
      <c r="A443">
        <v>441</v>
      </c>
      <c r="B443">
        <v>19971120</v>
      </c>
      <c r="C443" s="13">
        <v>1</v>
      </c>
      <c r="D443" s="9">
        <v>5.2699999999999997E-2</v>
      </c>
      <c r="E443" s="13">
        <v>13.142860000000001</v>
      </c>
      <c r="F443">
        <v>5.3600000000000002E-2</v>
      </c>
      <c r="G443" s="13">
        <v>26.142859999999999</v>
      </c>
      <c r="H443">
        <v>5.7799999999999997E-2</v>
      </c>
      <c r="I443">
        <v>245.14286000000001</v>
      </c>
      <c r="J443">
        <v>6.1199999999999997E-2</v>
      </c>
      <c r="K443">
        <v>623.57142999999996</v>
      </c>
      <c r="L443">
        <v>6.1800000000000001E-2</v>
      </c>
      <c r="M443" s="13">
        <v>1301.8571400000001</v>
      </c>
    </row>
    <row r="444" spans="1:13" x14ac:dyDescent="0.2">
      <c r="A444">
        <v>442</v>
      </c>
      <c r="B444">
        <v>19971128</v>
      </c>
      <c r="C444" s="13">
        <v>1</v>
      </c>
      <c r="D444" s="9">
        <v>5.2200000000000003E-2</v>
      </c>
      <c r="E444" s="13">
        <v>13.28571</v>
      </c>
      <c r="F444">
        <v>5.4100000000000002E-2</v>
      </c>
      <c r="G444" s="13">
        <v>26.285710000000002</v>
      </c>
      <c r="H444">
        <v>5.8299999999999998E-2</v>
      </c>
      <c r="I444">
        <v>244.28570999999999</v>
      </c>
      <c r="J444">
        <v>6.13E-2</v>
      </c>
      <c r="K444">
        <v>622.71429000000001</v>
      </c>
      <c r="L444">
        <v>6.1899999999999997E-2</v>
      </c>
      <c r="M444" s="13">
        <v>1301</v>
      </c>
    </row>
    <row r="445" spans="1:13" x14ac:dyDescent="0.2">
      <c r="A445">
        <v>443</v>
      </c>
      <c r="B445">
        <v>19971204</v>
      </c>
      <c r="C445" s="13">
        <v>1</v>
      </c>
      <c r="D445" s="9">
        <v>5.2400000000000002E-2</v>
      </c>
      <c r="E445" s="13">
        <v>13.142860000000001</v>
      </c>
      <c r="F445">
        <v>5.3999999999999999E-2</v>
      </c>
      <c r="G445" s="13">
        <v>26.142859999999999</v>
      </c>
      <c r="H445">
        <v>5.79E-2</v>
      </c>
      <c r="I445">
        <v>269.42856999999998</v>
      </c>
      <c r="J445">
        <v>6.0199999999999997E-2</v>
      </c>
      <c r="K445">
        <v>895.57142999999996</v>
      </c>
      <c r="L445">
        <v>6.13E-2</v>
      </c>
      <c r="M445" s="13">
        <v>1299.8571400000001</v>
      </c>
    </row>
    <row r="446" spans="1:13" x14ac:dyDescent="0.2">
      <c r="A446">
        <v>444</v>
      </c>
      <c r="B446">
        <v>19971211</v>
      </c>
      <c r="C446" s="13">
        <v>1</v>
      </c>
      <c r="D446" s="9">
        <v>5.2299999999999999E-2</v>
      </c>
      <c r="E446" s="13">
        <v>13.142860000000001</v>
      </c>
      <c r="F446">
        <v>5.4899999999999997E-2</v>
      </c>
      <c r="G446" s="13">
        <v>26.142859999999999</v>
      </c>
      <c r="H446">
        <v>5.8299999999999998E-2</v>
      </c>
      <c r="I446">
        <v>268.42856999999998</v>
      </c>
      <c r="J446">
        <v>6.1100000000000002E-2</v>
      </c>
      <c r="K446">
        <v>894.57142999999996</v>
      </c>
      <c r="L446">
        <v>6.2E-2</v>
      </c>
      <c r="M446" s="13">
        <v>1298.8571400000001</v>
      </c>
    </row>
    <row r="447" spans="1:13" x14ac:dyDescent="0.2">
      <c r="A447">
        <v>445</v>
      </c>
      <c r="B447">
        <v>19971218</v>
      </c>
      <c r="C447" s="13">
        <v>1</v>
      </c>
      <c r="D447" s="9">
        <v>5.2400000000000002E-2</v>
      </c>
      <c r="E447" s="13">
        <v>13.142860000000001</v>
      </c>
      <c r="F447">
        <v>5.3999999999999999E-2</v>
      </c>
      <c r="G447" s="13">
        <v>26.142859999999999</v>
      </c>
      <c r="H447">
        <v>5.7599999999999998E-2</v>
      </c>
      <c r="I447">
        <v>267.42856999999998</v>
      </c>
      <c r="J447">
        <v>5.9799999999999999E-2</v>
      </c>
      <c r="K447">
        <v>893.57142999999996</v>
      </c>
      <c r="L447">
        <v>6.1499999999999999E-2</v>
      </c>
      <c r="M447" s="13">
        <v>1297.8571400000001</v>
      </c>
    </row>
    <row r="448" spans="1:13" x14ac:dyDescent="0.2">
      <c r="A448">
        <v>446</v>
      </c>
      <c r="B448">
        <v>19971226</v>
      </c>
      <c r="C448" s="13">
        <v>1</v>
      </c>
      <c r="D448" s="9">
        <v>5.3699999999999998E-2</v>
      </c>
      <c r="E448" s="13">
        <v>13.142860000000001</v>
      </c>
      <c r="F448">
        <v>5.4600000000000003E-2</v>
      </c>
      <c r="G448" s="13">
        <v>26.142859999999999</v>
      </c>
      <c r="H448">
        <v>5.7000000000000002E-2</v>
      </c>
      <c r="I448">
        <v>266.42856999999998</v>
      </c>
      <c r="J448">
        <v>5.8799999999999998E-2</v>
      </c>
      <c r="K448">
        <v>892.57142999999996</v>
      </c>
      <c r="L448">
        <v>6.0400000000000002E-2</v>
      </c>
      <c r="M448" s="13">
        <v>1296.8571400000001</v>
      </c>
    </row>
    <row r="449" spans="1:13" x14ac:dyDescent="0.2">
      <c r="A449">
        <v>447</v>
      </c>
      <c r="B449">
        <v>19980102</v>
      </c>
      <c r="C449" s="13">
        <v>1</v>
      </c>
      <c r="D449" s="9">
        <v>5.33E-2</v>
      </c>
      <c r="E449" s="13">
        <v>13.142860000000001</v>
      </c>
      <c r="F449">
        <v>5.4100000000000002E-2</v>
      </c>
      <c r="G449" s="13">
        <v>26.142859999999999</v>
      </c>
      <c r="H449">
        <v>5.7000000000000002E-2</v>
      </c>
      <c r="I449">
        <v>265.42856999999998</v>
      </c>
      <c r="J449">
        <v>5.91E-2</v>
      </c>
      <c r="K449">
        <v>891.57142999999996</v>
      </c>
      <c r="L449">
        <v>6.0499999999999998E-2</v>
      </c>
      <c r="M449" s="13">
        <v>1309</v>
      </c>
    </row>
    <row r="450" spans="1:13" x14ac:dyDescent="0.2">
      <c r="A450">
        <v>448</v>
      </c>
      <c r="B450">
        <v>19980108</v>
      </c>
      <c r="C450" s="13">
        <v>1</v>
      </c>
      <c r="D450" s="9">
        <v>5.2299999999999999E-2</v>
      </c>
      <c r="E450" s="13">
        <v>13.142860000000001</v>
      </c>
      <c r="F450">
        <v>5.2900000000000003E-2</v>
      </c>
      <c r="G450" s="13">
        <v>26.142859999999999</v>
      </c>
      <c r="H450">
        <v>5.4699999999999999E-2</v>
      </c>
      <c r="I450">
        <v>264.42856999999998</v>
      </c>
      <c r="J450">
        <v>5.79E-2</v>
      </c>
      <c r="K450">
        <v>890.57142999999996</v>
      </c>
      <c r="L450">
        <v>5.96E-2</v>
      </c>
      <c r="M450" s="13">
        <v>1308</v>
      </c>
    </row>
    <row r="451" spans="1:13" x14ac:dyDescent="0.2">
      <c r="A451">
        <v>449</v>
      </c>
      <c r="B451">
        <v>19980115</v>
      </c>
      <c r="C451" s="13">
        <v>1</v>
      </c>
      <c r="D451" s="9">
        <v>5.1700000000000003E-2</v>
      </c>
      <c r="E451" s="13">
        <v>13.142860000000001</v>
      </c>
      <c r="F451">
        <v>5.1700000000000003E-2</v>
      </c>
      <c r="G451" s="13">
        <v>26.142859999999999</v>
      </c>
      <c r="H451">
        <v>5.3400000000000003E-2</v>
      </c>
      <c r="I451">
        <v>263.42856999999998</v>
      </c>
      <c r="J451">
        <v>5.7099999999999998E-2</v>
      </c>
      <c r="K451">
        <v>889.57142999999996</v>
      </c>
      <c r="L451">
        <v>5.8799999999999998E-2</v>
      </c>
      <c r="M451" s="13">
        <v>1307</v>
      </c>
    </row>
    <row r="452" spans="1:13" x14ac:dyDescent="0.2">
      <c r="A452">
        <v>450</v>
      </c>
      <c r="B452">
        <v>19980122</v>
      </c>
      <c r="C452" s="13">
        <v>1</v>
      </c>
      <c r="D452" s="9">
        <v>5.1200000000000002E-2</v>
      </c>
      <c r="E452" s="13">
        <v>13.142860000000001</v>
      </c>
      <c r="F452">
        <v>5.1799999999999999E-2</v>
      </c>
      <c r="G452" s="13">
        <v>26.142859999999999</v>
      </c>
      <c r="H452">
        <v>5.4100000000000002E-2</v>
      </c>
      <c r="I452">
        <v>262.42856999999998</v>
      </c>
      <c r="J452">
        <v>5.7799999999999997E-2</v>
      </c>
      <c r="K452">
        <v>888.57142999999996</v>
      </c>
      <c r="L452">
        <v>5.9499999999999997E-2</v>
      </c>
      <c r="M452" s="13">
        <v>1306</v>
      </c>
    </row>
    <row r="453" spans="1:13" x14ac:dyDescent="0.2">
      <c r="A453">
        <v>451</v>
      </c>
      <c r="B453">
        <v>19980129</v>
      </c>
      <c r="C453" s="13">
        <v>1</v>
      </c>
      <c r="D453" s="9">
        <v>5.21E-2</v>
      </c>
      <c r="E453" s="13">
        <v>13.142860000000001</v>
      </c>
      <c r="F453">
        <v>5.28E-2</v>
      </c>
      <c r="G453" s="13">
        <v>26.142859999999999</v>
      </c>
      <c r="H453">
        <v>5.57E-2</v>
      </c>
      <c r="I453">
        <v>261.42856999999998</v>
      </c>
      <c r="J453">
        <v>5.9299999999999999E-2</v>
      </c>
      <c r="K453">
        <v>887.57142999999996</v>
      </c>
      <c r="L453">
        <v>6.0900000000000003E-2</v>
      </c>
      <c r="M453" s="13">
        <v>1305</v>
      </c>
    </row>
    <row r="454" spans="1:13" x14ac:dyDescent="0.2">
      <c r="A454">
        <v>452</v>
      </c>
      <c r="B454">
        <v>19980205</v>
      </c>
      <c r="C454" s="13">
        <v>1</v>
      </c>
      <c r="D454" s="9">
        <v>5.11E-2</v>
      </c>
      <c r="E454" s="13">
        <v>13.142860000000001</v>
      </c>
      <c r="F454">
        <v>5.1999999999999998E-2</v>
      </c>
      <c r="G454" s="13">
        <v>26.142859999999999</v>
      </c>
      <c r="H454">
        <v>5.4199999999999998E-2</v>
      </c>
      <c r="I454">
        <v>260.42856999999998</v>
      </c>
      <c r="J454">
        <v>5.8700000000000002E-2</v>
      </c>
      <c r="K454">
        <v>886.57142999999996</v>
      </c>
      <c r="L454">
        <v>6.0400000000000002E-2</v>
      </c>
      <c r="M454" s="13">
        <v>1304</v>
      </c>
    </row>
    <row r="455" spans="1:13" x14ac:dyDescent="0.2">
      <c r="A455">
        <v>453</v>
      </c>
      <c r="B455">
        <v>19980212</v>
      </c>
      <c r="C455" s="13">
        <v>1</v>
      </c>
      <c r="D455" s="9">
        <v>5.1999999999999998E-2</v>
      </c>
      <c r="E455" s="13">
        <v>13.142860000000001</v>
      </c>
      <c r="F455">
        <v>5.21E-2</v>
      </c>
      <c r="G455" s="13">
        <v>26.142859999999999</v>
      </c>
      <c r="H455">
        <v>5.45E-2</v>
      </c>
      <c r="I455">
        <v>259.42856999999998</v>
      </c>
      <c r="J455">
        <v>5.8299999999999998E-2</v>
      </c>
      <c r="K455">
        <v>885.57142999999996</v>
      </c>
      <c r="L455">
        <v>0.06</v>
      </c>
      <c r="M455" s="13">
        <v>1303</v>
      </c>
    </row>
    <row r="456" spans="1:13" x14ac:dyDescent="0.2">
      <c r="A456">
        <v>454</v>
      </c>
      <c r="B456">
        <v>19980219</v>
      </c>
      <c r="C456" s="13">
        <v>1</v>
      </c>
      <c r="D456" s="9">
        <v>5.1799999999999999E-2</v>
      </c>
      <c r="E456" s="13">
        <v>13.142860000000001</v>
      </c>
      <c r="F456">
        <v>5.28E-2</v>
      </c>
      <c r="G456" s="13">
        <v>26.142859999999999</v>
      </c>
      <c r="H456">
        <v>5.4399999999999997E-2</v>
      </c>
      <c r="I456">
        <v>258.42856999999998</v>
      </c>
      <c r="J456">
        <v>5.8099999999999999E-2</v>
      </c>
      <c r="K456">
        <v>884.57142999999996</v>
      </c>
      <c r="L456">
        <v>5.9700000000000003E-2</v>
      </c>
      <c r="M456" s="13">
        <v>1302</v>
      </c>
    </row>
    <row r="457" spans="1:13" x14ac:dyDescent="0.2">
      <c r="A457">
        <v>455</v>
      </c>
      <c r="B457">
        <v>19980226</v>
      </c>
      <c r="C457" s="13">
        <v>1</v>
      </c>
      <c r="D457" s="9">
        <v>5.2900000000000003E-2</v>
      </c>
      <c r="E457" s="13">
        <v>13.142860000000001</v>
      </c>
      <c r="F457">
        <v>5.2999999999999999E-2</v>
      </c>
      <c r="G457" s="13">
        <v>26.142859999999999</v>
      </c>
      <c r="H457">
        <v>5.5899999999999998E-2</v>
      </c>
      <c r="I457">
        <v>257.42856999999998</v>
      </c>
      <c r="J457">
        <v>5.91E-2</v>
      </c>
      <c r="K457">
        <v>883.57142999999996</v>
      </c>
      <c r="L457">
        <v>6.0499999999999998E-2</v>
      </c>
      <c r="M457" s="13">
        <v>1301</v>
      </c>
    </row>
    <row r="458" spans="1:13" x14ac:dyDescent="0.2">
      <c r="A458">
        <v>456</v>
      </c>
      <c r="B458">
        <v>19980305</v>
      </c>
      <c r="C458" s="13">
        <v>1</v>
      </c>
      <c r="D458" s="9">
        <v>5.1400000000000001E-2</v>
      </c>
      <c r="E458" s="13">
        <v>13.142860000000001</v>
      </c>
      <c r="F458">
        <v>5.2600000000000001E-2</v>
      </c>
      <c r="G458" s="13">
        <v>26.142859999999999</v>
      </c>
      <c r="H458">
        <v>5.7000000000000002E-2</v>
      </c>
      <c r="I458">
        <v>256.42856999999998</v>
      </c>
      <c r="J458">
        <v>6.0400000000000002E-2</v>
      </c>
      <c r="K458">
        <v>882.57142999999996</v>
      </c>
      <c r="L458">
        <v>6.1600000000000002E-2</v>
      </c>
      <c r="M458" s="13">
        <v>1300</v>
      </c>
    </row>
    <row r="459" spans="1:13" x14ac:dyDescent="0.2">
      <c r="A459">
        <v>457</v>
      </c>
      <c r="B459">
        <v>19980312</v>
      </c>
      <c r="C459" s="13">
        <v>1</v>
      </c>
      <c r="D459" s="9">
        <v>5.0799999999999998E-2</v>
      </c>
      <c r="E459" s="13">
        <v>13.142860000000001</v>
      </c>
      <c r="F459">
        <v>5.1999999999999998E-2</v>
      </c>
      <c r="G459" s="13">
        <v>26.142859999999999</v>
      </c>
      <c r="H459">
        <v>5.57E-2</v>
      </c>
      <c r="I459">
        <v>255.42857000000001</v>
      </c>
      <c r="J459">
        <v>5.9299999999999999E-2</v>
      </c>
      <c r="K459">
        <v>881.57142999999996</v>
      </c>
      <c r="L459">
        <v>6.0699999999999997E-2</v>
      </c>
      <c r="M459" s="13">
        <v>1299</v>
      </c>
    </row>
    <row r="460" spans="1:13" x14ac:dyDescent="0.2">
      <c r="A460">
        <v>458</v>
      </c>
      <c r="B460">
        <v>19980319</v>
      </c>
      <c r="C460" s="13">
        <v>1</v>
      </c>
      <c r="D460" s="9">
        <v>5.1400000000000001E-2</v>
      </c>
      <c r="E460" s="13">
        <v>13.142860000000001</v>
      </c>
      <c r="F460">
        <v>5.2299999999999999E-2</v>
      </c>
      <c r="G460" s="13">
        <v>26.142859999999999</v>
      </c>
      <c r="H460">
        <v>5.5399999999999998E-2</v>
      </c>
      <c r="I460">
        <v>254.42857000000001</v>
      </c>
      <c r="J460">
        <v>5.8900000000000001E-2</v>
      </c>
      <c r="K460">
        <v>880.57142999999996</v>
      </c>
      <c r="L460">
        <v>6.0299999999999999E-2</v>
      </c>
      <c r="M460" s="13">
        <v>1298</v>
      </c>
    </row>
    <row r="461" spans="1:13" x14ac:dyDescent="0.2">
      <c r="A461">
        <v>459</v>
      </c>
      <c r="B461">
        <v>19980326</v>
      </c>
      <c r="C461" s="13">
        <v>1</v>
      </c>
      <c r="D461" s="9">
        <v>5.1400000000000001E-2</v>
      </c>
      <c r="E461" s="13">
        <v>13.142860000000001</v>
      </c>
      <c r="F461">
        <v>5.1499999999999997E-2</v>
      </c>
      <c r="G461" s="13">
        <v>26.142859999999999</v>
      </c>
      <c r="H461">
        <v>5.6099999999999997E-2</v>
      </c>
      <c r="I461">
        <v>253.42857000000001</v>
      </c>
      <c r="J461">
        <v>5.8999999999999997E-2</v>
      </c>
      <c r="K461">
        <v>879.57142999999996</v>
      </c>
      <c r="L461">
        <v>6.0499999999999998E-2</v>
      </c>
      <c r="M461" s="13">
        <v>1297</v>
      </c>
    </row>
    <row r="462" spans="1:13" x14ac:dyDescent="0.2">
      <c r="A462">
        <v>460</v>
      </c>
      <c r="B462">
        <v>19980402</v>
      </c>
      <c r="C462" s="13">
        <v>1</v>
      </c>
      <c r="D462" s="9">
        <v>5.0999999999999997E-2</v>
      </c>
      <c r="E462" s="13">
        <v>13.142860000000001</v>
      </c>
      <c r="F462">
        <v>5.2200000000000003E-2</v>
      </c>
      <c r="G462" s="13">
        <v>26.142859999999999</v>
      </c>
      <c r="H462">
        <v>5.5899999999999998E-2</v>
      </c>
      <c r="I462">
        <v>252.42857000000001</v>
      </c>
      <c r="J462">
        <v>5.8900000000000001E-2</v>
      </c>
      <c r="K462">
        <v>878.57142999999996</v>
      </c>
      <c r="L462">
        <v>6.0199999999999997E-2</v>
      </c>
      <c r="M462" s="13">
        <v>1296</v>
      </c>
    </row>
    <row r="463" spans="1:13" x14ac:dyDescent="0.2">
      <c r="A463">
        <v>461</v>
      </c>
      <c r="B463">
        <v>19980409</v>
      </c>
      <c r="C463" s="13">
        <v>1</v>
      </c>
      <c r="D463" s="9">
        <v>5.0500000000000003E-2</v>
      </c>
      <c r="E463" s="13">
        <v>13.142860000000001</v>
      </c>
      <c r="F463">
        <v>5.1999999999999998E-2</v>
      </c>
      <c r="G463" s="13">
        <v>26.142859999999999</v>
      </c>
      <c r="H463">
        <v>5.5399999999999998E-2</v>
      </c>
      <c r="I463">
        <v>251.42857000000001</v>
      </c>
      <c r="J463">
        <v>5.8799999999999998E-2</v>
      </c>
      <c r="K463">
        <v>877.57142999999996</v>
      </c>
      <c r="L463">
        <v>6.0400000000000002E-2</v>
      </c>
      <c r="M463" s="13">
        <v>1295</v>
      </c>
    </row>
    <row r="464" spans="1:13" x14ac:dyDescent="0.2">
      <c r="A464">
        <v>462</v>
      </c>
      <c r="B464">
        <v>19980416</v>
      </c>
      <c r="C464" s="13">
        <v>1</v>
      </c>
      <c r="D464" s="9">
        <v>5.0599999999999999E-2</v>
      </c>
      <c r="E464" s="13">
        <v>13.142860000000001</v>
      </c>
      <c r="F464">
        <v>5.28E-2</v>
      </c>
      <c r="G464" s="13">
        <v>26.142859999999999</v>
      </c>
      <c r="H464">
        <v>5.5800000000000002E-2</v>
      </c>
      <c r="I464">
        <v>250.42857000000001</v>
      </c>
      <c r="J464">
        <v>5.8599999999999999E-2</v>
      </c>
      <c r="K464">
        <v>876.57142999999996</v>
      </c>
      <c r="L464">
        <v>6.0199999999999997E-2</v>
      </c>
      <c r="M464" s="13">
        <v>1294</v>
      </c>
    </row>
    <row r="465" spans="1:13" x14ac:dyDescent="0.2">
      <c r="A465">
        <v>463</v>
      </c>
      <c r="B465">
        <v>19980423</v>
      </c>
      <c r="C465" s="13">
        <v>1</v>
      </c>
      <c r="D465" s="9">
        <v>5.0700000000000002E-2</v>
      </c>
      <c r="E465" s="13">
        <v>13.142860000000001</v>
      </c>
      <c r="F465">
        <v>5.2299999999999999E-2</v>
      </c>
      <c r="G465" s="13">
        <v>26.142859999999999</v>
      </c>
      <c r="H465">
        <v>5.6399999999999999E-2</v>
      </c>
      <c r="I465">
        <v>249.42857000000001</v>
      </c>
      <c r="J465">
        <v>5.9499999999999997E-2</v>
      </c>
      <c r="K465">
        <v>875.57142999999996</v>
      </c>
      <c r="L465">
        <v>6.0999999999999999E-2</v>
      </c>
      <c r="M465" s="13">
        <v>1293</v>
      </c>
    </row>
    <row r="466" spans="1:13" x14ac:dyDescent="0.2">
      <c r="A466">
        <v>464</v>
      </c>
      <c r="B466">
        <v>19980430</v>
      </c>
      <c r="C466" s="13">
        <v>1</v>
      </c>
      <c r="D466" s="9">
        <v>5.0500000000000003E-2</v>
      </c>
      <c r="E466" s="13">
        <v>13.142860000000001</v>
      </c>
      <c r="F466">
        <v>5.3100000000000001E-2</v>
      </c>
      <c r="G466" s="13">
        <v>26.142859999999999</v>
      </c>
      <c r="H466">
        <v>5.79E-2</v>
      </c>
      <c r="I466">
        <v>248.42857000000001</v>
      </c>
      <c r="J466">
        <v>6.08E-2</v>
      </c>
      <c r="K466">
        <v>874.57142999999996</v>
      </c>
      <c r="L466">
        <v>6.2E-2</v>
      </c>
      <c r="M466" s="13">
        <v>1292</v>
      </c>
    </row>
    <row r="467" spans="1:13" x14ac:dyDescent="0.2">
      <c r="A467">
        <v>465</v>
      </c>
      <c r="B467">
        <v>19980507</v>
      </c>
      <c r="C467" s="13">
        <v>1</v>
      </c>
      <c r="D467" s="9">
        <v>5.0900000000000001E-2</v>
      </c>
      <c r="E467" s="13">
        <v>13.142860000000001</v>
      </c>
      <c r="F467">
        <v>5.2999999999999999E-2</v>
      </c>
      <c r="G467" s="13">
        <v>26.142859999999999</v>
      </c>
      <c r="H467">
        <v>5.62E-2</v>
      </c>
      <c r="I467">
        <v>247.42857000000001</v>
      </c>
      <c r="J467">
        <v>5.9400000000000001E-2</v>
      </c>
      <c r="K467">
        <v>873.57142999999996</v>
      </c>
      <c r="L467">
        <v>6.08E-2</v>
      </c>
      <c r="M467" s="13">
        <v>1291</v>
      </c>
    </row>
    <row r="468" spans="1:13" x14ac:dyDescent="0.2">
      <c r="A468">
        <v>466</v>
      </c>
      <c r="B468">
        <v>19980514</v>
      </c>
      <c r="C468" s="13">
        <v>1</v>
      </c>
      <c r="D468" s="9">
        <v>5.11E-2</v>
      </c>
      <c r="E468" s="13">
        <v>13.142860000000001</v>
      </c>
      <c r="F468">
        <v>5.3499999999999999E-2</v>
      </c>
      <c r="G468" s="13">
        <v>26.142859999999999</v>
      </c>
      <c r="H468">
        <v>5.6399999999999999E-2</v>
      </c>
      <c r="I468">
        <v>246.42857000000001</v>
      </c>
      <c r="J468">
        <v>5.9299999999999999E-2</v>
      </c>
      <c r="K468">
        <v>872.57142999999996</v>
      </c>
      <c r="L468">
        <v>6.08E-2</v>
      </c>
      <c r="M468" s="13">
        <v>1290</v>
      </c>
    </row>
    <row r="469" spans="1:13" x14ac:dyDescent="0.2">
      <c r="A469">
        <v>467</v>
      </c>
      <c r="B469">
        <v>19980521</v>
      </c>
      <c r="C469" s="13">
        <v>1</v>
      </c>
      <c r="D469" s="9">
        <v>5.1900000000000002E-2</v>
      </c>
      <c r="E469" s="13">
        <v>13.142860000000001</v>
      </c>
      <c r="F469">
        <v>5.3499999999999999E-2</v>
      </c>
      <c r="G469" s="13">
        <v>26.142859999999999</v>
      </c>
      <c r="H469">
        <v>5.6099999999999997E-2</v>
      </c>
      <c r="I469">
        <v>245.42857000000001</v>
      </c>
      <c r="J469">
        <v>5.8700000000000002E-2</v>
      </c>
      <c r="K469">
        <v>871.57142999999996</v>
      </c>
      <c r="L469">
        <v>6.0299999999999999E-2</v>
      </c>
      <c r="M469" s="13">
        <v>1289</v>
      </c>
    </row>
    <row r="470" spans="1:13" x14ac:dyDescent="0.2">
      <c r="A470">
        <v>468</v>
      </c>
      <c r="B470">
        <v>19980528</v>
      </c>
      <c r="C470" s="13">
        <v>1</v>
      </c>
      <c r="D470" s="9">
        <v>5.0700000000000002E-2</v>
      </c>
      <c r="E470" s="13">
        <v>13.142860000000001</v>
      </c>
      <c r="F470">
        <v>5.33E-2</v>
      </c>
      <c r="G470" s="13">
        <v>26.142859999999999</v>
      </c>
      <c r="H470">
        <v>5.57E-2</v>
      </c>
      <c r="I470">
        <v>244.42857000000001</v>
      </c>
      <c r="J470">
        <v>5.8000000000000003E-2</v>
      </c>
      <c r="K470">
        <v>870.57142999999996</v>
      </c>
      <c r="L470">
        <v>5.9700000000000003E-2</v>
      </c>
      <c r="M470" s="13">
        <v>1288</v>
      </c>
    </row>
    <row r="471" spans="1:13" x14ac:dyDescent="0.2">
      <c r="A471">
        <v>469</v>
      </c>
      <c r="B471">
        <v>19980604</v>
      </c>
      <c r="C471" s="13">
        <v>1</v>
      </c>
      <c r="D471" s="9">
        <v>5.1200000000000002E-2</v>
      </c>
      <c r="E471" s="13">
        <v>13.142860000000001</v>
      </c>
      <c r="F471">
        <v>5.2999999999999999E-2</v>
      </c>
      <c r="G471" s="13">
        <v>26.142859999999999</v>
      </c>
      <c r="H471">
        <v>5.5599999999999997E-2</v>
      </c>
      <c r="I471">
        <v>269.28570999999999</v>
      </c>
      <c r="J471">
        <v>5.7700000000000001E-2</v>
      </c>
      <c r="K471">
        <v>869.57142999999996</v>
      </c>
      <c r="L471">
        <v>5.8900000000000001E-2</v>
      </c>
      <c r="M471" s="13">
        <v>1312.8571400000001</v>
      </c>
    </row>
    <row r="472" spans="1:13" x14ac:dyDescent="0.2">
      <c r="A472">
        <v>470</v>
      </c>
      <c r="B472">
        <v>19980611</v>
      </c>
      <c r="C472" s="13">
        <v>1</v>
      </c>
      <c r="D472" s="9">
        <v>5.1200000000000002E-2</v>
      </c>
      <c r="E472" s="13">
        <v>13.142860000000001</v>
      </c>
      <c r="F472">
        <v>5.3600000000000002E-2</v>
      </c>
      <c r="G472" s="13">
        <v>26.142859999999999</v>
      </c>
      <c r="H472">
        <v>5.5300000000000002E-2</v>
      </c>
      <c r="I472">
        <v>268.28570999999999</v>
      </c>
      <c r="J472">
        <v>5.6399999999999999E-2</v>
      </c>
      <c r="K472">
        <v>868.57142999999996</v>
      </c>
      <c r="L472">
        <v>5.7799999999999997E-2</v>
      </c>
      <c r="M472" s="13">
        <v>1316.2857100000001</v>
      </c>
    </row>
    <row r="473" spans="1:13" x14ac:dyDescent="0.2">
      <c r="A473">
        <v>471</v>
      </c>
      <c r="B473">
        <v>19980618</v>
      </c>
      <c r="C473" s="13">
        <v>1</v>
      </c>
      <c r="D473" s="9">
        <v>5.2200000000000003E-2</v>
      </c>
      <c r="E473" s="13">
        <v>13.142860000000001</v>
      </c>
      <c r="F473">
        <v>5.3499999999999999E-2</v>
      </c>
      <c r="G473" s="13">
        <v>26.142859999999999</v>
      </c>
      <c r="H473">
        <v>5.5399999999999998E-2</v>
      </c>
      <c r="I473">
        <v>267.28570999999999</v>
      </c>
      <c r="J473">
        <v>5.6899999999999999E-2</v>
      </c>
      <c r="K473">
        <v>867.57142999999996</v>
      </c>
      <c r="L473">
        <v>5.8299999999999998E-2</v>
      </c>
      <c r="M473" s="13">
        <v>1319.57143</v>
      </c>
    </row>
    <row r="474" spans="1:13" x14ac:dyDescent="0.2">
      <c r="A474">
        <v>472</v>
      </c>
      <c r="B474">
        <v>19980625</v>
      </c>
      <c r="C474" s="13">
        <v>1</v>
      </c>
      <c r="D474" s="9">
        <v>5.04E-2</v>
      </c>
      <c r="E474" s="13">
        <v>13.142860000000001</v>
      </c>
      <c r="F474">
        <v>5.2999999999999999E-2</v>
      </c>
      <c r="G474" s="13">
        <v>26.142859999999999</v>
      </c>
      <c r="H474">
        <v>5.4800000000000001E-2</v>
      </c>
      <c r="I474">
        <v>266.28570999999999</v>
      </c>
      <c r="J474">
        <v>5.5899999999999998E-2</v>
      </c>
      <c r="K474">
        <v>866.57142999999996</v>
      </c>
      <c r="L474">
        <v>5.74E-2</v>
      </c>
      <c r="M474" s="13">
        <v>1323</v>
      </c>
    </row>
    <row r="475" spans="1:13" x14ac:dyDescent="0.2">
      <c r="A475">
        <v>473</v>
      </c>
      <c r="B475">
        <v>19980702</v>
      </c>
      <c r="C475" s="13">
        <v>1</v>
      </c>
      <c r="D475" s="9">
        <v>5.0700000000000002E-2</v>
      </c>
      <c r="E475" s="13">
        <v>13.142860000000001</v>
      </c>
      <c r="F475">
        <v>5.1900000000000002E-2</v>
      </c>
      <c r="G475" s="13">
        <v>26.142859999999999</v>
      </c>
      <c r="H475">
        <v>5.4300000000000001E-2</v>
      </c>
      <c r="I475">
        <v>265.28570999999999</v>
      </c>
      <c r="J475">
        <v>5.57E-2</v>
      </c>
      <c r="K475">
        <v>865.57142999999996</v>
      </c>
      <c r="L475">
        <v>5.7099999999999998E-2</v>
      </c>
      <c r="M475" s="13">
        <v>1308.8571400000001</v>
      </c>
    </row>
    <row r="476" spans="1:13" x14ac:dyDescent="0.2">
      <c r="A476">
        <v>474</v>
      </c>
      <c r="B476">
        <v>19980709</v>
      </c>
      <c r="C476" s="13">
        <v>1</v>
      </c>
      <c r="D476" s="9">
        <v>5.0799999999999998E-2</v>
      </c>
      <c r="E476" s="13">
        <v>13.142860000000001</v>
      </c>
      <c r="F476">
        <v>5.2299999999999999E-2</v>
      </c>
      <c r="G476" s="13">
        <v>26.142859999999999</v>
      </c>
      <c r="H476">
        <v>5.4300000000000001E-2</v>
      </c>
      <c r="I476">
        <v>264.28570999999999</v>
      </c>
      <c r="J476">
        <v>5.5899999999999998E-2</v>
      </c>
      <c r="K476">
        <v>864.57142999999996</v>
      </c>
      <c r="L476">
        <v>5.7200000000000001E-2</v>
      </c>
      <c r="M476" s="13">
        <v>1307.8571400000001</v>
      </c>
    </row>
    <row r="477" spans="1:13" x14ac:dyDescent="0.2">
      <c r="A477">
        <v>475</v>
      </c>
      <c r="B477">
        <v>19980716</v>
      </c>
      <c r="C477" s="13">
        <v>1</v>
      </c>
      <c r="D477" s="9">
        <v>5.1200000000000002E-2</v>
      </c>
      <c r="E477" s="13">
        <v>13.142860000000001</v>
      </c>
      <c r="F477">
        <v>5.21E-2</v>
      </c>
      <c r="G477" s="13">
        <v>26.142859999999999</v>
      </c>
      <c r="H477">
        <v>5.4699999999999999E-2</v>
      </c>
      <c r="I477">
        <v>263.28570999999999</v>
      </c>
      <c r="J477">
        <v>5.6899999999999999E-2</v>
      </c>
      <c r="K477">
        <v>863.57142999999996</v>
      </c>
      <c r="L477">
        <v>5.8000000000000003E-2</v>
      </c>
      <c r="M477" s="13">
        <v>1306.8571400000001</v>
      </c>
    </row>
    <row r="478" spans="1:13" x14ac:dyDescent="0.2">
      <c r="A478">
        <v>476</v>
      </c>
      <c r="B478">
        <v>19980723</v>
      </c>
      <c r="C478" s="13">
        <v>1</v>
      </c>
      <c r="D478" s="9">
        <v>5.0599999999999999E-2</v>
      </c>
      <c r="E478" s="13">
        <v>13.142860000000001</v>
      </c>
      <c r="F478">
        <v>5.2200000000000003E-2</v>
      </c>
      <c r="G478" s="13">
        <v>26.142859999999999</v>
      </c>
      <c r="H478">
        <v>5.4699999999999999E-2</v>
      </c>
      <c r="I478">
        <v>262.28570999999999</v>
      </c>
      <c r="J478">
        <v>5.6500000000000002E-2</v>
      </c>
      <c r="K478">
        <v>862.57142999999996</v>
      </c>
      <c r="L478">
        <v>5.7799999999999997E-2</v>
      </c>
      <c r="M478" s="13">
        <v>1305.8571400000001</v>
      </c>
    </row>
    <row r="479" spans="1:13" x14ac:dyDescent="0.2">
      <c r="A479">
        <v>477</v>
      </c>
      <c r="B479">
        <v>19980730</v>
      </c>
      <c r="C479" s="13">
        <v>1</v>
      </c>
      <c r="D479" s="9">
        <v>5.0500000000000003E-2</v>
      </c>
      <c r="E479" s="13">
        <v>13.142860000000001</v>
      </c>
      <c r="F479">
        <v>5.1900000000000002E-2</v>
      </c>
      <c r="G479" s="13">
        <v>26.142859999999999</v>
      </c>
      <c r="H479">
        <v>5.5100000000000003E-2</v>
      </c>
      <c r="I479">
        <v>261.28570999999999</v>
      </c>
      <c r="J479">
        <v>5.7299999999999997E-2</v>
      </c>
      <c r="K479">
        <v>861.57142999999996</v>
      </c>
      <c r="L479">
        <v>5.8599999999999999E-2</v>
      </c>
      <c r="M479" s="13">
        <v>1304.8571400000001</v>
      </c>
    </row>
    <row r="480" spans="1:13" x14ac:dyDescent="0.2">
      <c r="A480">
        <v>478</v>
      </c>
      <c r="B480">
        <v>19980806</v>
      </c>
      <c r="C480" s="13">
        <v>1</v>
      </c>
      <c r="D480" s="9">
        <v>5.0799999999999998E-2</v>
      </c>
      <c r="E480" s="13">
        <v>13.142860000000001</v>
      </c>
      <c r="F480">
        <v>5.1799999999999999E-2</v>
      </c>
      <c r="G480" s="13">
        <v>26.142859999999999</v>
      </c>
      <c r="H480">
        <v>5.4199999999999998E-2</v>
      </c>
      <c r="I480">
        <v>260.28570999999999</v>
      </c>
      <c r="J480">
        <v>5.5899999999999998E-2</v>
      </c>
      <c r="K480">
        <v>860.57142999999996</v>
      </c>
      <c r="L480">
        <v>5.74E-2</v>
      </c>
      <c r="M480" s="13">
        <v>1303.8571400000001</v>
      </c>
    </row>
    <row r="481" spans="1:13" x14ac:dyDescent="0.2">
      <c r="A481">
        <v>479</v>
      </c>
      <c r="B481">
        <v>19980813</v>
      </c>
      <c r="C481" s="13">
        <v>1</v>
      </c>
      <c r="D481" s="9">
        <v>5.04E-2</v>
      </c>
      <c r="E481" s="13">
        <v>13.142860000000001</v>
      </c>
      <c r="F481">
        <v>5.1299999999999998E-2</v>
      </c>
      <c r="G481" s="13">
        <v>26.142859999999999</v>
      </c>
      <c r="H481">
        <v>5.3800000000000001E-2</v>
      </c>
      <c r="I481">
        <v>259.28570999999999</v>
      </c>
      <c r="J481">
        <v>5.5500000000000001E-2</v>
      </c>
      <c r="K481">
        <v>859.57142999999996</v>
      </c>
      <c r="L481">
        <v>5.6899999999999999E-2</v>
      </c>
      <c r="M481" s="13">
        <v>1302.8571400000001</v>
      </c>
    </row>
    <row r="482" spans="1:13" x14ac:dyDescent="0.2">
      <c r="A482">
        <v>480</v>
      </c>
      <c r="B482">
        <v>19980820</v>
      </c>
      <c r="C482" s="13">
        <v>1</v>
      </c>
      <c r="D482" s="9">
        <v>5.0500000000000003E-2</v>
      </c>
      <c r="E482" s="13">
        <v>13.142860000000001</v>
      </c>
      <c r="F482">
        <v>5.1700000000000003E-2</v>
      </c>
      <c r="G482" s="13">
        <v>26.142859999999999</v>
      </c>
      <c r="H482">
        <v>5.3900000000000003E-2</v>
      </c>
      <c r="I482">
        <v>258.28570999999999</v>
      </c>
      <c r="J482">
        <v>5.5599999999999997E-2</v>
      </c>
      <c r="K482">
        <v>858.57142999999996</v>
      </c>
      <c r="L482">
        <v>5.7099999999999998E-2</v>
      </c>
      <c r="M482" s="13">
        <v>1301.8571400000001</v>
      </c>
    </row>
    <row r="483" spans="1:13" x14ac:dyDescent="0.2">
      <c r="A483">
        <v>481</v>
      </c>
      <c r="B483">
        <v>19980827</v>
      </c>
      <c r="C483" s="13">
        <v>1</v>
      </c>
      <c r="D483" s="9">
        <v>5.0500000000000003E-2</v>
      </c>
      <c r="E483" s="13">
        <v>13.142860000000001</v>
      </c>
      <c r="F483">
        <v>5.0999999999999997E-2</v>
      </c>
      <c r="G483" s="13">
        <v>26.142859999999999</v>
      </c>
      <c r="H483">
        <v>5.1499999999999997E-2</v>
      </c>
      <c r="I483">
        <v>257.28570999999999</v>
      </c>
      <c r="J483">
        <v>5.45E-2</v>
      </c>
      <c r="K483">
        <v>857.57142999999996</v>
      </c>
      <c r="L483">
        <v>5.6099999999999997E-2</v>
      </c>
      <c r="M483" s="13">
        <v>1300.8571400000001</v>
      </c>
    </row>
    <row r="484" spans="1:13" x14ac:dyDescent="0.2">
      <c r="A484">
        <v>482</v>
      </c>
      <c r="B484">
        <v>19980903</v>
      </c>
      <c r="C484" s="13">
        <v>1</v>
      </c>
      <c r="D484" s="9">
        <v>4.9000000000000002E-2</v>
      </c>
      <c r="E484" s="13">
        <v>13.142860000000001</v>
      </c>
      <c r="F484">
        <v>4.9799999999999997E-2</v>
      </c>
      <c r="G484" s="13">
        <v>26.142859999999999</v>
      </c>
      <c r="H484">
        <v>5.0900000000000001E-2</v>
      </c>
      <c r="I484">
        <v>256.28570999999999</v>
      </c>
      <c r="J484">
        <v>5.3699999999999998E-2</v>
      </c>
      <c r="K484">
        <v>856.57142999999996</v>
      </c>
      <c r="L484">
        <v>5.5399999999999998E-2</v>
      </c>
      <c r="M484" s="13">
        <v>1299.8571400000001</v>
      </c>
    </row>
    <row r="485" spans="1:13" x14ac:dyDescent="0.2">
      <c r="A485">
        <v>483</v>
      </c>
      <c r="B485">
        <v>19980910</v>
      </c>
      <c r="C485" s="13">
        <v>1</v>
      </c>
      <c r="D485" s="9">
        <v>4.8599999999999997E-2</v>
      </c>
      <c r="E485" s="13">
        <v>13.142860000000001</v>
      </c>
      <c r="F485">
        <v>4.9000000000000002E-2</v>
      </c>
      <c r="G485" s="13">
        <v>26.142859999999999</v>
      </c>
      <c r="H485">
        <v>4.8500000000000001E-2</v>
      </c>
      <c r="I485">
        <v>255.28570999999999</v>
      </c>
      <c r="J485">
        <v>5.28E-2</v>
      </c>
      <c r="K485">
        <v>855.57142999999996</v>
      </c>
      <c r="L485">
        <v>5.4899999999999997E-2</v>
      </c>
      <c r="M485" s="13">
        <v>1298.8571400000001</v>
      </c>
    </row>
    <row r="486" spans="1:13" x14ac:dyDescent="0.2">
      <c r="A486">
        <v>484</v>
      </c>
      <c r="B486">
        <v>19980917</v>
      </c>
      <c r="C486" s="13">
        <v>1</v>
      </c>
      <c r="D486" s="9">
        <v>4.7800000000000002E-2</v>
      </c>
      <c r="E486" s="13">
        <v>13.142860000000001</v>
      </c>
      <c r="F486">
        <v>4.8599999999999997E-2</v>
      </c>
      <c r="G486" s="13">
        <v>26.142859999999999</v>
      </c>
      <c r="H486">
        <v>4.7600000000000003E-2</v>
      </c>
      <c r="I486">
        <v>254.28570999999999</v>
      </c>
      <c r="J486">
        <v>5.2499999999999998E-2</v>
      </c>
      <c r="K486">
        <v>854.57142999999996</v>
      </c>
      <c r="L486">
        <v>5.4699999999999999E-2</v>
      </c>
      <c r="M486" s="13">
        <v>1297.8571400000001</v>
      </c>
    </row>
    <row r="487" spans="1:13" x14ac:dyDescent="0.2">
      <c r="A487">
        <v>485</v>
      </c>
      <c r="B487">
        <v>19980924</v>
      </c>
      <c r="C487" s="13">
        <v>1</v>
      </c>
      <c r="D487" s="9">
        <v>4.6800000000000001E-2</v>
      </c>
      <c r="E487" s="13">
        <v>13.142860000000001</v>
      </c>
      <c r="F487">
        <v>4.6699999999999998E-2</v>
      </c>
      <c r="G487" s="13">
        <v>26.142859999999999</v>
      </c>
      <c r="H487">
        <v>4.5600000000000002E-2</v>
      </c>
      <c r="I487">
        <v>253.28570999999999</v>
      </c>
      <c r="J487">
        <v>5.1799999999999999E-2</v>
      </c>
      <c r="K487">
        <v>853.57142999999996</v>
      </c>
      <c r="L487">
        <v>5.4800000000000001E-2</v>
      </c>
      <c r="M487" s="13">
        <v>1296.8571400000001</v>
      </c>
    </row>
    <row r="488" spans="1:13" x14ac:dyDescent="0.2">
      <c r="A488">
        <v>486</v>
      </c>
      <c r="B488">
        <v>19981001</v>
      </c>
      <c r="C488" s="13">
        <v>1</v>
      </c>
      <c r="D488" s="9">
        <v>4.36E-2</v>
      </c>
      <c r="E488" s="13">
        <v>13.142860000000001</v>
      </c>
      <c r="F488">
        <v>4.48E-2</v>
      </c>
      <c r="G488" s="13">
        <v>26.142859999999999</v>
      </c>
      <c r="H488">
        <v>4.3299999999999998E-2</v>
      </c>
      <c r="I488">
        <v>252.28570999999999</v>
      </c>
      <c r="J488">
        <v>5.0599999999999999E-2</v>
      </c>
      <c r="K488">
        <v>852.57142999999996</v>
      </c>
      <c r="L488">
        <v>5.3600000000000002E-2</v>
      </c>
      <c r="M488" s="13">
        <v>1295.8571400000001</v>
      </c>
    </row>
    <row r="489" spans="1:13" x14ac:dyDescent="0.2">
      <c r="A489">
        <v>487</v>
      </c>
      <c r="B489">
        <v>19981008</v>
      </c>
      <c r="C489" s="13">
        <v>1</v>
      </c>
      <c r="D489" s="9">
        <v>4.1099999999999998E-2</v>
      </c>
      <c r="E489" s="13">
        <v>13.142860000000001</v>
      </c>
      <c r="F489">
        <v>4.36E-2</v>
      </c>
      <c r="G489" s="13">
        <v>26.142859999999999</v>
      </c>
      <c r="H489">
        <v>4.2599999999999999E-2</v>
      </c>
      <c r="I489">
        <v>251.28570999999999</v>
      </c>
      <c r="J489">
        <v>4.8899999999999999E-2</v>
      </c>
      <c r="K489">
        <v>851.57142999999996</v>
      </c>
      <c r="L489">
        <v>5.21E-2</v>
      </c>
      <c r="M489" s="13">
        <v>1294.8571400000001</v>
      </c>
    </row>
    <row r="490" spans="1:13" x14ac:dyDescent="0.2">
      <c r="A490">
        <v>488</v>
      </c>
      <c r="B490">
        <v>19981015</v>
      </c>
      <c r="C490" s="13">
        <v>1</v>
      </c>
      <c r="D490" s="9">
        <v>3.9699999999999999E-2</v>
      </c>
      <c r="E490" s="13">
        <v>13.142860000000001</v>
      </c>
      <c r="F490">
        <v>4.1799999999999997E-2</v>
      </c>
      <c r="G490" s="13">
        <v>26.142859999999999</v>
      </c>
      <c r="H490">
        <v>4.4200000000000003E-2</v>
      </c>
      <c r="I490">
        <v>250.28570999999999</v>
      </c>
      <c r="J490">
        <v>5.2200000000000003E-2</v>
      </c>
      <c r="K490">
        <v>850.57142999999996</v>
      </c>
      <c r="L490">
        <v>5.4399999999999997E-2</v>
      </c>
      <c r="M490" s="13">
        <v>1293.8571400000001</v>
      </c>
    </row>
    <row r="491" spans="1:13" x14ac:dyDescent="0.2">
      <c r="A491">
        <v>489</v>
      </c>
      <c r="B491">
        <v>19981022</v>
      </c>
      <c r="C491" s="13">
        <v>1</v>
      </c>
      <c r="D491" s="9">
        <v>3.9800000000000002E-2</v>
      </c>
      <c r="E491" s="13">
        <v>13.142860000000001</v>
      </c>
      <c r="F491">
        <v>4.0500000000000001E-2</v>
      </c>
      <c r="G491" s="13">
        <v>26.142859999999999</v>
      </c>
      <c r="H491">
        <v>4.3499999999999997E-2</v>
      </c>
      <c r="I491">
        <v>249.28570999999999</v>
      </c>
      <c r="J491">
        <v>5.2900000000000003E-2</v>
      </c>
      <c r="K491">
        <v>849.57142999999996</v>
      </c>
      <c r="L491">
        <v>5.4800000000000001E-2</v>
      </c>
      <c r="M491" s="13">
        <v>1292.8571400000001</v>
      </c>
    </row>
    <row r="492" spans="1:13" x14ac:dyDescent="0.2">
      <c r="A492">
        <v>490</v>
      </c>
      <c r="B492">
        <v>19981029</v>
      </c>
      <c r="C492" s="13">
        <v>1</v>
      </c>
      <c r="D492" s="9">
        <v>4.2999999999999997E-2</v>
      </c>
      <c r="E492" s="13">
        <v>13.142860000000001</v>
      </c>
      <c r="F492">
        <v>4.2799999999999998E-2</v>
      </c>
      <c r="G492" s="13">
        <v>26.142859999999999</v>
      </c>
      <c r="H492">
        <v>4.3400000000000001E-2</v>
      </c>
      <c r="I492">
        <v>248.28570999999999</v>
      </c>
      <c r="J492">
        <v>5.2200000000000003E-2</v>
      </c>
      <c r="K492">
        <v>848.57142999999996</v>
      </c>
      <c r="L492">
        <v>5.45E-2</v>
      </c>
      <c r="M492" s="13">
        <v>1291.8571400000001</v>
      </c>
    </row>
    <row r="493" spans="1:13" x14ac:dyDescent="0.2">
      <c r="A493">
        <v>491</v>
      </c>
      <c r="B493">
        <v>19981105</v>
      </c>
      <c r="C493" s="13">
        <v>1</v>
      </c>
      <c r="D493" s="9">
        <v>4.5499999999999999E-2</v>
      </c>
      <c r="E493" s="13">
        <v>13.142860000000001</v>
      </c>
      <c r="F493">
        <v>4.5900000000000003E-2</v>
      </c>
      <c r="G493" s="13">
        <v>26.142859999999999</v>
      </c>
      <c r="H493">
        <v>4.5999999999999999E-2</v>
      </c>
      <c r="I493">
        <v>247.28570999999999</v>
      </c>
      <c r="J493">
        <v>5.4600000000000003E-2</v>
      </c>
      <c r="K493">
        <v>847.57142999999996</v>
      </c>
      <c r="L493">
        <v>5.6899999999999999E-2</v>
      </c>
      <c r="M493" s="13">
        <v>1290.8571400000001</v>
      </c>
    </row>
    <row r="494" spans="1:13" x14ac:dyDescent="0.2">
      <c r="A494">
        <v>492</v>
      </c>
      <c r="B494">
        <v>19981113</v>
      </c>
      <c r="C494" s="13">
        <v>1</v>
      </c>
      <c r="D494" s="9">
        <v>4.48E-2</v>
      </c>
      <c r="E494" s="13">
        <v>13.142860000000001</v>
      </c>
      <c r="F494">
        <v>4.5499999999999999E-2</v>
      </c>
      <c r="G494" s="13">
        <v>26.142859999999999</v>
      </c>
      <c r="H494">
        <v>4.5999999999999999E-2</v>
      </c>
      <c r="I494">
        <v>246.28570999999999</v>
      </c>
      <c r="J494">
        <v>5.3199999999999997E-2</v>
      </c>
      <c r="K494">
        <v>846.57142999999996</v>
      </c>
      <c r="L494">
        <v>5.5399999999999998E-2</v>
      </c>
      <c r="M494" s="13">
        <v>1289.8571400000001</v>
      </c>
    </row>
    <row r="495" spans="1:13" x14ac:dyDescent="0.2">
      <c r="A495">
        <v>493</v>
      </c>
      <c r="B495">
        <v>19981119</v>
      </c>
      <c r="C495" s="13">
        <v>1</v>
      </c>
      <c r="D495" s="9">
        <v>4.4299999999999999E-2</v>
      </c>
      <c r="E495" s="13">
        <v>13.142860000000001</v>
      </c>
      <c r="F495">
        <v>4.5100000000000001E-2</v>
      </c>
      <c r="G495" s="13">
        <v>26.142859999999999</v>
      </c>
      <c r="H495">
        <v>4.7E-2</v>
      </c>
      <c r="I495">
        <v>245.28570999999999</v>
      </c>
      <c r="J495">
        <v>5.2999999999999999E-2</v>
      </c>
      <c r="K495">
        <v>845.57142999999996</v>
      </c>
      <c r="L495">
        <v>5.5199999999999999E-2</v>
      </c>
      <c r="M495" s="13">
        <v>1288.8571400000001</v>
      </c>
    </row>
    <row r="496" spans="1:13" x14ac:dyDescent="0.2">
      <c r="A496">
        <v>494</v>
      </c>
      <c r="B496">
        <v>19981127</v>
      </c>
      <c r="C496" s="13">
        <v>1</v>
      </c>
      <c r="D496" s="9">
        <v>4.5499999999999999E-2</v>
      </c>
      <c r="E496" s="13">
        <v>13.142860000000001</v>
      </c>
      <c r="F496">
        <v>4.6800000000000001E-2</v>
      </c>
      <c r="G496" s="13">
        <v>26.142859999999999</v>
      </c>
      <c r="H496">
        <v>4.7199999999999999E-2</v>
      </c>
      <c r="I496">
        <v>244.28570999999999</v>
      </c>
      <c r="J496">
        <v>5.2200000000000003E-2</v>
      </c>
      <c r="K496">
        <v>844.57142999999996</v>
      </c>
      <c r="L496">
        <v>5.4699999999999999E-2</v>
      </c>
      <c r="M496" s="13">
        <v>1287.8571400000001</v>
      </c>
    </row>
    <row r="497" spans="1:13" x14ac:dyDescent="0.2">
      <c r="A497">
        <v>495</v>
      </c>
      <c r="B497">
        <v>19981203</v>
      </c>
      <c r="C497" s="13">
        <v>1</v>
      </c>
      <c r="D497" s="9">
        <v>4.4600000000000001E-2</v>
      </c>
      <c r="E497" s="13">
        <v>13.142860000000001</v>
      </c>
      <c r="F497">
        <v>4.4699999999999997E-2</v>
      </c>
      <c r="G497" s="13">
        <v>26.142859999999999</v>
      </c>
      <c r="H497">
        <v>4.4200000000000003E-2</v>
      </c>
      <c r="I497">
        <v>243.28570999999999</v>
      </c>
      <c r="J497">
        <v>5.0599999999999999E-2</v>
      </c>
      <c r="K497">
        <v>843.57142999999996</v>
      </c>
      <c r="L497">
        <v>5.3699999999999998E-2</v>
      </c>
      <c r="M497" s="13">
        <v>1286.8571400000001</v>
      </c>
    </row>
    <row r="498" spans="1:13" x14ac:dyDescent="0.2">
      <c r="A498">
        <v>496</v>
      </c>
      <c r="B498">
        <v>19981210</v>
      </c>
      <c r="C498" s="13">
        <v>1</v>
      </c>
      <c r="D498" s="9">
        <v>4.5900000000000003E-2</v>
      </c>
      <c r="E498" s="13">
        <v>13.142860000000001</v>
      </c>
      <c r="F498">
        <v>4.5699999999999998E-2</v>
      </c>
      <c r="G498" s="13">
        <v>26.142859999999999</v>
      </c>
      <c r="H498">
        <v>4.4699999999999997E-2</v>
      </c>
      <c r="I498">
        <v>242.28570999999999</v>
      </c>
      <c r="J498">
        <v>0.05</v>
      </c>
      <c r="K498">
        <v>842.57142999999996</v>
      </c>
      <c r="L498">
        <v>5.3199999999999997E-2</v>
      </c>
      <c r="M498" s="13">
        <v>1285.8571400000001</v>
      </c>
    </row>
    <row r="499" spans="1:13" x14ac:dyDescent="0.2">
      <c r="A499">
        <v>497</v>
      </c>
      <c r="B499">
        <v>19981217</v>
      </c>
      <c r="C499" s="13">
        <v>1</v>
      </c>
      <c r="D499" s="9">
        <v>4.4499999999999998E-2</v>
      </c>
      <c r="E499" s="13">
        <v>13.142860000000001</v>
      </c>
      <c r="F499">
        <v>4.53E-2</v>
      </c>
      <c r="G499" s="13">
        <v>26.142859999999999</v>
      </c>
      <c r="H499">
        <v>4.4699999999999997E-2</v>
      </c>
      <c r="I499">
        <v>241.28570999999999</v>
      </c>
      <c r="J499">
        <v>5.1299999999999998E-2</v>
      </c>
      <c r="K499">
        <v>841.57142999999996</v>
      </c>
      <c r="L499">
        <v>5.4300000000000001E-2</v>
      </c>
      <c r="M499" s="13">
        <v>1284.8571400000001</v>
      </c>
    </row>
    <row r="500" spans="1:13" x14ac:dyDescent="0.2">
      <c r="A500">
        <v>498</v>
      </c>
      <c r="B500">
        <v>19981224</v>
      </c>
      <c r="C500" s="13">
        <v>1</v>
      </c>
      <c r="D500" s="9">
        <v>4.5600000000000002E-2</v>
      </c>
      <c r="E500" s="13">
        <v>13.142860000000001</v>
      </c>
      <c r="F500">
        <v>4.6399999999999997E-2</v>
      </c>
      <c r="G500" s="13">
        <v>26.142859999999999</v>
      </c>
      <c r="H500">
        <v>4.7600000000000003E-2</v>
      </c>
      <c r="I500">
        <v>240.28570999999999</v>
      </c>
      <c r="J500">
        <v>5.3900000000000003E-2</v>
      </c>
      <c r="K500">
        <v>840.57142999999996</v>
      </c>
      <c r="L500">
        <v>5.57E-2</v>
      </c>
      <c r="M500" s="13">
        <v>1283.8571400000001</v>
      </c>
    </row>
    <row r="501" spans="1:13" x14ac:dyDescent="0.2">
      <c r="A501">
        <v>499</v>
      </c>
      <c r="B501">
        <v>19981231</v>
      </c>
      <c r="C501" s="13">
        <v>1</v>
      </c>
      <c r="D501" s="9">
        <v>4.5400000000000003E-2</v>
      </c>
      <c r="E501" s="13">
        <v>13.142860000000001</v>
      </c>
      <c r="F501">
        <v>4.58E-2</v>
      </c>
      <c r="G501" s="13">
        <v>26.142859999999999</v>
      </c>
      <c r="H501">
        <v>4.6399999999999997E-2</v>
      </c>
      <c r="I501">
        <v>239.28570999999999</v>
      </c>
      <c r="J501">
        <v>5.2900000000000003E-2</v>
      </c>
      <c r="K501">
        <v>839.57142999999996</v>
      </c>
      <c r="L501">
        <v>5.4600000000000003E-2</v>
      </c>
      <c r="M501" s="13">
        <v>1282.8571400000001</v>
      </c>
    </row>
    <row r="502" spans="1:13" x14ac:dyDescent="0.2">
      <c r="A502">
        <v>500</v>
      </c>
      <c r="B502">
        <v>19990107</v>
      </c>
      <c r="C502" s="13">
        <v>1</v>
      </c>
      <c r="D502" s="9">
        <v>4.4699999999999997E-2</v>
      </c>
      <c r="E502" s="13">
        <v>13.142860000000001</v>
      </c>
      <c r="F502">
        <v>4.5400000000000003E-2</v>
      </c>
      <c r="G502" s="13">
        <v>26.142859999999999</v>
      </c>
      <c r="H502">
        <v>4.4999999999999998E-2</v>
      </c>
      <c r="I502">
        <v>265</v>
      </c>
      <c r="J502">
        <v>5.3600000000000002E-2</v>
      </c>
      <c r="K502">
        <v>838.57142999999996</v>
      </c>
      <c r="L502">
        <v>5.4800000000000001E-2</v>
      </c>
      <c r="M502" s="13">
        <v>1281.8571400000001</v>
      </c>
    </row>
    <row r="503" spans="1:13" x14ac:dyDescent="0.2">
      <c r="A503">
        <v>501</v>
      </c>
      <c r="B503">
        <v>19990114</v>
      </c>
      <c r="C503" s="13">
        <v>1</v>
      </c>
      <c r="D503" s="9">
        <v>4.4499999999999998E-2</v>
      </c>
      <c r="E503" s="13">
        <v>13.142860000000001</v>
      </c>
      <c r="F503">
        <v>4.3900000000000002E-2</v>
      </c>
      <c r="G503" s="13">
        <v>26.142859999999999</v>
      </c>
      <c r="H503">
        <v>4.65E-2</v>
      </c>
      <c r="I503">
        <v>264</v>
      </c>
      <c r="J503">
        <v>5.5800000000000002E-2</v>
      </c>
      <c r="K503">
        <v>837.57142999999996</v>
      </c>
      <c r="L503">
        <v>5.5500000000000001E-2</v>
      </c>
      <c r="M503" s="13">
        <v>1280.8571400000001</v>
      </c>
    </row>
    <row r="504" spans="1:13" x14ac:dyDescent="0.2">
      <c r="A504">
        <v>502</v>
      </c>
      <c r="B504">
        <v>19990121</v>
      </c>
      <c r="C504" s="13">
        <v>1</v>
      </c>
      <c r="D504" s="9">
        <v>4.3999999999999997E-2</v>
      </c>
      <c r="E504" s="13">
        <v>13.142860000000001</v>
      </c>
      <c r="F504">
        <v>4.48E-2</v>
      </c>
      <c r="G504" s="13">
        <v>26.142859999999999</v>
      </c>
      <c r="H504">
        <v>4.7E-2</v>
      </c>
      <c r="I504">
        <v>263</v>
      </c>
      <c r="J504">
        <v>5.5399999999999998E-2</v>
      </c>
      <c r="K504">
        <v>836.57142999999996</v>
      </c>
      <c r="L504">
        <v>5.6099999999999997E-2</v>
      </c>
      <c r="M504" s="13">
        <v>1279.8571400000001</v>
      </c>
    </row>
    <row r="505" spans="1:13" x14ac:dyDescent="0.2">
      <c r="A505">
        <v>503</v>
      </c>
      <c r="B505">
        <v>19990128</v>
      </c>
      <c r="C505" s="13">
        <v>1</v>
      </c>
      <c r="D505" s="9">
        <v>4.4600000000000001E-2</v>
      </c>
      <c r="E505" s="13">
        <v>13.142860000000001</v>
      </c>
      <c r="F505">
        <v>4.4600000000000001E-2</v>
      </c>
      <c r="G505" s="13">
        <v>26.142859999999999</v>
      </c>
      <c r="H505">
        <v>4.5999999999999999E-2</v>
      </c>
      <c r="I505">
        <v>262</v>
      </c>
      <c r="J505">
        <v>5.3900000000000003E-2</v>
      </c>
      <c r="K505">
        <v>835.57142999999996</v>
      </c>
      <c r="L505">
        <v>5.4600000000000003E-2</v>
      </c>
      <c r="M505" s="13">
        <v>1278.8571400000001</v>
      </c>
    </row>
    <row r="506" spans="1:13" x14ac:dyDescent="0.2">
      <c r="A506">
        <v>504</v>
      </c>
      <c r="B506">
        <v>19990204</v>
      </c>
      <c r="C506" s="13">
        <v>1</v>
      </c>
      <c r="D506" s="9">
        <v>4.48E-2</v>
      </c>
      <c r="E506" s="13">
        <v>13.142860000000001</v>
      </c>
      <c r="F506">
        <v>4.5400000000000003E-2</v>
      </c>
      <c r="G506" s="13">
        <v>26.142859999999999</v>
      </c>
      <c r="H506">
        <v>4.7399999999999998E-2</v>
      </c>
      <c r="I506">
        <v>261</v>
      </c>
      <c r="J506">
        <v>5.5599999999999997E-2</v>
      </c>
      <c r="K506">
        <v>834.57142999999996</v>
      </c>
      <c r="L506">
        <v>5.57E-2</v>
      </c>
      <c r="M506" s="13">
        <v>1277.8571400000001</v>
      </c>
    </row>
    <row r="507" spans="1:13" x14ac:dyDescent="0.2">
      <c r="A507">
        <v>505</v>
      </c>
      <c r="B507">
        <v>19990211</v>
      </c>
      <c r="C507" s="13">
        <v>1</v>
      </c>
      <c r="D507" s="9">
        <v>4.4999999999999998E-2</v>
      </c>
      <c r="E507" s="13">
        <v>13.142860000000001</v>
      </c>
      <c r="F507">
        <v>4.5199999999999997E-2</v>
      </c>
      <c r="G507" s="13">
        <v>26.142859999999999</v>
      </c>
      <c r="H507">
        <v>4.8500000000000001E-2</v>
      </c>
      <c r="I507">
        <v>260</v>
      </c>
      <c r="J507">
        <v>5.6300000000000003E-2</v>
      </c>
      <c r="K507">
        <v>833.57142999999996</v>
      </c>
      <c r="L507">
        <v>5.6000000000000001E-2</v>
      </c>
      <c r="M507" s="13">
        <v>1276.8571400000001</v>
      </c>
    </row>
    <row r="508" spans="1:13" x14ac:dyDescent="0.2">
      <c r="A508">
        <v>506</v>
      </c>
      <c r="B508">
        <v>19990218</v>
      </c>
      <c r="C508" s="13">
        <v>1</v>
      </c>
      <c r="D508" s="9">
        <v>4.53E-2</v>
      </c>
      <c r="E508" s="13">
        <v>13.142860000000001</v>
      </c>
      <c r="F508">
        <v>4.5900000000000003E-2</v>
      </c>
      <c r="G508" s="13">
        <v>26.142859999999999</v>
      </c>
      <c r="H508">
        <v>4.9599999999999998E-2</v>
      </c>
      <c r="I508">
        <v>259</v>
      </c>
      <c r="J508">
        <v>5.6800000000000003E-2</v>
      </c>
      <c r="K508">
        <v>832.57142999999996</v>
      </c>
      <c r="L508">
        <v>5.67E-2</v>
      </c>
      <c r="M508" s="13">
        <v>1275.8571400000001</v>
      </c>
    </row>
    <row r="509" spans="1:13" x14ac:dyDescent="0.2">
      <c r="A509">
        <v>507</v>
      </c>
      <c r="B509">
        <v>19990225</v>
      </c>
      <c r="C509" s="13">
        <v>1</v>
      </c>
      <c r="D509" s="9">
        <v>4.6699999999999998E-2</v>
      </c>
      <c r="E509" s="13">
        <v>13.142860000000001</v>
      </c>
      <c r="F509">
        <v>4.6699999999999998E-2</v>
      </c>
      <c r="G509" s="13">
        <v>26.142859999999999</v>
      </c>
      <c r="H509">
        <v>5.1499999999999997E-2</v>
      </c>
      <c r="I509">
        <v>258</v>
      </c>
      <c r="J509">
        <v>5.8599999999999999E-2</v>
      </c>
      <c r="K509">
        <v>831.57142999999996</v>
      </c>
      <c r="L509">
        <v>5.8000000000000003E-2</v>
      </c>
      <c r="M509" s="13">
        <v>1274.8571400000001</v>
      </c>
    </row>
    <row r="510" spans="1:13" x14ac:dyDescent="0.2">
      <c r="A510">
        <v>508</v>
      </c>
      <c r="B510">
        <v>19990304</v>
      </c>
      <c r="C510" s="13">
        <v>1</v>
      </c>
      <c r="D510" s="9">
        <v>4.65E-2</v>
      </c>
      <c r="E510" s="13">
        <v>13.142860000000001</v>
      </c>
      <c r="F510">
        <v>4.7199999999999999E-2</v>
      </c>
      <c r="G510" s="13">
        <v>26.142859999999999</v>
      </c>
      <c r="H510">
        <v>5.33E-2</v>
      </c>
      <c r="I510">
        <v>257</v>
      </c>
      <c r="J510">
        <v>6.0199999999999997E-2</v>
      </c>
      <c r="K510">
        <v>830.57142999999996</v>
      </c>
      <c r="L510">
        <v>5.9700000000000003E-2</v>
      </c>
      <c r="M510" s="13">
        <v>1273.8571400000001</v>
      </c>
    </row>
    <row r="511" spans="1:13" x14ac:dyDescent="0.2">
      <c r="A511">
        <v>509</v>
      </c>
      <c r="B511">
        <v>19990311</v>
      </c>
      <c r="C511" s="13">
        <v>1</v>
      </c>
      <c r="D511" s="9">
        <v>4.5699999999999998E-2</v>
      </c>
      <c r="E511" s="13">
        <v>13.142860000000001</v>
      </c>
      <c r="F511">
        <v>4.65E-2</v>
      </c>
      <c r="G511" s="13">
        <v>26.142859999999999</v>
      </c>
      <c r="H511">
        <v>5.1700000000000003E-2</v>
      </c>
      <c r="I511">
        <v>256</v>
      </c>
      <c r="J511">
        <v>5.9299999999999999E-2</v>
      </c>
      <c r="K511">
        <v>829.57142999999996</v>
      </c>
      <c r="L511">
        <v>5.8500000000000003E-2</v>
      </c>
      <c r="M511" s="13">
        <v>1272.8571400000001</v>
      </c>
    </row>
    <row r="512" spans="1:13" x14ac:dyDescent="0.2">
      <c r="A512">
        <v>510</v>
      </c>
      <c r="B512">
        <v>19990318</v>
      </c>
      <c r="C512" s="13">
        <v>1</v>
      </c>
      <c r="D512" s="9">
        <v>4.5100000000000001E-2</v>
      </c>
      <c r="E512" s="13">
        <v>13.142860000000001</v>
      </c>
      <c r="F512">
        <v>4.65E-2</v>
      </c>
      <c r="G512" s="13">
        <v>26.142859999999999</v>
      </c>
      <c r="H512">
        <v>5.0900000000000001E-2</v>
      </c>
      <c r="I512">
        <v>255</v>
      </c>
      <c r="J512">
        <v>5.8400000000000001E-2</v>
      </c>
      <c r="K512">
        <v>828.57142999999996</v>
      </c>
      <c r="L512">
        <v>5.79E-2</v>
      </c>
      <c r="M512" s="13">
        <v>1271.8571400000001</v>
      </c>
    </row>
    <row r="513" spans="1:13" x14ac:dyDescent="0.2">
      <c r="A513">
        <v>511</v>
      </c>
      <c r="B513">
        <v>19990325</v>
      </c>
      <c r="C513" s="13">
        <v>1</v>
      </c>
      <c r="D513" s="9">
        <v>4.4900000000000002E-2</v>
      </c>
      <c r="E513" s="13">
        <v>13.142860000000001</v>
      </c>
      <c r="F513">
        <v>4.5199999999999997E-2</v>
      </c>
      <c r="G513" s="13">
        <v>26.142859999999999</v>
      </c>
      <c r="H513">
        <v>5.11E-2</v>
      </c>
      <c r="I513">
        <v>254</v>
      </c>
      <c r="J513">
        <v>5.8900000000000001E-2</v>
      </c>
      <c r="K513">
        <v>827.57142999999996</v>
      </c>
      <c r="L513">
        <v>5.8299999999999998E-2</v>
      </c>
      <c r="M513" s="13">
        <v>1270.8571400000001</v>
      </c>
    </row>
    <row r="514" spans="1:13" x14ac:dyDescent="0.2">
      <c r="A514">
        <v>512</v>
      </c>
      <c r="B514">
        <v>19990401</v>
      </c>
      <c r="C514" s="13">
        <v>1</v>
      </c>
      <c r="D514" s="9">
        <v>4.4499999999999998E-2</v>
      </c>
      <c r="E514" s="13">
        <v>13.142860000000001</v>
      </c>
      <c r="F514">
        <v>4.5400000000000003E-2</v>
      </c>
      <c r="G514" s="13">
        <v>26.142859999999999</v>
      </c>
      <c r="H514">
        <v>5.1700000000000003E-2</v>
      </c>
      <c r="I514">
        <v>253</v>
      </c>
      <c r="J514">
        <v>5.9700000000000003E-2</v>
      </c>
      <c r="K514">
        <v>826.57142999999996</v>
      </c>
      <c r="L514">
        <v>5.9499999999999997E-2</v>
      </c>
      <c r="M514" s="13">
        <v>1269.8571400000001</v>
      </c>
    </row>
    <row r="515" spans="1:13" x14ac:dyDescent="0.2">
      <c r="A515">
        <v>513</v>
      </c>
      <c r="B515">
        <v>19990408</v>
      </c>
      <c r="C515" s="13">
        <v>1</v>
      </c>
      <c r="D515" s="9">
        <v>4.3900000000000002E-2</v>
      </c>
      <c r="E515" s="13">
        <v>13.142860000000001</v>
      </c>
      <c r="F515">
        <v>4.5199999999999997E-2</v>
      </c>
      <c r="G515" s="13">
        <v>26.142859999999999</v>
      </c>
      <c r="H515">
        <v>5.0900000000000001E-2</v>
      </c>
      <c r="I515">
        <v>252</v>
      </c>
      <c r="J515">
        <v>5.8400000000000001E-2</v>
      </c>
      <c r="K515">
        <v>825.57142999999996</v>
      </c>
      <c r="L515">
        <v>5.8400000000000001E-2</v>
      </c>
      <c r="M515" s="13">
        <v>1268.8571400000001</v>
      </c>
    </row>
    <row r="516" spans="1:13" x14ac:dyDescent="0.2">
      <c r="A516">
        <v>514</v>
      </c>
      <c r="B516">
        <v>19990415</v>
      </c>
      <c r="C516" s="13">
        <v>1</v>
      </c>
      <c r="D516" s="9">
        <v>4.2599999999999999E-2</v>
      </c>
      <c r="E516" s="13">
        <v>13.142860000000001</v>
      </c>
      <c r="F516">
        <v>4.48E-2</v>
      </c>
      <c r="G516" s="13">
        <v>26.142859999999999</v>
      </c>
      <c r="H516">
        <v>5.04E-2</v>
      </c>
      <c r="I516">
        <v>251</v>
      </c>
      <c r="J516">
        <v>5.8099999999999999E-2</v>
      </c>
      <c r="K516">
        <v>824.57142999999996</v>
      </c>
      <c r="L516">
        <v>5.8099999999999999E-2</v>
      </c>
      <c r="M516" s="13">
        <v>1267.8571400000001</v>
      </c>
    </row>
    <row r="517" spans="1:13" x14ac:dyDescent="0.2">
      <c r="A517">
        <v>515</v>
      </c>
      <c r="B517">
        <v>19990422</v>
      </c>
      <c r="C517" s="13">
        <v>1</v>
      </c>
      <c r="D517" s="9">
        <v>4.3540000000000002E-2</v>
      </c>
      <c r="E517" s="13">
        <v>13.142860000000001</v>
      </c>
      <c r="F517">
        <v>4.5100000000000001E-2</v>
      </c>
      <c r="G517" s="13">
        <v>26.142859999999999</v>
      </c>
      <c r="H517">
        <v>5.0700000000000002E-2</v>
      </c>
      <c r="I517">
        <v>250</v>
      </c>
      <c r="J517">
        <v>5.8400000000000001E-2</v>
      </c>
      <c r="K517">
        <v>823.57142999999996</v>
      </c>
      <c r="L517">
        <v>5.8299999999999998E-2</v>
      </c>
      <c r="M517" s="13">
        <v>1266.8571400000001</v>
      </c>
    </row>
    <row r="518" spans="1:13" x14ac:dyDescent="0.2">
      <c r="A518">
        <v>516</v>
      </c>
      <c r="B518">
        <v>19990429</v>
      </c>
      <c r="C518" s="13">
        <v>1</v>
      </c>
      <c r="D518" s="9">
        <v>4.4900000000000002E-2</v>
      </c>
      <c r="E518" s="13">
        <v>13.142860000000001</v>
      </c>
      <c r="F518">
        <v>4.5699999999999998E-2</v>
      </c>
      <c r="G518" s="13">
        <v>26.142859999999999</v>
      </c>
      <c r="H518">
        <v>5.1400000000000001E-2</v>
      </c>
      <c r="I518">
        <v>249</v>
      </c>
      <c r="J518">
        <v>5.91E-2</v>
      </c>
      <c r="K518">
        <v>822.57142999999996</v>
      </c>
      <c r="L518">
        <v>5.8799999999999998E-2</v>
      </c>
      <c r="M518" s="13">
        <v>1265.8571400000001</v>
      </c>
    </row>
    <row r="519" spans="1:13" x14ac:dyDescent="0.2">
      <c r="A519">
        <v>517</v>
      </c>
      <c r="B519">
        <v>19990506</v>
      </c>
      <c r="C519" s="13">
        <v>1</v>
      </c>
      <c r="D519" s="9">
        <v>4.58E-2</v>
      </c>
      <c r="E519" s="13">
        <v>13.142860000000001</v>
      </c>
      <c r="F519">
        <v>4.4499999999999998E-2</v>
      </c>
      <c r="G519" s="13">
        <v>26.142859999999999</v>
      </c>
      <c r="H519">
        <v>5.2600000000000001E-2</v>
      </c>
      <c r="I519">
        <v>248</v>
      </c>
      <c r="J519">
        <v>6.0699999999999997E-2</v>
      </c>
      <c r="K519">
        <v>821.57142999999996</v>
      </c>
      <c r="L519">
        <v>6.0100000000000001E-2</v>
      </c>
      <c r="M519" s="13">
        <v>1264.8571400000001</v>
      </c>
    </row>
    <row r="520" spans="1:13" x14ac:dyDescent="0.2">
      <c r="A520">
        <v>518</v>
      </c>
      <c r="B520">
        <v>19990513</v>
      </c>
      <c r="C520" s="13">
        <v>1</v>
      </c>
      <c r="D520" s="9">
        <v>4.5699999999999998E-2</v>
      </c>
      <c r="E520" s="13">
        <v>13.142860000000001</v>
      </c>
      <c r="F520">
        <v>4.6600000000000003E-2</v>
      </c>
      <c r="G520" s="13">
        <v>26.142859999999999</v>
      </c>
      <c r="H520">
        <v>5.4399999999999997E-2</v>
      </c>
      <c r="I520">
        <v>247</v>
      </c>
      <c r="J520">
        <v>6.1800000000000001E-2</v>
      </c>
      <c r="K520">
        <v>820.57142999999996</v>
      </c>
      <c r="L520">
        <v>6.0999999999999999E-2</v>
      </c>
      <c r="M520" s="13">
        <v>1263.8571400000001</v>
      </c>
    </row>
    <row r="521" spans="1:13" x14ac:dyDescent="0.2">
      <c r="A521">
        <v>519</v>
      </c>
      <c r="B521">
        <v>19990520</v>
      </c>
      <c r="C521" s="13">
        <v>1</v>
      </c>
      <c r="D521" s="9">
        <v>4.5900000000000003E-2</v>
      </c>
      <c r="E521" s="13">
        <v>13.142860000000001</v>
      </c>
      <c r="F521">
        <v>4.7399999999999998E-2</v>
      </c>
      <c r="G521" s="13">
        <v>26.142859999999999</v>
      </c>
      <c r="H521">
        <v>5.5899999999999998E-2</v>
      </c>
      <c r="I521">
        <v>246</v>
      </c>
      <c r="J521">
        <v>6.1600000000000002E-2</v>
      </c>
      <c r="K521">
        <v>819.57142999999996</v>
      </c>
      <c r="L521">
        <v>5.9900000000000002E-2</v>
      </c>
      <c r="M521" s="13">
        <v>1262.8571400000001</v>
      </c>
    </row>
    <row r="522" spans="1:13" x14ac:dyDescent="0.2">
      <c r="A522">
        <v>520</v>
      </c>
      <c r="B522">
        <v>19990527</v>
      </c>
      <c r="C522" s="13">
        <v>1</v>
      </c>
      <c r="D522" s="9">
        <v>4.6399999999999997E-2</v>
      </c>
      <c r="E522" s="13">
        <v>13.142860000000001</v>
      </c>
      <c r="F522">
        <v>4.7600000000000003E-2</v>
      </c>
      <c r="G522" s="13">
        <v>26.142859999999999</v>
      </c>
      <c r="H522">
        <v>5.57E-2</v>
      </c>
      <c r="I522">
        <v>245</v>
      </c>
      <c r="J522">
        <v>6.1800000000000001E-2</v>
      </c>
      <c r="K522">
        <v>818.57142999999996</v>
      </c>
      <c r="L522">
        <v>6.0400000000000002E-2</v>
      </c>
      <c r="M522" s="13">
        <v>1261.8571400000001</v>
      </c>
    </row>
    <row r="523" spans="1:13" x14ac:dyDescent="0.2">
      <c r="A523">
        <v>521</v>
      </c>
      <c r="B523">
        <v>19990603</v>
      </c>
      <c r="C523" s="13">
        <v>1</v>
      </c>
      <c r="D523" s="9">
        <v>4.87E-2</v>
      </c>
      <c r="E523" s="13">
        <v>13.142860000000001</v>
      </c>
      <c r="F523">
        <v>4.9299999999999997E-2</v>
      </c>
      <c r="G523" s="13">
        <v>26.142859999999999</v>
      </c>
      <c r="H523">
        <v>5.8900000000000001E-2</v>
      </c>
      <c r="I523">
        <v>270</v>
      </c>
      <c r="J523">
        <v>6.2700000000000006E-2</v>
      </c>
      <c r="K523">
        <v>817.57142999999996</v>
      </c>
      <c r="L523">
        <v>6.1400000000000003E-2</v>
      </c>
      <c r="M523" s="13">
        <v>1329.57143</v>
      </c>
    </row>
    <row r="524" spans="1:13" x14ac:dyDescent="0.2">
      <c r="A524">
        <v>522</v>
      </c>
      <c r="B524">
        <v>19990610</v>
      </c>
      <c r="C524" s="13">
        <v>1</v>
      </c>
      <c r="D524" s="9">
        <v>4.5699999999999998E-2</v>
      </c>
      <c r="E524" s="13">
        <v>13.142860000000001</v>
      </c>
      <c r="F524">
        <v>4.9700000000000001E-2</v>
      </c>
      <c r="G524" s="13">
        <v>26.142859999999999</v>
      </c>
      <c r="H524">
        <v>5.9400000000000001E-2</v>
      </c>
      <c r="I524">
        <v>269</v>
      </c>
      <c r="J524">
        <v>6.3600000000000004E-2</v>
      </c>
      <c r="K524">
        <v>816.57142999999996</v>
      </c>
      <c r="L524">
        <v>6.2100000000000002E-2</v>
      </c>
      <c r="M524" s="13">
        <v>1328.57143</v>
      </c>
    </row>
    <row r="525" spans="1:13" x14ac:dyDescent="0.2">
      <c r="A525">
        <v>523</v>
      </c>
      <c r="B525">
        <v>19990617</v>
      </c>
      <c r="C525" s="13">
        <v>1</v>
      </c>
      <c r="D525" s="9">
        <v>4.7E-2</v>
      </c>
      <c r="E525" s="13">
        <v>13.142860000000001</v>
      </c>
      <c r="F525">
        <v>5.0299999999999997E-2</v>
      </c>
      <c r="G525" s="13">
        <v>26.142859999999999</v>
      </c>
      <c r="H525">
        <v>5.9900000000000002E-2</v>
      </c>
      <c r="I525">
        <v>268</v>
      </c>
      <c r="J525">
        <v>6.4699999999999994E-2</v>
      </c>
      <c r="K525">
        <v>815.57142999999996</v>
      </c>
      <c r="L525">
        <v>6.3100000000000003E-2</v>
      </c>
      <c r="M525" s="13">
        <v>1327.57143</v>
      </c>
    </row>
    <row r="526" spans="1:13" x14ac:dyDescent="0.2">
      <c r="A526">
        <v>524</v>
      </c>
      <c r="B526">
        <v>19990624</v>
      </c>
      <c r="C526" s="13">
        <v>1</v>
      </c>
      <c r="D526" s="9">
        <v>4.6399999999999997E-2</v>
      </c>
      <c r="E526" s="13">
        <v>13.142860000000001</v>
      </c>
      <c r="F526">
        <v>5.0299999999999997E-2</v>
      </c>
      <c r="G526" s="13">
        <v>26.142859999999999</v>
      </c>
      <c r="H526">
        <v>6.0499999999999998E-2</v>
      </c>
      <c r="I526">
        <v>267</v>
      </c>
      <c r="J526">
        <v>6.5199999999999994E-2</v>
      </c>
      <c r="K526">
        <v>814.57142999999996</v>
      </c>
      <c r="L526">
        <v>6.3600000000000004E-2</v>
      </c>
      <c r="M526" s="13">
        <v>1326.57143</v>
      </c>
    </row>
    <row r="527" spans="1:13" x14ac:dyDescent="0.2">
      <c r="A527">
        <v>525</v>
      </c>
      <c r="B527">
        <v>19990701</v>
      </c>
      <c r="C527" s="13">
        <v>1</v>
      </c>
      <c r="D527" s="9">
        <v>4.7800000000000002E-2</v>
      </c>
      <c r="E527" s="13">
        <v>13.142860000000001</v>
      </c>
      <c r="F527">
        <v>5.0999999999999997E-2</v>
      </c>
      <c r="G527" s="13">
        <v>26.142859999999999</v>
      </c>
      <c r="H527">
        <v>5.8099999999999999E-2</v>
      </c>
      <c r="I527">
        <v>266</v>
      </c>
      <c r="J527">
        <v>6.3399999999999998E-2</v>
      </c>
      <c r="K527">
        <v>813.57142999999996</v>
      </c>
      <c r="L527">
        <v>6.2E-2</v>
      </c>
      <c r="M527" s="13">
        <v>1325.57143</v>
      </c>
    </row>
    <row r="528" spans="1:13" x14ac:dyDescent="0.2">
      <c r="A528">
        <v>526</v>
      </c>
      <c r="B528">
        <v>19990708</v>
      </c>
      <c r="C528" s="13">
        <v>1</v>
      </c>
      <c r="D528" s="9">
        <v>4.65E-2</v>
      </c>
      <c r="E528" s="13">
        <v>13.142860000000001</v>
      </c>
      <c r="F528">
        <v>4.7100000000000003E-2</v>
      </c>
      <c r="G528" s="13">
        <v>26.142859999999999</v>
      </c>
      <c r="H528">
        <v>5.91E-2</v>
      </c>
      <c r="I528">
        <v>265</v>
      </c>
      <c r="J528">
        <v>6.4299999999999996E-2</v>
      </c>
      <c r="K528">
        <v>812.57142999999996</v>
      </c>
      <c r="L528">
        <v>6.2199999999999998E-2</v>
      </c>
      <c r="M528" s="13">
        <v>1324.57143</v>
      </c>
    </row>
    <row r="529" spans="1:13" x14ac:dyDescent="0.2">
      <c r="A529">
        <v>527</v>
      </c>
      <c r="B529">
        <v>19990715</v>
      </c>
      <c r="C529" s="13">
        <v>1</v>
      </c>
      <c r="D529" s="9">
        <v>4.7E-2</v>
      </c>
      <c r="E529" s="13">
        <v>13.142860000000001</v>
      </c>
      <c r="F529">
        <v>4.6699999999999998E-2</v>
      </c>
      <c r="G529" s="13">
        <v>26.142859999999999</v>
      </c>
      <c r="H529">
        <v>5.7500000000000002E-2</v>
      </c>
      <c r="I529">
        <v>264</v>
      </c>
      <c r="J529">
        <v>6.2199999999999998E-2</v>
      </c>
      <c r="K529">
        <v>811.57142999999996</v>
      </c>
      <c r="L529">
        <v>6.08E-2</v>
      </c>
      <c r="M529" s="13">
        <v>1323.57143</v>
      </c>
    </row>
    <row r="530" spans="1:13" x14ac:dyDescent="0.2">
      <c r="A530">
        <v>528</v>
      </c>
      <c r="B530">
        <v>19990722</v>
      </c>
      <c r="C530" s="13">
        <v>1</v>
      </c>
      <c r="D530" s="9">
        <v>4.5699999999999998E-2</v>
      </c>
      <c r="E530" s="13">
        <v>13.142860000000001</v>
      </c>
      <c r="F530">
        <v>4.6300000000000001E-2</v>
      </c>
      <c r="G530" s="13">
        <v>26.142859999999999</v>
      </c>
      <c r="H530">
        <v>5.6599999999999998E-2</v>
      </c>
      <c r="I530">
        <v>263</v>
      </c>
      <c r="J530">
        <v>6.3299999999999995E-2</v>
      </c>
      <c r="K530">
        <v>810.57142999999996</v>
      </c>
      <c r="L530">
        <v>6.1100000000000002E-2</v>
      </c>
      <c r="M530" s="13">
        <v>1322.57143</v>
      </c>
    </row>
    <row r="531" spans="1:13" x14ac:dyDescent="0.2">
      <c r="A531">
        <v>529</v>
      </c>
      <c r="B531">
        <v>19990729</v>
      </c>
      <c r="C531" s="13">
        <v>1</v>
      </c>
      <c r="D531" s="9">
        <v>4.6899999999999997E-2</v>
      </c>
      <c r="E531" s="13">
        <v>13.142860000000001</v>
      </c>
      <c r="F531">
        <v>4.7399999999999998E-2</v>
      </c>
      <c r="G531" s="13">
        <v>26.142859999999999</v>
      </c>
      <c r="H531">
        <v>5.8500000000000003E-2</v>
      </c>
      <c r="I531">
        <v>262</v>
      </c>
      <c r="J531">
        <v>6.3299999999999995E-2</v>
      </c>
      <c r="K531">
        <v>809.57142999999996</v>
      </c>
      <c r="L531">
        <v>6.1699999999999998E-2</v>
      </c>
      <c r="M531" s="13">
        <v>1321.57143</v>
      </c>
    </row>
    <row r="532" spans="1:13" x14ac:dyDescent="0.2">
      <c r="A532">
        <v>530</v>
      </c>
      <c r="B532">
        <v>19990805</v>
      </c>
      <c r="C532" s="13">
        <v>1</v>
      </c>
      <c r="D532" s="9">
        <v>4.7699999999999999E-2</v>
      </c>
      <c r="E532" s="13">
        <v>13.142860000000001</v>
      </c>
      <c r="F532">
        <v>4.9799999999999997E-2</v>
      </c>
      <c r="G532" s="13">
        <v>26.142859999999999</v>
      </c>
      <c r="H532">
        <v>5.9499999999999997E-2</v>
      </c>
      <c r="I532">
        <v>261</v>
      </c>
      <c r="J532">
        <v>6.3899999999999998E-2</v>
      </c>
      <c r="K532">
        <v>808.57142999999996</v>
      </c>
      <c r="L532">
        <v>6.2700000000000006E-2</v>
      </c>
      <c r="M532" s="13">
        <v>1320.57143</v>
      </c>
    </row>
    <row r="533" spans="1:13" x14ac:dyDescent="0.2">
      <c r="A533">
        <v>531</v>
      </c>
      <c r="B533">
        <v>19990812</v>
      </c>
      <c r="C533" s="13">
        <v>1</v>
      </c>
      <c r="D533" s="9">
        <v>4.8899999999999999E-2</v>
      </c>
      <c r="E533" s="13">
        <v>13.142860000000001</v>
      </c>
      <c r="F533">
        <v>5.0799999999999998E-2</v>
      </c>
      <c r="G533" s="13">
        <v>26.142859999999999</v>
      </c>
      <c r="H533">
        <v>6.1600000000000002E-2</v>
      </c>
      <c r="I533">
        <v>260</v>
      </c>
      <c r="J533">
        <v>6.4600000000000005E-2</v>
      </c>
      <c r="K533">
        <v>807.57142999999996</v>
      </c>
      <c r="L533">
        <v>6.3600000000000004E-2</v>
      </c>
      <c r="M533" s="13">
        <v>1319.57143</v>
      </c>
    </row>
    <row r="534" spans="1:13" x14ac:dyDescent="0.2">
      <c r="A534">
        <v>532</v>
      </c>
      <c r="B534">
        <v>19990819</v>
      </c>
      <c r="C534" s="13">
        <v>1</v>
      </c>
      <c r="D534" s="9">
        <v>4.7399999999999998E-2</v>
      </c>
      <c r="E534" s="13">
        <v>13.142860000000001</v>
      </c>
      <c r="F534">
        <v>5.04E-2</v>
      </c>
      <c r="G534" s="13">
        <v>26.142859999999999</v>
      </c>
      <c r="H534">
        <v>5.9900000000000002E-2</v>
      </c>
      <c r="I534">
        <v>259</v>
      </c>
      <c r="J534">
        <v>6.3700000000000007E-2</v>
      </c>
      <c r="K534">
        <v>806.57142999999996</v>
      </c>
      <c r="L534">
        <v>6.25E-2</v>
      </c>
      <c r="M534" s="13">
        <v>1318.57143</v>
      </c>
    </row>
    <row r="535" spans="1:13" x14ac:dyDescent="0.2">
      <c r="A535">
        <v>533</v>
      </c>
      <c r="B535">
        <v>19990826</v>
      </c>
      <c r="C535" s="13">
        <v>1</v>
      </c>
      <c r="D535" s="9">
        <v>4.9099999999999998E-2</v>
      </c>
      <c r="E535" s="13">
        <v>13.142860000000001</v>
      </c>
      <c r="F535">
        <v>5.0500000000000003E-2</v>
      </c>
      <c r="G535" s="13">
        <v>26.142859999999999</v>
      </c>
      <c r="H535">
        <v>5.7299999999999997E-2</v>
      </c>
      <c r="I535">
        <v>258</v>
      </c>
      <c r="J535">
        <v>6.3299999999999995E-2</v>
      </c>
      <c r="K535">
        <v>805.57142999999996</v>
      </c>
      <c r="L535">
        <v>6.1199999999999997E-2</v>
      </c>
      <c r="M535" s="13">
        <v>1317.57143</v>
      </c>
    </row>
    <row r="536" spans="1:13" x14ac:dyDescent="0.2">
      <c r="A536">
        <v>534</v>
      </c>
      <c r="B536">
        <v>19990902</v>
      </c>
      <c r="C536" s="13">
        <v>1</v>
      </c>
      <c r="D536" s="9">
        <v>4.9399999999999999E-2</v>
      </c>
      <c r="E536" s="13">
        <v>13.142860000000001</v>
      </c>
      <c r="F536">
        <v>5.1900000000000002E-2</v>
      </c>
      <c r="G536" s="13">
        <v>26.142859999999999</v>
      </c>
      <c r="H536">
        <v>5.9799999999999999E-2</v>
      </c>
      <c r="I536">
        <v>257</v>
      </c>
      <c r="J536">
        <v>6.54E-2</v>
      </c>
      <c r="K536">
        <v>804.57142999999996</v>
      </c>
      <c r="L536">
        <v>6.3500000000000001E-2</v>
      </c>
      <c r="M536" s="13">
        <v>1316.57143</v>
      </c>
    </row>
    <row r="537" spans="1:13" x14ac:dyDescent="0.2">
      <c r="A537">
        <v>535</v>
      </c>
      <c r="B537">
        <v>19990909</v>
      </c>
      <c r="C537" s="13">
        <v>1</v>
      </c>
      <c r="D537" s="9">
        <v>4.8099999999999997E-2</v>
      </c>
      <c r="E537" s="13">
        <v>13.142860000000001</v>
      </c>
      <c r="F537">
        <v>5.1400000000000001E-2</v>
      </c>
      <c r="G537" s="13">
        <v>26.142859999999999</v>
      </c>
      <c r="H537">
        <v>5.91E-2</v>
      </c>
      <c r="I537">
        <v>256</v>
      </c>
      <c r="J537">
        <v>6.5000000000000002E-2</v>
      </c>
      <c r="K537">
        <v>803.57142999999996</v>
      </c>
      <c r="L537">
        <v>6.3399999999999998E-2</v>
      </c>
      <c r="M537" s="13">
        <v>1315.57143</v>
      </c>
    </row>
    <row r="538" spans="1:13" x14ac:dyDescent="0.2">
      <c r="A538">
        <v>536</v>
      </c>
      <c r="B538">
        <v>19990916</v>
      </c>
      <c r="C538" s="13">
        <v>1</v>
      </c>
      <c r="D538" s="9">
        <v>4.7399999999999998E-2</v>
      </c>
      <c r="E538" s="13">
        <v>13.142860000000001</v>
      </c>
      <c r="F538">
        <v>5.0900000000000001E-2</v>
      </c>
      <c r="G538" s="13">
        <v>26.142859999999999</v>
      </c>
      <c r="H538">
        <v>5.9700000000000003E-2</v>
      </c>
      <c r="I538">
        <v>255</v>
      </c>
      <c r="J538">
        <v>6.6199999999999995E-2</v>
      </c>
      <c r="K538">
        <v>802.57142999999996</v>
      </c>
      <c r="L538">
        <v>6.4100000000000004E-2</v>
      </c>
      <c r="M538" s="13">
        <v>1314.57143</v>
      </c>
    </row>
    <row r="539" spans="1:13" x14ac:dyDescent="0.2">
      <c r="A539">
        <v>537</v>
      </c>
      <c r="B539">
        <v>19990923</v>
      </c>
      <c r="C539" s="13">
        <v>1</v>
      </c>
      <c r="D539" s="9">
        <v>4.7600000000000003E-2</v>
      </c>
      <c r="E539" s="13">
        <v>13.142860000000001</v>
      </c>
      <c r="F539">
        <v>5.0500000000000003E-2</v>
      </c>
      <c r="G539" s="13">
        <v>26.142859999999999</v>
      </c>
      <c r="H539">
        <v>5.91E-2</v>
      </c>
      <c r="I539">
        <v>254</v>
      </c>
      <c r="J539">
        <v>6.5500000000000003E-2</v>
      </c>
      <c r="K539">
        <v>801.57142999999996</v>
      </c>
      <c r="L539">
        <v>6.3600000000000004E-2</v>
      </c>
      <c r="M539" s="13">
        <v>1313.57143</v>
      </c>
    </row>
    <row r="540" spans="1:13" x14ac:dyDescent="0.2">
      <c r="A540">
        <v>538</v>
      </c>
      <c r="B540">
        <v>19990930</v>
      </c>
      <c r="C540" s="13">
        <v>1</v>
      </c>
      <c r="D540" s="9">
        <v>4.8300000000000003E-2</v>
      </c>
      <c r="E540" s="13">
        <v>13.142860000000001</v>
      </c>
      <c r="F540">
        <v>4.9000000000000002E-2</v>
      </c>
      <c r="G540" s="13">
        <v>26.142859999999999</v>
      </c>
      <c r="H540">
        <v>5.96E-2</v>
      </c>
      <c r="I540">
        <v>253</v>
      </c>
      <c r="J540">
        <v>6.6100000000000006E-2</v>
      </c>
      <c r="K540">
        <v>800.57142999999996</v>
      </c>
      <c r="L540">
        <v>6.4100000000000004E-2</v>
      </c>
      <c r="M540" s="13">
        <v>1312.57143</v>
      </c>
    </row>
    <row r="541" spans="1:13" x14ac:dyDescent="0.2">
      <c r="A541">
        <v>539</v>
      </c>
      <c r="B541">
        <v>19991007</v>
      </c>
      <c r="C541" s="13">
        <v>1</v>
      </c>
      <c r="D541" s="9">
        <v>4.8399999999999999E-2</v>
      </c>
      <c r="E541" s="13">
        <v>13.142860000000001</v>
      </c>
      <c r="F541">
        <v>5.0500000000000003E-2</v>
      </c>
      <c r="G541" s="13">
        <v>26.142859999999999</v>
      </c>
      <c r="H541">
        <v>6.0699999999999997E-2</v>
      </c>
      <c r="I541">
        <v>252</v>
      </c>
      <c r="J541">
        <v>6.6799999999999998E-2</v>
      </c>
      <c r="K541">
        <v>799.57142999999996</v>
      </c>
      <c r="L541">
        <v>6.4500000000000002E-2</v>
      </c>
      <c r="M541" s="13">
        <v>1311.57143</v>
      </c>
    </row>
    <row r="542" spans="1:13" x14ac:dyDescent="0.2">
      <c r="A542">
        <v>540</v>
      </c>
      <c r="B542">
        <v>19991014</v>
      </c>
      <c r="C542" s="13">
        <v>1</v>
      </c>
      <c r="D542" s="9">
        <v>4.8099999999999997E-2</v>
      </c>
      <c r="E542" s="13">
        <v>13.142860000000001</v>
      </c>
      <c r="F542">
        <v>5.0799999999999998E-2</v>
      </c>
      <c r="G542" s="13">
        <v>26.142859999999999</v>
      </c>
      <c r="H542">
        <v>6.1400000000000003E-2</v>
      </c>
      <c r="I542">
        <v>251</v>
      </c>
      <c r="J542">
        <v>6.7599999999999993E-2</v>
      </c>
      <c r="K542">
        <v>798.57142999999996</v>
      </c>
      <c r="L542">
        <v>6.54E-2</v>
      </c>
      <c r="M542" s="13">
        <v>1310.57143</v>
      </c>
    </row>
    <row r="543" spans="1:13" x14ac:dyDescent="0.2">
      <c r="A543">
        <v>541</v>
      </c>
      <c r="B543">
        <v>19991021</v>
      </c>
      <c r="C543" s="13">
        <v>1</v>
      </c>
      <c r="D543" s="9">
        <v>5.1200000000000002E-2</v>
      </c>
      <c r="E543" s="13">
        <v>13.142860000000001</v>
      </c>
      <c r="F543">
        <v>5.2200000000000003E-2</v>
      </c>
      <c r="G543" s="13">
        <v>26.142859999999999</v>
      </c>
      <c r="H543">
        <v>6.1800000000000001E-2</v>
      </c>
      <c r="I543">
        <v>250</v>
      </c>
      <c r="J543">
        <v>6.8199999999999997E-2</v>
      </c>
      <c r="K543">
        <v>797.57142999999996</v>
      </c>
      <c r="L543">
        <v>6.5699999999999995E-2</v>
      </c>
      <c r="M543" s="13">
        <v>1309.57143</v>
      </c>
    </row>
    <row r="544" spans="1:13" x14ac:dyDescent="0.2">
      <c r="A544">
        <v>542</v>
      </c>
      <c r="B544">
        <v>19991028</v>
      </c>
      <c r="C544" s="13">
        <v>1</v>
      </c>
      <c r="D544" s="9">
        <v>5.11E-2</v>
      </c>
      <c r="E544" s="13">
        <v>13.142860000000001</v>
      </c>
      <c r="F544">
        <v>5.2999999999999999E-2</v>
      </c>
      <c r="G544" s="13">
        <v>26.142859999999999</v>
      </c>
      <c r="H544">
        <v>6.2E-2</v>
      </c>
      <c r="I544">
        <v>249</v>
      </c>
      <c r="J544">
        <v>6.7799999999999999E-2</v>
      </c>
      <c r="K544">
        <v>796.57142999999996</v>
      </c>
      <c r="L544">
        <v>6.54E-2</v>
      </c>
      <c r="M544" s="13">
        <v>1308.57143</v>
      </c>
    </row>
    <row r="545" spans="1:13" x14ac:dyDescent="0.2">
      <c r="A545">
        <v>543</v>
      </c>
      <c r="B545">
        <v>19991104</v>
      </c>
      <c r="C545" s="13">
        <v>1</v>
      </c>
      <c r="D545" s="9">
        <v>5.0799999999999998E-2</v>
      </c>
      <c r="E545" s="13">
        <v>13.142860000000001</v>
      </c>
      <c r="F545">
        <v>5.2999999999999999E-2</v>
      </c>
      <c r="G545" s="13">
        <v>26.142859999999999</v>
      </c>
      <c r="H545">
        <v>6.0199999999999997E-2</v>
      </c>
      <c r="I545">
        <v>248</v>
      </c>
      <c r="J545">
        <v>6.5500000000000003E-2</v>
      </c>
      <c r="K545">
        <v>795.57142999999996</v>
      </c>
      <c r="L545">
        <v>6.3500000000000001E-2</v>
      </c>
      <c r="M545" s="13">
        <v>1307.57143</v>
      </c>
    </row>
    <row r="546" spans="1:13" x14ac:dyDescent="0.2">
      <c r="A546">
        <v>544</v>
      </c>
      <c r="B546">
        <v>19991111</v>
      </c>
      <c r="C546" s="13">
        <v>1</v>
      </c>
      <c r="D546" s="9">
        <v>5.1700000000000003E-2</v>
      </c>
      <c r="E546" s="13">
        <v>13.142860000000001</v>
      </c>
      <c r="F546">
        <v>5.3800000000000001E-2</v>
      </c>
      <c r="G546" s="13">
        <v>26.142859999999999</v>
      </c>
      <c r="H546">
        <v>6.0100000000000001E-2</v>
      </c>
      <c r="I546">
        <v>247</v>
      </c>
      <c r="J546">
        <v>6.4799999999999996E-2</v>
      </c>
      <c r="K546">
        <v>794.57142999999996</v>
      </c>
      <c r="L546">
        <v>6.2799999999999995E-2</v>
      </c>
      <c r="M546" s="13">
        <v>1306.57143</v>
      </c>
    </row>
    <row r="547" spans="1:13" x14ac:dyDescent="0.2">
      <c r="A547">
        <v>545</v>
      </c>
      <c r="B547">
        <v>19991118</v>
      </c>
      <c r="C547" s="13">
        <v>1</v>
      </c>
      <c r="D547" s="9">
        <v>5.2200000000000003E-2</v>
      </c>
      <c r="E547" s="13">
        <v>13.142860000000001</v>
      </c>
      <c r="F547">
        <v>5.4100000000000002E-2</v>
      </c>
      <c r="G547" s="13">
        <v>26.142859999999999</v>
      </c>
      <c r="H547">
        <v>6.0400000000000002E-2</v>
      </c>
      <c r="I547">
        <v>246</v>
      </c>
      <c r="J547">
        <v>6.5299999999999997E-2</v>
      </c>
      <c r="K547">
        <v>793.57142999999996</v>
      </c>
      <c r="L547">
        <v>6.3E-2</v>
      </c>
      <c r="M547" s="13">
        <v>1305.57143</v>
      </c>
    </row>
    <row r="548" spans="1:13" x14ac:dyDescent="0.2">
      <c r="A548">
        <v>546</v>
      </c>
      <c r="B548">
        <v>19991126</v>
      </c>
      <c r="C548" s="13">
        <v>1</v>
      </c>
      <c r="D548" s="9">
        <v>5.2600000000000001E-2</v>
      </c>
      <c r="E548" s="13">
        <v>13.142860000000001</v>
      </c>
      <c r="F548">
        <v>5.4899999999999997E-2</v>
      </c>
      <c r="G548" s="13">
        <v>26.142859999999999</v>
      </c>
      <c r="H548">
        <v>6.0999999999999999E-2</v>
      </c>
      <c r="I548">
        <v>245</v>
      </c>
      <c r="J548">
        <v>6.6500000000000004E-2</v>
      </c>
      <c r="K548">
        <v>792.57142999999996</v>
      </c>
      <c r="L548">
        <v>6.3700000000000007E-2</v>
      </c>
      <c r="M548" s="13">
        <v>1304.57143</v>
      </c>
    </row>
    <row r="549" spans="1:13" x14ac:dyDescent="0.2">
      <c r="A549">
        <v>547</v>
      </c>
      <c r="B549">
        <v>19991202</v>
      </c>
      <c r="C549" s="13">
        <v>1</v>
      </c>
      <c r="D549" s="9">
        <v>5.2400000000000002E-2</v>
      </c>
      <c r="E549" s="13">
        <v>13.142860000000001</v>
      </c>
      <c r="F549">
        <v>5.5399999999999998E-2</v>
      </c>
      <c r="G549" s="13">
        <v>26.142859999999999</v>
      </c>
      <c r="H549">
        <v>6.2300000000000001E-2</v>
      </c>
      <c r="I549">
        <v>244</v>
      </c>
      <c r="J549">
        <v>6.7500000000000004E-2</v>
      </c>
      <c r="K549">
        <v>791.57142999999996</v>
      </c>
      <c r="L549">
        <v>6.4699999999999994E-2</v>
      </c>
      <c r="M549" s="13">
        <v>1303.57143</v>
      </c>
    </row>
    <row r="550" spans="1:13" x14ac:dyDescent="0.2">
      <c r="A550">
        <v>548</v>
      </c>
      <c r="B550">
        <v>19991209</v>
      </c>
      <c r="C550" s="13">
        <v>1</v>
      </c>
      <c r="D550" s="9">
        <v>5.1999999999999998E-2</v>
      </c>
      <c r="E550" s="13">
        <v>13.142860000000001</v>
      </c>
      <c r="F550">
        <v>5.5300000000000002E-2</v>
      </c>
      <c r="G550" s="13">
        <v>26.142859999999999</v>
      </c>
      <c r="H550">
        <v>6.1199999999999997E-2</v>
      </c>
      <c r="I550">
        <v>243</v>
      </c>
      <c r="J550">
        <v>6.6600000000000006E-2</v>
      </c>
      <c r="K550">
        <v>790.57142999999996</v>
      </c>
      <c r="L550">
        <v>6.3799999999999996E-2</v>
      </c>
      <c r="M550" s="13">
        <v>1302.57143</v>
      </c>
    </row>
    <row r="551" spans="1:13" x14ac:dyDescent="0.2">
      <c r="A551">
        <v>549</v>
      </c>
      <c r="B551">
        <v>19991216</v>
      </c>
      <c r="C551" s="13">
        <v>1</v>
      </c>
      <c r="D551" s="9">
        <v>5.3600000000000002E-2</v>
      </c>
      <c r="E551" s="13">
        <v>13.142860000000001</v>
      </c>
      <c r="F551">
        <v>5.67E-2</v>
      </c>
      <c r="G551" s="13">
        <v>26.142859999999999</v>
      </c>
      <c r="H551">
        <v>6.2100000000000002E-2</v>
      </c>
      <c r="I551">
        <v>242</v>
      </c>
      <c r="J551">
        <v>6.7699999999999996E-2</v>
      </c>
      <c r="K551">
        <v>789.57142999999996</v>
      </c>
      <c r="L551">
        <v>6.4799999999999996E-2</v>
      </c>
      <c r="M551" s="13">
        <v>1301.57143</v>
      </c>
    </row>
    <row r="552" spans="1:13" x14ac:dyDescent="0.2">
      <c r="A552">
        <v>550</v>
      </c>
      <c r="B552">
        <v>19991223</v>
      </c>
      <c r="C552" s="13">
        <v>1</v>
      </c>
      <c r="D552" s="9">
        <v>5.5199999999999999E-2</v>
      </c>
      <c r="E552" s="13">
        <v>13.142860000000001</v>
      </c>
      <c r="F552">
        <v>5.7799999999999997E-2</v>
      </c>
      <c r="G552" s="13">
        <v>26.142859999999999</v>
      </c>
      <c r="H552">
        <v>6.3799999999999996E-2</v>
      </c>
      <c r="I552">
        <v>241</v>
      </c>
      <c r="J552">
        <v>6.9099999999999995E-2</v>
      </c>
      <c r="K552">
        <v>788.57142999999996</v>
      </c>
      <c r="L552">
        <v>6.6199999999999995E-2</v>
      </c>
      <c r="M552" s="13">
        <v>1300.57143</v>
      </c>
    </row>
    <row r="553" spans="1:13" x14ac:dyDescent="0.2">
      <c r="A553">
        <v>551</v>
      </c>
      <c r="B553">
        <v>19991230</v>
      </c>
      <c r="C553" s="13">
        <v>1</v>
      </c>
      <c r="D553" s="9">
        <v>5.2200000000000003E-2</v>
      </c>
      <c r="E553" s="13">
        <v>13.142860000000001</v>
      </c>
      <c r="F553">
        <v>5.6500000000000002E-2</v>
      </c>
      <c r="G553" s="13">
        <v>26.142859999999999</v>
      </c>
      <c r="H553">
        <v>6.3799999999999996E-2</v>
      </c>
      <c r="I553">
        <v>240</v>
      </c>
      <c r="J553">
        <v>6.8699999999999997E-2</v>
      </c>
      <c r="K553">
        <v>787.57142999999996</v>
      </c>
      <c r="L553">
        <v>6.59E-2</v>
      </c>
      <c r="M553" s="13">
        <v>1299.57143</v>
      </c>
    </row>
    <row r="554" spans="1:13" x14ac:dyDescent="0.2">
      <c r="A554">
        <v>552</v>
      </c>
      <c r="B554">
        <v>20000106</v>
      </c>
      <c r="C554" s="13">
        <v>1</v>
      </c>
      <c r="D554" s="9">
        <v>5.3999999999999999E-2</v>
      </c>
      <c r="E554" s="13">
        <v>13.142860000000001</v>
      </c>
      <c r="F554">
        <v>5.7000000000000002E-2</v>
      </c>
      <c r="G554" s="13">
        <v>26.142859999999999</v>
      </c>
      <c r="H554">
        <v>6.6199999999999995E-2</v>
      </c>
      <c r="I554">
        <v>265.42856999999998</v>
      </c>
      <c r="J554">
        <v>7.0099999999999996E-2</v>
      </c>
      <c r="K554">
        <v>786.57142999999996</v>
      </c>
      <c r="L554">
        <v>6.7199999999999996E-2</v>
      </c>
      <c r="M554" s="13">
        <v>1311.8571400000001</v>
      </c>
    </row>
    <row r="555" spans="1:13" x14ac:dyDescent="0.2">
      <c r="A555">
        <v>553</v>
      </c>
      <c r="B555">
        <v>20000113</v>
      </c>
      <c r="C555" s="13">
        <v>1</v>
      </c>
      <c r="D555" s="9">
        <v>5.4199999999999998E-2</v>
      </c>
      <c r="E555" s="13">
        <v>13.142860000000001</v>
      </c>
      <c r="F555">
        <v>5.6599999999999998E-2</v>
      </c>
      <c r="G555" s="13">
        <v>26.142859999999999</v>
      </c>
      <c r="H555">
        <v>6.6900000000000001E-2</v>
      </c>
      <c r="I555">
        <v>264.42856999999998</v>
      </c>
      <c r="J555">
        <v>7.0300000000000001E-2</v>
      </c>
      <c r="K555">
        <v>785.57142999999996</v>
      </c>
      <c r="L555">
        <v>6.7400000000000002E-2</v>
      </c>
      <c r="M555" s="13">
        <v>1310.8571400000001</v>
      </c>
    </row>
    <row r="556" spans="1:13" x14ac:dyDescent="0.2">
      <c r="A556">
        <v>554</v>
      </c>
      <c r="B556">
        <v>20000120</v>
      </c>
      <c r="C556" s="13">
        <v>1</v>
      </c>
      <c r="D556" s="9">
        <v>5.4899999999999997E-2</v>
      </c>
      <c r="E556" s="13">
        <v>13.142860000000001</v>
      </c>
      <c r="F556">
        <v>5.7599999999999998E-2</v>
      </c>
      <c r="G556" s="13">
        <v>26.142859999999999</v>
      </c>
      <c r="H556">
        <v>6.6299999999999998E-2</v>
      </c>
      <c r="I556">
        <v>263.42856999999998</v>
      </c>
      <c r="J556">
        <v>6.9599999999999995E-2</v>
      </c>
      <c r="K556">
        <v>784.57142999999996</v>
      </c>
      <c r="L556">
        <v>6.7699999999999996E-2</v>
      </c>
      <c r="M556" s="13">
        <v>1309.8571400000001</v>
      </c>
    </row>
    <row r="557" spans="1:13" x14ac:dyDescent="0.2">
      <c r="A557">
        <v>555</v>
      </c>
      <c r="B557">
        <v>20000127</v>
      </c>
      <c r="C557" s="13">
        <v>1</v>
      </c>
      <c r="D557" s="9">
        <v>5.5500000000000001E-2</v>
      </c>
      <c r="E557" s="13">
        <v>13.142860000000001</v>
      </c>
      <c r="F557">
        <v>5.7599999999999998E-2</v>
      </c>
      <c r="G557" s="13">
        <v>26.142859999999999</v>
      </c>
      <c r="H557">
        <v>6.6100000000000006E-2</v>
      </c>
      <c r="I557">
        <v>262.42856999999998</v>
      </c>
      <c r="J557">
        <v>6.8199999999999997E-2</v>
      </c>
      <c r="K557">
        <v>783.57142999999996</v>
      </c>
      <c r="L557">
        <v>6.5699999999999995E-2</v>
      </c>
      <c r="M557" s="13">
        <v>1308.8571400000001</v>
      </c>
    </row>
    <row r="558" spans="1:13" x14ac:dyDescent="0.2">
      <c r="A558">
        <v>556</v>
      </c>
      <c r="B558">
        <v>20000203</v>
      </c>
      <c r="C558" s="13">
        <v>1</v>
      </c>
      <c r="D558" s="9">
        <v>5.62E-2</v>
      </c>
      <c r="E558" s="13">
        <v>13.142860000000001</v>
      </c>
      <c r="F558">
        <v>5.9200000000000003E-2</v>
      </c>
      <c r="G558" s="13">
        <v>26.142859999999999</v>
      </c>
      <c r="H558">
        <v>6.6900000000000001E-2</v>
      </c>
      <c r="I558">
        <v>261.42856999999998</v>
      </c>
      <c r="J558">
        <v>6.6400000000000001E-2</v>
      </c>
      <c r="K558">
        <v>782.57142999999996</v>
      </c>
      <c r="L558">
        <v>6.2799999999999995E-2</v>
      </c>
      <c r="M558" s="13">
        <v>1307.8571400000001</v>
      </c>
    </row>
    <row r="559" spans="1:13" x14ac:dyDescent="0.2">
      <c r="A559">
        <v>557</v>
      </c>
      <c r="B559">
        <v>20000210</v>
      </c>
      <c r="C559" s="13">
        <v>1</v>
      </c>
      <c r="D559" s="9">
        <v>5.6300000000000003E-2</v>
      </c>
      <c r="E559" s="13">
        <v>13.142860000000001</v>
      </c>
      <c r="F559">
        <v>5.96E-2</v>
      </c>
      <c r="G559" s="13">
        <v>26.142859999999999</v>
      </c>
      <c r="H559">
        <v>6.8099999999999994E-2</v>
      </c>
      <c r="I559">
        <v>260.42856999999998</v>
      </c>
      <c r="J559">
        <v>6.59E-2</v>
      </c>
      <c r="K559">
        <v>781.57142999999996</v>
      </c>
      <c r="L559">
        <v>6.2600000000000003E-2</v>
      </c>
      <c r="M559" s="13">
        <v>1306.8571400000001</v>
      </c>
    </row>
    <row r="560" spans="1:13" x14ac:dyDescent="0.2">
      <c r="A560">
        <v>558</v>
      </c>
      <c r="B560">
        <v>20000217</v>
      </c>
      <c r="C560" s="13">
        <v>1</v>
      </c>
      <c r="D560" s="9">
        <v>5.7099999999999998E-2</v>
      </c>
      <c r="E560" s="13">
        <v>13.142860000000001</v>
      </c>
      <c r="F560">
        <v>5.9700000000000003E-2</v>
      </c>
      <c r="G560" s="13">
        <v>26.142859999999999</v>
      </c>
      <c r="H560">
        <v>6.7699999999999996E-2</v>
      </c>
      <c r="I560">
        <v>259.42856999999998</v>
      </c>
      <c r="J560">
        <v>6.6100000000000006E-2</v>
      </c>
      <c r="K560">
        <v>780.57142999999996</v>
      </c>
      <c r="L560">
        <v>6.25E-2</v>
      </c>
      <c r="M560" s="13">
        <v>1305.8571400000001</v>
      </c>
    </row>
    <row r="561" spans="1:13" x14ac:dyDescent="0.2">
      <c r="A561">
        <v>559</v>
      </c>
      <c r="B561">
        <v>20000224</v>
      </c>
      <c r="C561" s="13">
        <v>1</v>
      </c>
      <c r="D561" s="9">
        <v>5.8099999999999999E-2</v>
      </c>
      <c r="E561" s="13">
        <v>13.142860000000001</v>
      </c>
      <c r="F561">
        <v>0.06</v>
      </c>
      <c r="G561" s="13">
        <v>26.142859999999999</v>
      </c>
      <c r="H561">
        <v>6.7000000000000004E-2</v>
      </c>
      <c r="I561">
        <v>258.42856999999998</v>
      </c>
      <c r="J561">
        <v>6.4299999999999996E-2</v>
      </c>
      <c r="K561">
        <v>779.57142999999996</v>
      </c>
      <c r="L561">
        <v>6.13E-2</v>
      </c>
      <c r="M561" s="13">
        <v>1304.8571400000001</v>
      </c>
    </row>
    <row r="562" spans="1:13" x14ac:dyDescent="0.2">
      <c r="A562">
        <v>560</v>
      </c>
      <c r="B562">
        <v>20000302</v>
      </c>
      <c r="C562" s="13">
        <v>1</v>
      </c>
      <c r="D562" s="9">
        <v>5.7500000000000002E-2</v>
      </c>
      <c r="E562" s="13">
        <v>13.142860000000001</v>
      </c>
      <c r="F562">
        <v>0.06</v>
      </c>
      <c r="G562" s="13">
        <v>26.142859999999999</v>
      </c>
      <c r="H562">
        <v>6.6299999999999998E-2</v>
      </c>
      <c r="I562">
        <v>257.42856999999998</v>
      </c>
      <c r="J562">
        <v>6.4799999999999996E-2</v>
      </c>
      <c r="K562">
        <v>778.57142999999996</v>
      </c>
      <c r="L562">
        <v>6.1600000000000002E-2</v>
      </c>
      <c r="M562" s="13">
        <v>1303.8571400000001</v>
      </c>
    </row>
    <row r="563" spans="1:13" x14ac:dyDescent="0.2">
      <c r="A563">
        <v>561</v>
      </c>
      <c r="B563">
        <v>20000309</v>
      </c>
      <c r="C563" s="13">
        <v>1</v>
      </c>
      <c r="D563" s="9">
        <v>5.8200000000000002E-2</v>
      </c>
      <c r="E563" s="13">
        <v>13.142860000000001</v>
      </c>
      <c r="F563">
        <v>6.8000000000000005E-2</v>
      </c>
      <c r="G563" s="13">
        <v>26.142859999999999</v>
      </c>
      <c r="H563">
        <v>6.6299999999999998E-2</v>
      </c>
      <c r="I563">
        <v>256.42856999999998</v>
      </c>
      <c r="J563">
        <v>6.4799999999999996E-2</v>
      </c>
      <c r="K563">
        <v>777.57142999999996</v>
      </c>
      <c r="L563">
        <v>6.1600000000000002E-2</v>
      </c>
      <c r="M563" s="13">
        <v>1302.8571400000001</v>
      </c>
    </row>
    <row r="564" spans="1:13" x14ac:dyDescent="0.2">
      <c r="A564">
        <v>562</v>
      </c>
      <c r="B564">
        <v>20000316</v>
      </c>
      <c r="C564" s="13">
        <v>1</v>
      </c>
      <c r="D564" s="9">
        <v>5.8400000000000001E-2</v>
      </c>
      <c r="E564" s="13">
        <v>13.142860000000001</v>
      </c>
      <c r="F564">
        <v>6.0999999999999999E-2</v>
      </c>
      <c r="G564" s="13">
        <v>26.142859999999999</v>
      </c>
      <c r="H564">
        <v>6.54E-2</v>
      </c>
      <c r="I564">
        <v>255.42857000000001</v>
      </c>
      <c r="J564">
        <v>6.3899999999999998E-2</v>
      </c>
      <c r="K564">
        <v>776.57142999999996</v>
      </c>
      <c r="L564">
        <v>6.0900000000000003E-2</v>
      </c>
      <c r="M564" s="13">
        <v>1301.8571400000001</v>
      </c>
    </row>
    <row r="565" spans="1:13" x14ac:dyDescent="0.2">
      <c r="A565">
        <v>563</v>
      </c>
      <c r="B565">
        <v>20000323</v>
      </c>
      <c r="C565" s="13">
        <v>1</v>
      </c>
      <c r="D565" s="9">
        <v>5.8900000000000001E-2</v>
      </c>
      <c r="E565" s="13">
        <v>13.142860000000001</v>
      </c>
      <c r="F565">
        <v>6.0900000000000003E-2</v>
      </c>
      <c r="G565" s="13">
        <v>26.142859999999999</v>
      </c>
      <c r="H565">
        <v>6.4299999999999996E-2</v>
      </c>
      <c r="I565">
        <v>254.42857000000001</v>
      </c>
      <c r="J565">
        <v>6.2700000000000006E-2</v>
      </c>
      <c r="K565">
        <v>775.57142999999996</v>
      </c>
      <c r="L565">
        <v>6.0100000000000001E-2</v>
      </c>
      <c r="M565" s="13">
        <v>1300.8571400000001</v>
      </c>
    </row>
    <row r="566" spans="1:13" x14ac:dyDescent="0.2">
      <c r="A566">
        <v>564</v>
      </c>
      <c r="B566">
        <v>20000330</v>
      </c>
      <c r="C566" s="13">
        <v>1</v>
      </c>
      <c r="D566" s="9">
        <v>5.8799999999999998E-2</v>
      </c>
      <c r="E566" s="13">
        <v>13.142860000000001</v>
      </c>
      <c r="F566">
        <v>6.1400000000000003E-2</v>
      </c>
      <c r="G566" s="13">
        <v>26.142859999999999</v>
      </c>
      <c r="H566">
        <v>6.4899999999999999E-2</v>
      </c>
      <c r="I566">
        <v>253.42857000000001</v>
      </c>
      <c r="J566">
        <v>6.3100000000000003E-2</v>
      </c>
      <c r="K566">
        <v>774.57142999999996</v>
      </c>
      <c r="L566">
        <v>6.0499999999999998E-2</v>
      </c>
      <c r="M566" s="13">
        <v>1299.8571400000001</v>
      </c>
    </row>
    <row r="567" spans="1:13" x14ac:dyDescent="0.2">
      <c r="A567">
        <v>565</v>
      </c>
      <c r="B567">
        <v>20000406</v>
      </c>
      <c r="C567" s="13">
        <v>1</v>
      </c>
      <c r="D567" s="9">
        <v>5.8599999999999999E-2</v>
      </c>
      <c r="E567" s="13">
        <v>13.142860000000001</v>
      </c>
      <c r="F567">
        <v>6.1100000000000002E-2</v>
      </c>
      <c r="G567" s="13">
        <v>26.142859999999999</v>
      </c>
      <c r="H567">
        <v>6.1800000000000001E-2</v>
      </c>
      <c r="I567">
        <v>252.42857000000001</v>
      </c>
      <c r="J567">
        <v>6.1199999999999997E-2</v>
      </c>
      <c r="K567">
        <v>773.57142999999996</v>
      </c>
      <c r="L567">
        <v>5.91E-2</v>
      </c>
      <c r="M567" s="13">
        <v>1298.8571400000001</v>
      </c>
    </row>
    <row r="568" spans="1:13" x14ac:dyDescent="0.2">
      <c r="A568">
        <v>566</v>
      </c>
      <c r="B568">
        <v>20000413</v>
      </c>
      <c r="C568" s="13">
        <v>1</v>
      </c>
      <c r="D568" s="9">
        <v>5.8200000000000002E-2</v>
      </c>
      <c r="E568" s="13">
        <v>13.142860000000001</v>
      </c>
      <c r="F568">
        <v>6.0699999999999997E-2</v>
      </c>
      <c r="G568" s="13">
        <v>26.142859999999999</v>
      </c>
      <c r="H568">
        <v>6.3E-2</v>
      </c>
      <c r="I568">
        <v>251.42857000000001</v>
      </c>
      <c r="J568">
        <v>6.1499999999999999E-2</v>
      </c>
      <c r="K568">
        <v>772.57142999999996</v>
      </c>
      <c r="L568">
        <v>5.9299999999999999E-2</v>
      </c>
      <c r="M568" s="13">
        <v>1297.8571400000001</v>
      </c>
    </row>
    <row r="569" spans="1:13" x14ac:dyDescent="0.2">
      <c r="A569">
        <v>567</v>
      </c>
      <c r="B569">
        <v>20000420</v>
      </c>
      <c r="C569" s="13">
        <v>1</v>
      </c>
      <c r="D569" s="9">
        <v>5.6399999999999999E-2</v>
      </c>
      <c r="E569" s="13">
        <v>13.142860000000001</v>
      </c>
      <c r="F569">
        <v>0.06</v>
      </c>
      <c r="G569" s="13">
        <v>26.142859999999999</v>
      </c>
      <c r="H569">
        <v>6.2799999999999995E-2</v>
      </c>
      <c r="I569">
        <v>250.42857000000001</v>
      </c>
      <c r="J569">
        <v>6.13E-2</v>
      </c>
      <c r="K569">
        <v>771.57142999999996</v>
      </c>
      <c r="L569">
        <v>5.9400000000000001E-2</v>
      </c>
      <c r="M569" s="13">
        <v>1296.8571400000001</v>
      </c>
    </row>
    <row r="570" spans="1:13" x14ac:dyDescent="0.2">
      <c r="A570">
        <v>568</v>
      </c>
      <c r="B570">
        <v>20000427</v>
      </c>
      <c r="C570" s="13">
        <v>1</v>
      </c>
      <c r="D570" s="9">
        <v>5.74E-2</v>
      </c>
      <c r="E570" s="13">
        <v>13.142860000000001</v>
      </c>
      <c r="F570">
        <v>0.06</v>
      </c>
      <c r="G570" s="13">
        <v>26.142859999999999</v>
      </c>
      <c r="H570">
        <v>6.4399999999999999E-2</v>
      </c>
      <c r="I570">
        <v>249.42857000000001</v>
      </c>
      <c r="J570">
        <v>6.2399999999999997E-2</v>
      </c>
      <c r="K570">
        <v>770.57142999999996</v>
      </c>
      <c r="L570">
        <v>6.0299999999999999E-2</v>
      </c>
      <c r="M570" s="13">
        <v>1295.8571400000001</v>
      </c>
    </row>
    <row r="571" spans="1:13" x14ac:dyDescent="0.2">
      <c r="A571">
        <v>569</v>
      </c>
      <c r="B571">
        <v>20000504</v>
      </c>
      <c r="C571" s="13">
        <v>1</v>
      </c>
      <c r="D571" s="9">
        <v>5.91E-2</v>
      </c>
      <c r="E571" s="13">
        <v>13.142860000000001</v>
      </c>
      <c r="F571">
        <v>6.2100000000000002E-2</v>
      </c>
      <c r="G571" s="13">
        <v>26.142859999999999</v>
      </c>
      <c r="H571">
        <v>6.7000000000000004E-2</v>
      </c>
      <c r="I571">
        <v>248.42857000000001</v>
      </c>
      <c r="J571">
        <v>6.3200000000000006E-2</v>
      </c>
      <c r="K571">
        <v>769.57142999999996</v>
      </c>
      <c r="L571">
        <v>6.1800000000000001E-2</v>
      </c>
      <c r="M571" s="13">
        <v>1294.8571400000001</v>
      </c>
    </row>
    <row r="572" spans="1:13" x14ac:dyDescent="0.2">
      <c r="A572">
        <v>570</v>
      </c>
      <c r="B572">
        <v>20000511</v>
      </c>
      <c r="C572" s="13">
        <v>1</v>
      </c>
      <c r="D572" s="9">
        <v>6.0999999999999999E-2</v>
      </c>
      <c r="E572" s="13">
        <v>13.142860000000001</v>
      </c>
      <c r="F572">
        <v>6.4000000000000001E-2</v>
      </c>
      <c r="G572" s="13">
        <v>26.142859999999999</v>
      </c>
      <c r="H572">
        <v>6.7599999999999993E-2</v>
      </c>
      <c r="I572">
        <v>247.42857000000001</v>
      </c>
      <c r="J572">
        <v>6.5600000000000006E-2</v>
      </c>
      <c r="K572">
        <v>768.57142999999996</v>
      </c>
      <c r="L572">
        <v>6.2600000000000003E-2</v>
      </c>
      <c r="M572" s="13">
        <v>1293.8571400000001</v>
      </c>
    </row>
    <row r="573" spans="1:13" x14ac:dyDescent="0.2">
      <c r="A573">
        <v>571</v>
      </c>
      <c r="B573">
        <v>20000518</v>
      </c>
      <c r="C573" s="13">
        <v>1</v>
      </c>
      <c r="D573" s="9">
        <v>6.0299999999999999E-2</v>
      </c>
      <c r="E573" s="13">
        <v>13.142860000000001</v>
      </c>
      <c r="F573">
        <v>6.4199999999999993E-2</v>
      </c>
      <c r="G573" s="13">
        <v>26.142859999999999</v>
      </c>
      <c r="H573">
        <v>6.8199999999999997E-2</v>
      </c>
      <c r="I573">
        <v>246.42857000000001</v>
      </c>
      <c r="J573">
        <v>6.54E-2</v>
      </c>
      <c r="K573">
        <v>767.57142999999996</v>
      </c>
      <c r="L573">
        <v>6.2600000000000003E-2</v>
      </c>
      <c r="M573" s="13">
        <v>1292.8571400000001</v>
      </c>
    </row>
    <row r="574" spans="1:13" x14ac:dyDescent="0.2">
      <c r="A574">
        <v>572</v>
      </c>
      <c r="B574">
        <v>20000525</v>
      </c>
      <c r="C574" s="13">
        <v>1</v>
      </c>
      <c r="D574" s="9">
        <v>5.91E-2</v>
      </c>
      <c r="E574" s="13">
        <v>13.142860000000001</v>
      </c>
      <c r="F574">
        <v>6.3899999999999998E-2</v>
      </c>
      <c r="G574" s="13">
        <v>26.142859999999999</v>
      </c>
      <c r="H574">
        <v>6.7900000000000002E-2</v>
      </c>
      <c r="I574">
        <v>245.42857000000001</v>
      </c>
      <c r="J574">
        <v>6.59E-2</v>
      </c>
      <c r="K574">
        <v>766.57142999999996</v>
      </c>
      <c r="L574">
        <v>6.3E-2</v>
      </c>
      <c r="M574" s="13">
        <v>1291.8571400000001</v>
      </c>
    </row>
    <row r="575" spans="1:13" x14ac:dyDescent="0.2">
      <c r="A575">
        <v>573</v>
      </c>
      <c r="B575">
        <v>20000601</v>
      </c>
      <c r="C575" s="13">
        <v>1</v>
      </c>
      <c r="D575" s="9">
        <v>5.6300000000000003E-2</v>
      </c>
      <c r="E575" s="13">
        <v>13.142860000000001</v>
      </c>
      <c r="F575">
        <v>6.3399999999999998E-2</v>
      </c>
      <c r="G575" s="13">
        <v>26.142859999999999</v>
      </c>
      <c r="H575">
        <v>6.7000000000000004E-2</v>
      </c>
      <c r="I575">
        <v>257.14285999999998</v>
      </c>
      <c r="J575">
        <v>6.3799999999999996E-2</v>
      </c>
      <c r="K575">
        <v>791.42857000000004</v>
      </c>
      <c r="L575">
        <v>6.1499999999999999E-2</v>
      </c>
      <c r="M575" s="13">
        <v>1316.7142899999999</v>
      </c>
    </row>
    <row r="576" spans="1:13" x14ac:dyDescent="0.2">
      <c r="A576">
        <v>574</v>
      </c>
      <c r="B576">
        <v>20000608</v>
      </c>
      <c r="C576" s="13">
        <v>1</v>
      </c>
      <c r="D576" s="9">
        <v>5.74E-2</v>
      </c>
      <c r="E576" s="13">
        <v>13.142860000000001</v>
      </c>
      <c r="F576">
        <v>6.2700000000000006E-2</v>
      </c>
      <c r="G576" s="13">
        <v>26.142859999999999</v>
      </c>
      <c r="H576">
        <v>6.3600000000000004E-2</v>
      </c>
      <c r="I576">
        <v>256.14285999999998</v>
      </c>
      <c r="J576">
        <v>6.25E-2</v>
      </c>
      <c r="K576">
        <v>790.42857000000004</v>
      </c>
      <c r="L576">
        <v>6.0199999999999997E-2</v>
      </c>
      <c r="M576" s="13">
        <v>1315.7142899999999</v>
      </c>
    </row>
    <row r="577" spans="1:13" x14ac:dyDescent="0.2">
      <c r="A577">
        <v>575</v>
      </c>
      <c r="B577">
        <v>20000615</v>
      </c>
      <c r="C577" s="13">
        <v>1</v>
      </c>
      <c r="D577" s="9">
        <v>5.8099999999999999E-2</v>
      </c>
      <c r="E577" s="13">
        <v>13.142860000000001</v>
      </c>
      <c r="F577">
        <v>6.2100000000000002E-2</v>
      </c>
      <c r="G577" s="13">
        <v>26.142859999999999</v>
      </c>
      <c r="H577">
        <v>6.2899999999999998E-2</v>
      </c>
      <c r="I577">
        <v>255.14286000000001</v>
      </c>
      <c r="J577">
        <v>6.2700000000000006E-2</v>
      </c>
      <c r="K577">
        <v>789.42857000000004</v>
      </c>
      <c r="L577">
        <v>6.0600000000000001E-2</v>
      </c>
      <c r="M577" s="13">
        <v>1314.7142899999999</v>
      </c>
    </row>
    <row r="578" spans="1:13" x14ac:dyDescent="0.2">
      <c r="A578">
        <v>576</v>
      </c>
      <c r="B578">
        <v>20000622</v>
      </c>
      <c r="C578" s="13">
        <v>1</v>
      </c>
      <c r="D578" s="9">
        <v>5.8000000000000003E-2</v>
      </c>
      <c r="E578" s="13">
        <v>13.142860000000001</v>
      </c>
      <c r="F578">
        <v>6.1800000000000001E-2</v>
      </c>
      <c r="G578" s="13">
        <v>26.142859999999999</v>
      </c>
      <c r="H578">
        <v>6.3399999999999998E-2</v>
      </c>
      <c r="I578">
        <v>254.14286000000001</v>
      </c>
      <c r="J578">
        <v>6.3299999999999995E-2</v>
      </c>
      <c r="K578">
        <v>788.42857000000004</v>
      </c>
      <c r="L578">
        <v>6.1199999999999997E-2</v>
      </c>
      <c r="M578" s="13">
        <v>1313.7142899999999</v>
      </c>
    </row>
    <row r="579" spans="1:13" x14ac:dyDescent="0.2">
      <c r="A579">
        <v>577</v>
      </c>
      <c r="B579">
        <v>20000629</v>
      </c>
      <c r="C579" s="13">
        <v>1</v>
      </c>
      <c r="D579" s="9">
        <v>5.8000000000000003E-2</v>
      </c>
      <c r="E579" s="13">
        <v>13.142860000000001</v>
      </c>
      <c r="F579">
        <v>6.2199999999999998E-2</v>
      </c>
      <c r="G579" s="13">
        <v>26.142859999999999</v>
      </c>
      <c r="H579">
        <v>6.3299999999999995E-2</v>
      </c>
      <c r="I579">
        <v>253.14286000000001</v>
      </c>
      <c r="J579">
        <v>6.3399999999999998E-2</v>
      </c>
      <c r="K579">
        <v>787.42857000000004</v>
      </c>
      <c r="L579">
        <v>6.1499999999999999E-2</v>
      </c>
      <c r="M579" s="13">
        <v>1312.7142899999999</v>
      </c>
    </row>
    <row r="580" spans="1:13" x14ac:dyDescent="0.2">
      <c r="A580">
        <v>578</v>
      </c>
      <c r="B580">
        <v>20000706</v>
      </c>
      <c r="C580" s="13">
        <v>1</v>
      </c>
      <c r="D580" s="9">
        <v>5.9799999999999999E-2</v>
      </c>
      <c r="E580" s="13">
        <v>13.142860000000001</v>
      </c>
      <c r="F580">
        <v>6.1800000000000001E-2</v>
      </c>
      <c r="G580" s="13">
        <v>26.142859999999999</v>
      </c>
      <c r="H580">
        <v>6.2799999999999995E-2</v>
      </c>
      <c r="I580">
        <v>265.28570999999999</v>
      </c>
      <c r="J580">
        <v>6.2399999999999997E-2</v>
      </c>
      <c r="K580">
        <v>786.42857000000004</v>
      </c>
      <c r="L580">
        <v>6.0600000000000001E-2</v>
      </c>
      <c r="M580" s="13">
        <v>1311.7142899999999</v>
      </c>
    </row>
    <row r="581" spans="1:13" x14ac:dyDescent="0.2">
      <c r="A581">
        <v>579</v>
      </c>
      <c r="B581">
        <v>20000713</v>
      </c>
      <c r="C581" s="13">
        <v>1</v>
      </c>
      <c r="D581" s="9">
        <v>6.1600000000000002E-2</v>
      </c>
      <c r="E581" s="13">
        <v>13.142860000000001</v>
      </c>
      <c r="F581">
        <v>6.2399999999999997E-2</v>
      </c>
      <c r="G581" s="13">
        <v>26.142859999999999</v>
      </c>
      <c r="H581">
        <v>6.3600000000000004E-2</v>
      </c>
      <c r="I581">
        <v>264.28570999999999</v>
      </c>
      <c r="J581">
        <v>6.2399999999999997E-2</v>
      </c>
      <c r="K581">
        <v>785.42857000000004</v>
      </c>
      <c r="L581">
        <v>6.0400000000000002E-2</v>
      </c>
      <c r="M581" s="13">
        <v>1310.7142899999999</v>
      </c>
    </row>
    <row r="582" spans="1:13" x14ac:dyDescent="0.2">
      <c r="A582">
        <v>580</v>
      </c>
      <c r="B582">
        <v>20000720</v>
      </c>
      <c r="C582" s="13">
        <v>1</v>
      </c>
      <c r="D582" s="9">
        <v>6.1499999999999999E-2</v>
      </c>
      <c r="E582" s="13">
        <v>13.142860000000001</v>
      </c>
      <c r="F582">
        <v>6.3E-2</v>
      </c>
      <c r="G582" s="13">
        <v>26.142859999999999</v>
      </c>
      <c r="H582">
        <v>6.4699999999999994E-2</v>
      </c>
      <c r="I582">
        <v>263.28570999999999</v>
      </c>
      <c r="J582">
        <v>6.2700000000000006E-2</v>
      </c>
      <c r="K582">
        <v>784.42857000000004</v>
      </c>
      <c r="L582">
        <v>6.0600000000000001E-2</v>
      </c>
      <c r="M582" s="13">
        <v>1309.7142899999999</v>
      </c>
    </row>
    <row r="583" spans="1:13" x14ac:dyDescent="0.2">
      <c r="A583">
        <v>581</v>
      </c>
      <c r="B583">
        <v>20000727</v>
      </c>
      <c r="C583" s="13">
        <v>1</v>
      </c>
      <c r="D583" s="9">
        <v>6.1800000000000001E-2</v>
      </c>
      <c r="E583" s="13">
        <v>13.142860000000001</v>
      </c>
      <c r="F583">
        <v>6.2799999999999995E-2</v>
      </c>
      <c r="G583" s="13">
        <v>26.142859999999999</v>
      </c>
      <c r="H583">
        <v>6.3200000000000006E-2</v>
      </c>
      <c r="I583">
        <v>262.28570999999999</v>
      </c>
      <c r="J583">
        <v>6.1199999999999997E-2</v>
      </c>
      <c r="K583">
        <v>783.42857000000004</v>
      </c>
      <c r="L583">
        <v>5.9499999999999997E-2</v>
      </c>
      <c r="M583" s="13">
        <v>1308.7142899999999</v>
      </c>
    </row>
    <row r="584" spans="1:13" x14ac:dyDescent="0.2">
      <c r="A584">
        <v>582</v>
      </c>
      <c r="B584">
        <v>20000803</v>
      </c>
      <c r="C584" s="13">
        <v>1</v>
      </c>
      <c r="D584" s="9">
        <v>6.2399999999999997E-2</v>
      </c>
      <c r="E584" s="13">
        <v>13.142860000000001</v>
      </c>
      <c r="F584">
        <v>6.3399999999999998E-2</v>
      </c>
      <c r="G584" s="13">
        <v>26.142859999999999</v>
      </c>
      <c r="H584">
        <v>6.2199999999999998E-2</v>
      </c>
      <c r="I584">
        <v>261.28570999999999</v>
      </c>
      <c r="J584">
        <v>6.0699999999999997E-2</v>
      </c>
      <c r="K584">
        <v>782.42857000000004</v>
      </c>
      <c r="L584">
        <v>5.8999999999999997E-2</v>
      </c>
      <c r="M584" s="13">
        <v>1307.7142899999999</v>
      </c>
    </row>
    <row r="585" spans="1:13" x14ac:dyDescent="0.2">
      <c r="A585">
        <v>583</v>
      </c>
      <c r="B585">
        <v>20000810</v>
      </c>
      <c r="C585" s="13">
        <v>1</v>
      </c>
      <c r="D585" s="9">
        <v>6.2300000000000001E-2</v>
      </c>
      <c r="E585" s="13">
        <v>13.142860000000001</v>
      </c>
      <c r="F585">
        <v>6.3E-2</v>
      </c>
      <c r="G585" s="13">
        <v>26.142859999999999</v>
      </c>
      <c r="H585">
        <v>6.1600000000000002E-2</v>
      </c>
      <c r="I585">
        <v>260.28570999999999</v>
      </c>
      <c r="J585">
        <v>6.0100000000000001E-2</v>
      </c>
      <c r="K585">
        <v>781.42857000000004</v>
      </c>
      <c r="L585">
        <v>5.8599999999999999E-2</v>
      </c>
      <c r="M585" s="13">
        <v>1306.7142899999999</v>
      </c>
    </row>
    <row r="586" spans="1:13" x14ac:dyDescent="0.2">
      <c r="A586">
        <v>584</v>
      </c>
      <c r="B586">
        <v>20000817</v>
      </c>
      <c r="C586" s="13">
        <v>1</v>
      </c>
      <c r="D586" s="9">
        <v>6.2600000000000003E-2</v>
      </c>
      <c r="E586" s="13">
        <v>13.142860000000001</v>
      </c>
      <c r="F586">
        <v>6.3399999999999998E-2</v>
      </c>
      <c r="G586" s="13">
        <v>26.142859999999999</v>
      </c>
      <c r="H586">
        <v>6.2199999999999998E-2</v>
      </c>
      <c r="I586">
        <v>259.28570999999999</v>
      </c>
      <c r="J586">
        <v>6.0299999999999999E-2</v>
      </c>
      <c r="K586">
        <v>780.42857000000004</v>
      </c>
      <c r="L586">
        <v>5.8700000000000002E-2</v>
      </c>
      <c r="M586" s="13">
        <v>1305.7142899999999</v>
      </c>
    </row>
    <row r="587" spans="1:13" x14ac:dyDescent="0.2">
      <c r="A587">
        <v>585</v>
      </c>
      <c r="B587">
        <v>20000824</v>
      </c>
      <c r="C587" s="13">
        <v>1</v>
      </c>
      <c r="D587" s="9">
        <v>6.2399999999999997E-2</v>
      </c>
      <c r="E587" s="13">
        <v>13.142860000000001</v>
      </c>
      <c r="F587">
        <v>6.3500000000000001E-2</v>
      </c>
      <c r="G587" s="13">
        <v>26.142859999999999</v>
      </c>
      <c r="H587">
        <v>6.0999999999999999E-2</v>
      </c>
      <c r="I587">
        <v>258.28570999999999</v>
      </c>
      <c r="J587">
        <v>5.9400000000000001E-2</v>
      </c>
      <c r="K587">
        <v>779.42857000000004</v>
      </c>
      <c r="L587">
        <v>5.8200000000000002E-2</v>
      </c>
      <c r="M587" s="13">
        <v>1304.7142899999999</v>
      </c>
    </row>
    <row r="588" spans="1:13" x14ac:dyDescent="0.2">
      <c r="A588">
        <v>586</v>
      </c>
      <c r="B588">
        <v>20000831</v>
      </c>
      <c r="C588" s="13">
        <v>1</v>
      </c>
      <c r="D588" s="9">
        <v>6.3E-2</v>
      </c>
      <c r="E588" s="13">
        <v>13.142860000000001</v>
      </c>
      <c r="F588">
        <v>6.3700000000000007E-2</v>
      </c>
      <c r="G588" s="13">
        <v>26.142859999999999</v>
      </c>
      <c r="H588">
        <v>6.1600000000000002E-2</v>
      </c>
      <c r="I588">
        <v>257.28570999999999</v>
      </c>
      <c r="J588">
        <v>6.0100000000000001E-2</v>
      </c>
      <c r="K588">
        <v>778.42857000000004</v>
      </c>
      <c r="L588">
        <v>5.8599999999999999E-2</v>
      </c>
      <c r="M588" s="13">
        <v>1303.7142899999999</v>
      </c>
    </row>
    <row r="589" spans="1:13" x14ac:dyDescent="0.2">
      <c r="A589">
        <v>587</v>
      </c>
      <c r="B589">
        <v>20000907</v>
      </c>
      <c r="C589" s="13">
        <v>1</v>
      </c>
      <c r="D589" s="9">
        <v>6.2E-2</v>
      </c>
      <c r="E589" s="13">
        <v>13.142860000000001</v>
      </c>
      <c r="F589">
        <v>6.2799999999999995E-2</v>
      </c>
      <c r="G589" s="13">
        <v>26.142859999999999</v>
      </c>
      <c r="H589">
        <v>6.0199999999999997E-2</v>
      </c>
      <c r="I589">
        <v>256.28570999999999</v>
      </c>
      <c r="J589">
        <v>0.06</v>
      </c>
      <c r="K589">
        <v>777.42857000000004</v>
      </c>
      <c r="L589">
        <v>5.8400000000000001E-2</v>
      </c>
      <c r="M589" s="13">
        <v>1302.7142899999999</v>
      </c>
    </row>
    <row r="590" spans="1:13" x14ac:dyDescent="0.2">
      <c r="A590">
        <v>588</v>
      </c>
      <c r="B590">
        <v>20000914</v>
      </c>
      <c r="C590" s="13">
        <v>1</v>
      </c>
      <c r="D590" s="9">
        <v>6.08E-2</v>
      </c>
      <c r="E590" s="13">
        <v>13.142860000000001</v>
      </c>
      <c r="F590">
        <v>6.1699999999999998E-2</v>
      </c>
      <c r="G590" s="13">
        <v>26.142859999999999</v>
      </c>
      <c r="H590">
        <v>6.0199999999999997E-2</v>
      </c>
      <c r="I590">
        <v>255.28570999999999</v>
      </c>
      <c r="J590">
        <v>6.0100000000000001E-2</v>
      </c>
      <c r="K590">
        <v>776.42857000000004</v>
      </c>
      <c r="L590">
        <v>5.8599999999999999E-2</v>
      </c>
      <c r="M590" s="13">
        <v>1301.7142899999999</v>
      </c>
    </row>
    <row r="591" spans="1:13" x14ac:dyDescent="0.2">
      <c r="A591">
        <v>589</v>
      </c>
      <c r="B591">
        <v>20000921</v>
      </c>
      <c r="C591" s="13">
        <v>1</v>
      </c>
      <c r="D591" s="9">
        <v>6.1499999999999999E-2</v>
      </c>
      <c r="E591" s="13">
        <v>13.142860000000001</v>
      </c>
      <c r="F591">
        <v>6.2199999999999998E-2</v>
      </c>
      <c r="G591" s="13">
        <v>26.142859999999999</v>
      </c>
      <c r="H591">
        <v>6.0600000000000001E-2</v>
      </c>
      <c r="I591">
        <v>254.28570999999999</v>
      </c>
      <c r="J591">
        <v>6.2600000000000003E-2</v>
      </c>
      <c r="K591">
        <v>775.42857000000004</v>
      </c>
      <c r="L591">
        <v>6.0900000000000003E-2</v>
      </c>
      <c r="M591" s="13">
        <v>1300.7142899999999</v>
      </c>
    </row>
    <row r="592" spans="1:13" x14ac:dyDescent="0.2">
      <c r="A592">
        <v>590</v>
      </c>
      <c r="B592">
        <v>20000928</v>
      </c>
      <c r="C592" s="13">
        <v>1</v>
      </c>
      <c r="D592" s="9">
        <v>6.1899999999999997E-2</v>
      </c>
      <c r="E592" s="13">
        <v>13.142860000000001</v>
      </c>
      <c r="F592">
        <v>6.2700000000000006E-2</v>
      </c>
      <c r="G592" s="13">
        <v>26.142859999999999</v>
      </c>
      <c r="H592">
        <v>5.9799999999999999E-2</v>
      </c>
      <c r="I592">
        <v>253.28570999999999</v>
      </c>
      <c r="J592">
        <v>6.1899999999999997E-2</v>
      </c>
      <c r="K592">
        <v>774.42857000000004</v>
      </c>
      <c r="L592">
        <v>6.0400000000000002E-2</v>
      </c>
      <c r="M592" s="13">
        <v>1299.7142899999999</v>
      </c>
    </row>
    <row r="593" spans="1:13" x14ac:dyDescent="0.2">
      <c r="A593">
        <v>591</v>
      </c>
      <c r="B593">
        <v>20001005</v>
      </c>
      <c r="C593" s="13">
        <v>1</v>
      </c>
      <c r="D593" s="9">
        <v>6.2300000000000001E-2</v>
      </c>
      <c r="E593" s="13">
        <v>13.142860000000001</v>
      </c>
      <c r="F593">
        <v>6.3100000000000003E-2</v>
      </c>
      <c r="G593" s="13">
        <v>26.142859999999999</v>
      </c>
      <c r="H593">
        <v>5.8900000000000001E-2</v>
      </c>
      <c r="I593">
        <v>265.42856999999998</v>
      </c>
      <c r="J593">
        <v>6.2199999999999998E-2</v>
      </c>
      <c r="K593">
        <v>788.57142999999996</v>
      </c>
      <c r="L593">
        <v>6.0900000000000003E-2</v>
      </c>
      <c r="M593" s="13">
        <v>1298.7142899999999</v>
      </c>
    </row>
    <row r="594" spans="1:13" x14ac:dyDescent="0.2">
      <c r="A594">
        <v>592</v>
      </c>
      <c r="B594">
        <v>20001012</v>
      </c>
      <c r="C594" s="13">
        <v>1</v>
      </c>
      <c r="D594" s="9">
        <v>6.2199999999999998E-2</v>
      </c>
      <c r="E594" s="13">
        <v>13.142860000000001</v>
      </c>
      <c r="F594">
        <v>6.3E-2</v>
      </c>
      <c r="G594" s="13">
        <v>26.142859999999999</v>
      </c>
      <c r="H594">
        <v>5.7799999999999997E-2</v>
      </c>
      <c r="I594">
        <v>264.42856999999998</v>
      </c>
      <c r="J594">
        <v>6.0900000000000003E-2</v>
      </c>
      <c r="K594">
        <v>787.57142999999996</v>
      </c>
      <c r="L594">
        <v>5.9799999999999999E-2</v>
      </c>
      <c r="M594" s="13">
        <v>1297.7142899999999</v>
      </c>
    </row>
    <row r="595" spans="1:13" x14ac:dyDescent="0.2">
      <c r="A595">
        <v>593</v>
      </c>
      <c r="B595">
        <v>20001019</v>
      </c>
      <c r="C595" s="13">
        <v>1</v>
      </c>
      <c r="D595" s="9">
        <v>6.2899999999999998E-2</v>
      </c>
      <c r="E595" s="13">
        <v>13.142860000000001</v>
      </c>
      <c r="F595">
        <v>6.2399999999999997E-2</v>
      </c>
      <c r="G595" s="13">
        <v>26.142859999999999</v>
      </c>
      <c r="H595">
        <v>5.6599999999999998E-2</v>
      </c>
      <c r="I595">
        <v>263.42856999999998</v>
      </c>
      <c r="J595">
        <v>6.08E-2</v>
      </c>
      <c r="K595">
        <v>786.57142999999996</v>
      </c>
      <c r="L595">
        <v>5.9400000000000001E-2</v>
      </c>
      <c r="M595" s="13">
        <v>1296.7142899999999</v>
      </c>
    </row>
    <row r="596" spans="1:13" x14ac:dyDescent="0.2">
      <c r="A596">
        <v>594</v>
      </c>
      <c r="B596">
        <v>20001026</v>
      </c>
      <c r="C596" s="13">
        <v>1</v>
      </c>
      <c r="D596" s="9">
        <v>6.3700000000000007E-2</v>
      </c>
      <c r="E596" s="13">
        <v>13.142860000000001</v>
      </c>
      <c r="F596">
        <v>6.3399999999999998E-2</v>
      </c>
      <c r="G596" s="13">
        <v>26.142859999999999</v>
      </c>
      <c r="H596">
        <v>5.7099999999999998E-2</v>
      </c>
      <c r="I596">
        <v>262.42856999999998</v>
      </c>
      <c r="J596">
        <v>5.9799999999999999E-2</v>
      </c>
      <c r="K596">
        <v>785.57142999999996</v>
      </c>
      <c r="L596">
        <v>5.7099999999999998E-2</v>
      </c>
      <c r="M596" s="13">
        <v>1295.7142899999999</v>
      </c>
    </row>
    <row r="597" spans="1:13" x14ac:dyDescent="0.2">
      <c r="A597">
        <v>595</v>
      </c>
      <c r="B597">
        <v>20001102</v>
      </c>
      <c r="C597" s="13">
        <v>1</v>
      </c>
      <c r="D597" s="9">
        <v>6.3399999999999998E-2</v>
      </c>
      <c r="E597" s="13">
        <v>13.142860000000001</v>
      </c>
      <c r="F597">
        <v>6.3299999999999995E-2</v>
      </c>
      <c r="G597" s="13">
        <v>26.142859999999999</v>
      </c>
      <c r="H597">
        <v>5.74E-2</v>
      </c>
      <c r="I597">
        <v>261.42856999999998</v>
      </c>
      <c r="J597">
        <v>6.0199999999999997E-2</v>
      </c>
      <c r="K597">
        <v>784.57142999999996</v>
      </c>
      <c r="L597">
        <v>5.9400000000000001E-2</v>
      </c>
      <c r="M597" s="13">
        <v>1294.7142899999999</v>
      </c>
    </row>
    <row r="598" spans="1:13" x14ac:dyDescent="0.2">
      <c r="A598">
        <v>596</v>
      </c>
      <c r="B598">
        <v>20001109</v>
      </c>
      <c r="C598" s="13">
        <v>1</v>
      </c>
      <c r="D598" s="9">
        <v>6.4000000000000001E-2</v>
      </c>
      <c r="E598" s="13">
        <v>13.142860000000001</v>
      </c>
      <c r="F598">
        <v>6.3700000000000007E-2</v>
      </c>
      <c r="G598" s="13">
        <v>26.142859999999999</v>
      </c>
      <c r="H598">
        <v>5.8500000000000003E-2</v>
      </c>
      <c r="I598">
        <v>260.42856999999998</v>
      </c>
      <c r="J598">
        <v>6.1199999999999997E-2</v>
      </c>
      <c r="K598">
        <v>783.57142999999996</v>
      </c>
      <c r="L598">
        <v>6.0199999999999997E-2</v>
      </c>
      <c r="M598" s="13">
        <v>1293.7142899999999</v>
      </c>
    </row>
    <row r="599" spans="1:13" x14ac:dyDescent="0.2">
      <c r="A599">
        <v>597</v>
      </c>
      <c r="B599">
        <v>20001116</v>
      </c>
      <c r="C599" s="13">
        <v>1</v>
      </c>
      <c r="D599" s="9">
        <v>6.3200000000000006E-2</v>
      </c>
      <c r="E599" s="13">
        <v>13.142860000000001</v>
      </c>
      <c r="F599">
        <v>6.3399999999999998E-2</v>
      </c>
      <c r="G599" s="13">
        <v>26.142859999999999</v>
      </c>
      <c r="H599">
        <v>5.7000000000000002E-2</v>
      </c>
      <c r="I599">
        <v>259.42856999999998</v>
      </c>
      <c r="J599">
        <v>5.9900000000000002E-2</v>
      </c>
      <c r="K599">
        <v>782.57142999999996</v>
      </c>
      <c r="L599">
        <v>5.91E-2</v>
      </c>
      <c r="M599" s="13">
        <v>1292.7142899999999</v>
      </c>
    </row>
    <row r="600" spans="1:13" x14ac:dyDescent="0.2">
      <c r="A600">
        <v>598</v>
      </c>
      <c r="B600">
        <v>20001124</v>
      </c>
      <c r="C600" s="13">
        <v>1</v>
      </c>
      <c r="D600" s="9">
        <v>6.3500000000000001E-2</v>
      </c>
      <c r="E600" s="13">
        <v>13.142860000000001</v>
      </c>
      <c r="F600">
        <v>6.3200000000000006E-2</v>
      </c>
      <c r="G600" s="13">
        <v>26.142859999999999</v>
      </c>
      <c r="H600">
        <v>5.5899999999999998E-2</v>
      </c>
      <c r="I600">
        <v>258.42856999999998</v>
      </c>
      <c r="J600">
        <v>5.8799999999999998E-2</v>
      </c>
      <c r="K600">
        <v>781.57142999999996</v>
      </c>
      <c r="L600">
        <v>5.79E-2</v>
      </c>
      <c r="M600" s="13">
        <v>1291.7142899999999</v>
      </c>
    </row>
    <row r="601" spans="1:13" x14ac:dyDescent="0.2">
      <c r="A601">
        <v>599</v>
      </c>
      <c r="B601">
        <v>20001130</v>
      </c>
      <c r="C601" s="13">
        <v>1</v>
      </c>
      <c r="D601" s="9">
        <v>6.2199999999999998E-2</v>
      </c>
      <c r="E601" s="13">
        <v>13.142860000000001</v>
      </c>
      <c r="F601">
        <v>6.2100000000000002E-2</v>
      </c>
      <c r="G601" s="13">
        <v>26.142859999999999</v>
      </c>
      <c r="H601">
        <v>5.5500000000000001E-2</v>
      </c>
      <c r="I601">
        <v>257.42856999999998</v>
      </c>
      <c r="J601">
        <v>5.8700000000000002E-2</v>
      </c>
      <c r="K601">
        <v>780.57142999999996</v>
      </c>
      <c r="L601">
        <v>5.8200000000000002E-2</v>
      </c>
      <c r="M601" s="13">
        <v>1290.7142899999999</v>
      </c>
    </row>
    <row r="602" spans="1:13" x14ac:dyDescent="0.2">
      <c r="A602">
        <v>600</v>
      </c>
      <c r="B602">
        <v>20001207</v>
      </c>
      <c r="C602" s="13">
        <v>1</v>
      </c>
      <c r="D602" s="9">
        <v>6.0699999999999997E-2</v>
      </c>
      <c r="E602" s="13">
        <v>13.142860000000001</v>
      </c>
      <c r="F602">
        <v>6.0299999999999999E-2</v>
      </c>
      <c r="G602" s="13">
        <v>26.142859999999999</v>
      </c>
      <c r="H602">
        <v>5.3199999999999997E-2</v>
      </c>
      <c r="I602">
        <v>256.42856999999998</v>
      </c>
      <c r="J602">
        <v>5.7099999999999998E-2</v>
      </c>
      <c r="K602">
        <v>779.57142999999996</v>
      </c>
      <c r="L602">
        <v>5.7099999999999998E-2</v>
      </c>
      <c r="M602" s="13">
        <v>1289.7142899999999</v>
      </c>
    </row>
    <row r="603" spans="1:13" x14ac:dyDescent="0.2">
      <c r="A603">
        <v>601</v>
      </c>
      <c r="B603">
        <v>20001214</v>
      </c>
      <c r="C603" s="13">
        <v>1</v>
      </c>
      <c r="D603" s="9">
        <v>6.0400000000000002E-2</v>
      </c>
      <c r="E603" s="13">
        <v>13.142860000000001</v>
      </c>
      <c r="F603">
        <v>0.06</v>
      </c>
      <c r="G603" s="13">
        <v>26.142859999999999</v>
      </c>
      <c r="H603">
        <v>5.2999999999999999E-2</v>
      </c>
      <c r="I603">
        <v>255.42857000000001</v>
      </c>
      <c r="J603">
        <v>5.6599999999999998E-2</v>
      </c>
      <c r="K603">
        <v>778.57142999999996</v>
      </c>
      <c r="L603">
        <v>5.6500000000000002E-2</v>
      </c>
      <c r="M603" s="13">
        <v>1288.7142899999999</v>
      </c>
    </row>
    <row r="604" spans="1:13" x14ac:dyDescent="0.2">
      <c r="A604">
        <v>602</v>
      </c>
      <c r="B604">
        <v>20001221</v>
      </c>
      <c r="C604" s="13">
        <v>1</v>
      </c>
      <c r="D604" s="9">
        <v>5.8000000000000003E-2</v>
      </c>
      <c r="E604" s="13">
        <v>13.142860000000001</v>
      </c>
      <c r="F604">
        <v>5.8000000000000003E-2</v>
      </c>
      <c r="G604" s="13">
        <v>26.142859999999999</v>
      </c>
      <c r="H604">
        <v>5.0599999999999999E-2</v>
      </c>
      <c r="I604">
        <v>254.42857000000001</v>
      </c>
      <c r="J604">
        <v>5.5899999999999998E-2</v>
      </c>
      <c r="K604">
        <v>777.57142999999996</v>
      </c>
      <c r="L604">
        <v>5.62E-2</v>
      </c>
      <c r="M604" s="13">
        <v>1287.7142899999999</v>
      </c>
    </row>
    <row r="605" spans="1:13" x14ac:dyDescent="0.2">
      <c r="A605">
        <v>603</v>
      </c>
      <c r="B605">
        <v>20001228</v>
      </c>
      <c r="C605" s="13">
        <v>1</v>
      </c>
      <c r="D605" s="9">
        <v>5.8599999999999999E-2</v>
      </c>
      <c r="E605" s="13">
        <v>13.142860000000001</v>
      </c>
      <c r="F605">
        <v>5.7700000000000001E-2</v>
      </c>
      <c r="G605" s="13">
        <v>26.142859999999999</v>
      </c>
      <c r="H605">
        <v>5.04E-2</v>
      </c>
      <c r="I605">
        <v>253.42857000000001</v>
      </c>
      <c r="J605">
        <v>5.6300000000000003E-2</v>
      </c>
      <c r="K605">
        <v>776.57142999999996</v>
      </c>
      <c r="L605">
        <v>5.6599999999999998E-2</v>
      </c>
      <c r="M605" s="13">
        <v>1286.7142899999999</v>
      </c>
    </row>
    <row r="606" spans="1:13" x14ac:dyDescent="0.2">
      <c r="A606">
        <v>604</v>
      </c>
      <c r="B606">
        <v>20010104</v>
      </c>
      <c r="C606" s="13">
        <v>1</v>
      </c>
      <c r="D606" s="9">
        <v>5.8200000000000002E-2</v>
      </c>
      <c r="E606" s="13">
        <v>13.142860000000001</v>
      </c>
      <c r="F606">
        <v>5.3900000000000003E-2</v>
      </c>
      <c r="G606" s="13">
        <v>26.142859999999999</v>
      </c>
      <c r="H606">
        <v>5.0500000000000003E-2</v>
      </c>
      <c r="I606">
        <v>265.71429000000001</v>
      </c>
      <c r="J606">
        <v>5.6500000000000002E-2</v>
      </c>
      <c r="K606">
        <v>788.85713999999996</v>
      </c>
      <c r="L606">
        <v>5.67E-2</v>
      </c>
      <c r="M606" s="13">
        <v>1312.1428599999999</v>
      </c>
    </row>
    <row r="607" spans="1:13" x14ac:dyDescent="0.2">
      <c r="A607">
        <v>605</v>
      </c>
      <c r="B607">
        <v>20010111</v>
      </c>
      <c r="C607" s="13">
        <v>1</v>
      </c>
      <c r="D607" s="9">
        <v>5.2699999999999997E-2</v>
      </c>
      <c r="E607" s="13">
        <v>13.142860000000001</v>
      </c>
      <c r="F607">
        <v>5.1400000000000001E-2</v>
      </c>
      <c r="G607" s="13">
        <v>26.142859999999999</v>
      </c>
      <c r="H607">
        <v>4.99E-2</v>
      </c>
      <c r="I607">
        <v>264.71429000000001</v>
      </c>
      <c r="J607">
        <v>5.6800000000000003E-2</v>
      </c>
      <c r="K607">
        <v>787.85713999999996</v>
      </c>
      <c r="L607">
        <v>5.7000000000000002E-2</v>
      </c>
      <c r="M607" s="13">
        <v>1311.1428599999999</v>
      </c>
    </row>
    <row r="608" spans="1:13" x14ac:dyDescent="0.2">
      <c r="A608">
        <v>606</v>
      </c>
      <c r="B608">
        <v>20010118</v>
      </c>
      <c r="C608" s="13">
        <v>1</v>
      </c>
      <c r="D608" s="9">
        <v>5.3400000000000003E-2</v>
      </c>
      <c r="E608" s="13">
        <v>13.142860000000001</v>
      </c>
      <c r="F608">
        <v>5.2299999999999999E-2</v>
      </c>
      <c r="G608" s="13">
        <v>26.142859999999999</v>
      </c>
      <c r="H608">
        <v>5.0299999999999997E-2</v>
      </c>
      <c r="I608">
        <v>263.71429000000001</v>
      </c>
      <c r="J608">
        <v>5.74E-2</v>
      </c>
      <c r="K608">
        <v>786.85713999999996</v>
      </c>
      <c r="L608">
        <v>5.7099999999999998E-2</v>
      </c>
      <c r="M608" s="13">
        <v>1310.1428599999999</v>
      </c>
    </row>
    <row r="609" spans="1:13" x14ac:dyDescent="0.2">
      <c r="A609">
        <v>607</v>
      </c>
      <c r="B609">
        <v>20010125</v>
      </c>
      <c r="C609" s="13">
        <v>1</v>
      </c>
      <c r="D609" s="9">
        <v>5.2600000000000001E-2</v>
      </c>
      <c r="E609" s="13">
        <v>13.142860000000001</v>
      </c>
      <c r="F609">
        <v>5.1400000000000001E-2</v>
      </c>
      <c r="G609" s="13">
        <v>26.142859999999999</v>
      </c>
      <c r="H609">
        <v>5.1499999999999997E-2</v>
      </c>
      <c r="I609">
        <v>262.71429000000001</v>
      </c>
      <c r="J609">
        <v>5.8799999999999998E-2</v>
      </c>
      <c r="K609">
        <v>785.85713999999996</v>
      </c>
      <c r="L609">
        <v>5.8599999999999999E-2</v>
      </c>
      <c r="M609" s="13">
        <v>1309.1428599999999</v>
      </c>
    </row>
    <row r="610" spans="1:13" x14ac:dyDescent="0.2">
      <c r="A610">
        <v>608</v>
      </c>
      <c r="B610">
        <v>20010201</v>
      </c>
      <c r="C610" s="13">
        <v>1</v>
      </c>
      <c r="D610" s="9">
        <v>4.9700000000000001E-2</v>
      </c>
      <c r="E610" s="13">
        <v>13.142860000000001</v>
      </c>
      <c r="F610">
        <v>4.8300000000000003E-2</v>
      </c>
      <c r="G610" s="13">
        <v>26.142859999999999</v>
      </c>
      <c r="H610">
        <v>4.9099999999999998E-2</v>
      </c>
      <c r="I610">
        <v>261.71429000000001</v>
      </c>
      <c r="J610">
        <v>5.74E-2</v>
      </c>
      <c r="K610">
        <v>784.85713999999996</v>
      </c>
      <c r="L610">
        <v>5.74E-2</v>
      </c>
      <c r="M610" s="13">
        <v>1308.1428599999999</v>
      </c>
    </row>
    <row r="611" spans="1:13" x14ac:dyDescent="0.2">
      <c r="A611">
        <v>609</v>
      </c>
      <c r="B611">
        <v>20010208</v>
      </c>
      <c r="C611" s="13">
        <v>1</v>
      </c>
      <c r="D611" s="9">
        <v>5.0599999999999999E-2</v>
      </c>
      <c r="E611" s="13">
        <v>13.142860000000001</v>
      </c>
      <c r="F611">
        <v>4.9200000000000001E-2</v>
      </c>
      <c r="G611" s="13">
        <v>26.142859999999999</v>
      </c>
      <c r="H611">
        <v>4.99E-2</v>
      </c>
      <c r="I611">
        <v>260.71429000000001</v>
      </c>
      <c r="J611">
        <v>5.7000000000000002E-2</v>
      </c>
      <c r="K611">
        <v>783.85713999999996</v>
      </c>
      <c r="L611">
        <v>5.7000000000000002E-2</v>
      </c>
      <c r="M611" s="13">
        <v>1307.1428599999999</v>
      </c>
    </row>
    <row r="612" spans="1:13" x14ac:dyDescent="0.2">
      <c r="A612">
        <v>610</v>
      </c>
      <c r="B612">
        <v>20010215</v>
      </c>
      <c r="C612" s="13">
        <v>1</v>
      </c>
      <c r="D612" s="9">
        <v>5.04E-2</v>
      </c>
      <c r="E612" s="13">
        <v>13.142860000000001</v>
      </c>
      <c r="F612">
        <v>5.0099999999999999E-2</v>
      </c>
      <c r="G612" s="13">
        <v>26.142859999999999</v>
      </c>
      <c r="H612">
        <v>5.0700000000000002E-2</v>
      </c>
      <c r="I612">
        <v>259.71429000000001</v>
      </c>
      <c r="J612">
        <v>5.7200000000000001E-2</v>
      </c>
      <c r="K612">
        <v>782.85713999999996</v>
      </c>
      <c r="L612">
        <v>5.74E-2</v>
      </c>
      <c r="M612" s="13">
        <v>1306.1428599999999</v>
      </c>
    </row>
    <row r="613" spans="1:13" x14ac:dyDescent="0.2">
      <c r="A613">
        <v>611</v>
      </c>
      <c r="B613">
        <v>20010222</v>
      </c>
      <c r="C613" s="13">
        <v>1</v>
      </c>
      <c r="D613" s="9">
        <v>5.0099999999999999E-2</v>
      </c>
      <c r="E613" s="13">
        <v>13.142860000000001</v>
      </c>
      <c r="F613">
        <v>4.9099999999999998E-2</v>
      </c>
      <c r="G613" s="13">
        <v>26.142859999999999</v>
      </c>
      <c r="H613">
        <v>5.0500000000000003E-2</v>
      </c>
      <c r="I613">
        <v>258.71429000000001</v>
      </c>
      <c r="J613">
        <v>5.7000000000000002E-2</v>
      </c>
      <c r="K613">
        <v>781.85713999999996</v>
      </c>
      <c r="L613">
        <v>5.8099999999999999E-2</v>
      </c>
      <c r="M613" s="13">
        <v>1305.1428599999999</v>
      </c>
    </row>
    <row r="614" spans="1:13" x14ac:dyDescent="0.2">
      <c r="A614">
        <v>612</v>
      </c>
      <c r="B614">
        <v>20010301</v>
      </c>
      <c r="C614" s="13">
        <v>1</v>
      </c>
      <c r="D614" s="9">
        <v>4.8399999999999999E-2</v>
      </c>
      <c r="E614" s="13">
        <v>13.142860000000001</v>
      </c>
      <c r="F614">
        <v>4.6899999999999997E-2</v>
      </c>
      <c r="G614" s="13">
        <v>26.142859999999999</v>
      </c>
      <c r="H614">
        <v>4.8000000000000001E-2</v>
      </c>
      <c r="I614">
        <v>257.71429000000001</v>
      </c>
      <c r="J614">
        <v>5.6099999999999997E-2</v>
      </c>
      <c r="K614">
        <v>780.85713999999996</v>
      </c>
      <c r="L614">
        <v>5.6500000000000002E-2</v>
      </c>
      <c r="M614" s="13">
        <v>1304.1428599999999</v>
      </c>
    </row>
    <row r="615" spans="1:13" x14ac:dyDescent="0.2">
      <c r="A615">
        <v>613</v>
      </c>
      <c r="B615">
        <v>20010308</v>
      </c>
      <c r="C615" s="13">
        <v>1</v>
      </c>
      <c r="D615" s="9">
        <v>4.6800000000000001E-2</v>
      </c>
      <c r="E615" s="13">
        <v>13.142860000000001</v>
      </c>
      <c r="F615">
        <v>4.6199999999999998E-2</v>
      </c>
      <c r="G615" s="13">
        <v>26.142859999999999</v>
      </c>
      <c r="H615">
        <v>4.8300000000000003E-2</v>
      </c>
      <c r="I615">
        <v>256.71429000000001</v>
      </c>
      <c r="J615">
        <v>5.5899999999999998E-2</v>
      </c>
      <c r="K615">
        <v>779.85713999999996</v>
      </c>
      <c r="L615">
        <v>5.6300000000000003E-2</v>
      </c>
      <c r="M615" s="13">
        <v>1303.1428599999999</v>
      </c>
    </row>
    <row r="616" spans="1:13" x14ac:dyDescent="0.2">
      <c r="A616">
        <v>614</v>
      </c>
      <c r="B616">
        <v>20010315</v>
      </c>
      <c r="C616" s="13">
        <v>1</v>
      </c>
      <c r="D616" s="9">
        <v>4.5199999999999997E-2</v>
      </c>
      <c r="E616" s="13">
        <v>13.142860000000001</v>
      </c>
      <c r="F616">
        <v>4.4499999999999998E-2</v>
      </c>
      <c r="G616" s="13">
        <v>26.142859999999999</v>
      </c>
      <c r="H616">
        <v>4.7100000000000003E-2</v>
      </c>
      <c r="I616">
        <v>255.71429000000001</v>
      </c>
      <c r="J616">
        <v>5.5399999999999998E-2</v>
      </c>
      <c r="K616">
        <v>778.85713999999996</v>
      </c>
      <c r="L616">
        <v>5.5899999999999998E-2</v>
      </c>
      <c r="M616" s="13">
        <v>1302.1428599999999</v>
      </c>
    </row>
    <row r="617" spans="1:13" x14ac:dyDescent="0.2">
      <c r="A617">
        <v>615</v>
      </c>
      <c r="B617">
        <v>20010322</v>
      </c>
      <c r="C617" s="13">
        <v>1</v>
      </c>
      <c r="D617" s="9">
        <v>4.2999999999999997E-2</v>
      </c>
      <c r="E617" s="13">
        <v>13.142860000000001</v>
      </c>
      <c r="F617">
        <v>4.2799999999999998E-2</v>
      </c>
      <c r="G617" s="13">
        <v>26.142859999999999</v>
      </c>
      <c r="H617">
        <v>4.5900000000000003E-2</v>
      </c>
      <c r="I617">
        <v>254.71429000000001</v>
      </c>
      <c r="J617">
        <v>5.5199999999999999E-2</v>
      </c>
      <c r="K617">
        <v>777.85713999999996</v>
      </c>
      <c r="L617">
        <v>5.5899999999999998E-2</v>
      </c>
      <c r="M617" s="13">
        <v>1301.1428599999999</v>
      </c>
    </row>
    <row r="618" spans="1:13" x14ac:dyDescent="0.2">
      <c r="A618">
        <v>616</v>
      </c>
      <c r="B618">
        <v>20010329</v>
      </c>
      <c r="C618" s="13">
        <v>1</v>
      </c>
      <c r="D618" s="9">
        <v>4.3400000000000001E-2</v>
      </c>
      <c r="E618" s="13">
        <v>13.142860000000001</v>
      </c>
      <c r="F618">
        <v>4.1700000000000001E-2</v>
      </c>
      <c r="G618" s="13">
        <v>26.142859999999999</v>
      </c>
      <c r="H618">
        <v>4.7800000000000002E-2</v>
      </c>
      <c r="I618">
        <v>253.71429000000001</v>
      </c>
      <c r="J618">
        <v>5.7599999999999998E-2</v>
      </c>
      <c r="K618">
        <v>776.85713999999996</v>
      </c>
      <c r="L618">
        <v>5.7799999999999997E-2</v>
      </c>
      <c r="M618" s="13">
        <v>1300.1428599999999</v>
      </c>
    </row>
    <row r="619" spans="1:13" x14ac:dyDescent="0.2">
      <c r="A619">
        <v>617</v>
      </c>
      <c r="B619">
        <v>20010405</v>
      </c>
      <c r="C619" s="13">
        <v>1</v>
      </c>
      <c r="D619" s="9">
        <v>4.0899999999999999E-2</v>
      </c>
      <c r="E619" s="13">
        <v>13.142860000000001</v>
      </c>
      <c r="F619">
        <v>4.0399999999999998E-2</v>
      </c>
      <c r="G619" s="13">
        <v>26.142859999999999</v>
      </c>
      <c r="H619">
        <v>4.6699999999999998E-2</v>
      </c>
      <c r="I619">
        <v>265.42856999999998</v>
      </c>
      <c r="J619">
        <v>5.7599999999999998E-2</v>
      </c>
      <c r="K619">
        <v>787.28570999999999</v>
      </c>
      <c r="L619">
        <v>5.8200000000000002E-2</v>
      </c>
      <c r="M619" s="13">
        <v>1299.1428599999999</v>
      </c>
    </row>
    <row r="620" spans="1:13" x14ac:dyDescent="0.2">
      <c r="A620">
        <v>618</v>
      </c>
      <c r="B620">
        <v>20010412</v>
      </c>
      <c r="C620" s="13">
        <v>1</v>
      </c>
      <c r="D620" s="9">
        <v>4.07E-2</v>
      </c>
      <c r="E620" s="13">
        <v>13.142860000000001</v>
      </c>
      <c r="F620">
        <v>4.1000000000000002E-2</v>
      </c>
      <c r="G620" s="13">
        <v>26.142859999999999</v>
      </c>
      <c r="H620">
        <v>4.7899999999999998E-2</v>
      </c>
      <c r="I620">
        <v>264.42856999999998</v>
      </c>
      <c r="J620">
        <v>5.8799999999999998E-2</v>
      </c>
      <c r="K620">
        <v>786.28570999999999</v>
      </c>
      <c r="L620">
        <v>5.9299999999999999E-2</v>
      </c>
      <c r="M620" s="13">
        <v>1298.1428599999999</v>
      </c>
    </row>
    <row r="621" spans="1:13" x14ac:dyDescent="0.2">
      <c r="A621">
        <v>619</v>
      </c>
      <c r="B621">
        <v>20010419</v>
      </c>
      <c r="C621" s="13">
        <v>1</v>
      </c>
      <c r="D621" s="9">
        <v>3.9199999999999999E-2</v>
      </c>
      <c r="E621" s="13">
        <v>13.142860000000001</v>
      </c>
      <c r="F621">
        <v>3.9399999999999998E-2</v>
      </c>
      <c r="G621" s="13">
        <v>26.142859999999999</v>
      </c>
      <c r="H621">
        <v>4.82E-2</v>
      </c>
      <c r="I621">
        <v>263.42856999999998</v>
      </c>
      <c r="J621">
        <v>5.9299999999999999E-2</v>
      </c>
      <c r="K621">
        <v>785.28570999999999</v>
      </c>
      <c r="L621">
        <v>5.9799999999999999E-2</v>
      </c>
      <c r="M621" s="13">
        <v>1297.1428599999999</v>
      </c>
    </row>
    <row r="622" spans="1:13" x14ac:dyDescent="0.2">
      <c r="A622">
        <v>620</v>
      </c>
      <c r="B622">
        <v>20010426</v>
      </c>
      <c r="C622" s="13">
        <v>1</v>
      </c>
      <c r="D622" s="9">
        <v>3.8300000000000001E-2</v>
      </c>
      <c r="E622" s="13">
        <v>13.142860000000001</v>
      </c>
      <c r="F622">
        <v>3.85E-2</v>
      </c>
      <c r="G622" s="13">
        <v>26.142859999999999</v>
      </c>
      <c r="H622">
        <v>4.8899999999999999E-2</v>
      </c>
      <c r="I622">
        <v>262.42856999999998</v>
      </c>
      <c r="J622">
        <v>6.0400000000000002E-2</v>
      </c>
      <c r="K622">
        <v>784.28570999999999</v>
      </c>
      <c r="L622">
        <v>6.0699999999999997E-2</v>
      </c>
      <c r="M622" s="13">
        <v>1296.1428599999999</v>
      </c>
    </row>
    <row r="623" spans="1:13" x14ac:dyDescent="0.2">
      <c r="A623">
        <v>621</v>
      </c>
      <c r="B623">
        <v>20010503</v>
      </c>
      <c r="C623" s="13">
        <v>1</v>
      </c>
      <c r="D623" s="9">
        <v>3.8800000000000001E-2</v>
      </c>
      <c r="E623" s="13">
        <v>13.142860000000001</v>
      </c>
      <c r="F623">
        <v>3.9199999999999999E-2</v>
      </c>
      <c r="G623" s="13">
        <v>26.142859999999999</v>
      </c>
      <c r="H623">
        <v>4.9700000000000001E-2</v>
      </c>
      <c r="I623">
        <v>261.42856999999998</v>
      </c>
      <c r="J623">
        <v>5.96E-2</v>
      </c>
      <c r="K623">
        <v>783.28570999999999</v>
      </c>
      <c r="L623">
        <v>5.9499999999999997E-2</v>
      </c>
      <c r="M623" s="13">
        <v>1295.1428599999999</v>
      </c>
    </row>
    <row r="624" spans="1:13" x14ac:dyDescent="0.2">
      <c r="A624">
        <v>622</v>
      </c>
      <c r="B624">
        <v>20010510</v>
      </c>
      <c r="C624" s="13">
        <v>1</v>
      </c>
      <c r="D624" s="9">
        <v>3.7100000000000001E-2</v>
      </c>
      <c r="E624" s="13">
        <v>13.142860000000001</v>
      </c>
      <c r="F624">
        <v>3.6499999999999998E-2</v>
      </c>
      <c r="G624" s="13">
        <v>26.142859999999999</v>
      </c>
      <c r="H624">
        <v>4.8000000000000001E-2</v>
      </c>
      <c r="I624">
        <v>260.42856999999998</v>
      </c>
      <c r="J624">
        <v>5.8900000000000001E-2</v>
      </c>
      <c r="K624">
        <v>782.28570999999999</v>
      </c>
      <c r="L624">
        <v>5.9299999999999999E-2</v>
      </c>
      <c r="M624" s="13">
        <v>1294.1428599999999</v>
      </c>
    </row>
    <row r="625" spans="1:13" x14ac:dyDescent="0.2">
      <c r="A625">
        <v>623</v>
      </c>
      <c r="B625">
        <v>20010517</v>
      </c>
      <c r="C625" s="13">
        <v>1</v>
      </c>
      <c r="D625" s="9">
        <v>3.56E-2</v>
      </c>
      <c r="E625" s="13">
        <v>13.142860000000001</v>
      </c>
      <c r="F625">
        <v>3.6400000000000002E-2</v>
      </c>
      <c r="G625" s="13">
        <v>26.142859999999999</v>
      </c>
      <c r="H625">
        <v>5.1200000000000002E-2</v>
      </c>
      <c r="I625">
        <v>259.42856999999998</v>
      </c>
      <c r="J625">
        <v>6.1499999999999999E-2</v>
      </c>
      <c r="K625">
        <v>781.28570999999999</v>
      </c>
      <c r="L625">
        <v>6.1199999999999997E-2</v>
      </c>
      <c r="M625" s="13">
        <v>1293.1428599999999</v>
      </c>
    </row>
    <row r="626" spans="1:13" x14ac:dyDescent="0.2">
      <c r="A626">
        <v>624</v>
      </c>
      <c r="B626">
        <v>20010524</v>
      </c>
      <c r="C626" s="13">
        <v>1</v>
      </c>
      <c r="D626" s="9">
        <v>3.6200000000000003E-2</v>
      </c>
      <c r="E626" s="13">
        <v>13.142860000000001</v>
      </c>
      <c r="F626">
        <v>3.6999999999999998E-2</v>
      </c>
      <c r="G626" s="13">
        <v>26.142859999999999</v>
      </c>
      <c r="H626">
        <v>5.0999999999999997E-2</v>
      </c>
      <c r="I626">
        <v>258.42856999999998</v>
      </c>
      <c r="J626">
        <v>6.1100000000000002E-2</v>
      </c>
      <c r="K626">
        <v>780.28570999999999</v>
      </c>
      <c r="L626">
        <v>6.08E-2</v>
      </c>
      <c r="M626" s="13">
        <v>1292.1428599999999</v>
      </c>
    </row>
    <row r="627" spans="1:13" x14ac:dyDescent="0.2">
      <c r="A627">
        <v>625</v>
      </c>
      <c r="B627">
        <v>20010531</v>
      </c>
      <c r="C627" s="13">
        <v>1</v>
      </c>
      <c r="D627" s="9">
        <v>3.6700000000000003E-2</v>
      </c>
      <c r="E627" s="13">
        <v>13.142860000000001</v>
      </c>
      <c r="F627">
        <v>3.6400000000000002E-2</v>
      </c>
      <c r="G627" s="13">
        <v>26.142859999999999</v>
      </c>
      <c r="H627">
        <v>5.1999999999999998E-2</v>
      </c>
      <c r="I627">
        <v>257.42856999999998</v>
      </c>
      <c r="J627">
        <v>6.1499999999999999E-2</v>
      </c>
      <c r="K627">
        <v>779.28570999999999</v>
      </c>
      <c r="L627">
        <v>6.13E-2</v>
      </c>
      <c r="M627" s="13">
        <v>1291.1428599999999</v>
      </c>
    </row>
    <row r="628" spans="1:13" x14ac:dyDescent="0.2">
      <c r="A628">
        <v>626</v>
      </c>
      <c r="B628">
        <v>20010607</v>
      </c>
      <c r="C628" s="13">
        <v>1</v>
      </c>
      <c r="D628" s="9">
        <v>3.5999999999999997E-2</v>
      </c>
      <c r="E628" s="13">
        <v>13.142860000000001</v>
      </c>
      <c r="F628">
        <v>3.5799999999999998E-2</v>
      </c>
      <c r="G628" s="13">
        <v>26.142859999999999</v>
      </c>
      <c r="H628">
        <v>4.9700000000000001E-2</v>
      </c>
      <c r="I628">
        <v>265.14285999999998</v>
      </c>
      <c r="J628">
        <v>5.9499999999999997E-2</v>
      </c>
      <c r="K628">
        <v>778.28570999999999</v>
      </c>
      <c r="L628">
        <v>5.9700000000000003E-2</v>
      </c>
      <c r="M628" s="13">
        <v>1316</v>
      </c>
    </row>
    <row r="629" spans="1:13" x14ac:dyDescent="0.2">
      <c r="A629">
        <v>627</v>
      </c>
      <c r="B629">
        <v>20010614</v>
      </c>
      <c r="C629" s="13">
        <v>1</v>
      </c>
      <c r="D629" s="9">
        <v>3.7100000000000001E-2</v>
      </c>
      <c r="E629" s="13">
        <v>13.142860000000001</v>
      </c>
      <c r="F629">
        <v>3.7900000000000003E-2</v>
      </c>
      <c r="G629" s="13">
        <v>26.142859999999999</v>
      </c>
      <c r="H629">
        <v>4.9200000000000001E-2</v>
      </c>
      <c r="I629">
        <v>264.14285999999998</v>
      </c>
      <c r="J629">
        <v>5.9400000000000001E-2</v>
      </c>
      <c r="K629">
        <v>777.28570999999999</v>
      </c>
      <c r="L629">
        <v>5.7500000000000002E-2</v>
      </c>
      <c r="M629" s="13">
        <v>1315</v>
      </c>
    </row>
    <row r="630" spans="1:13" x14ac:dyDescent="0.2">
      <c r="A630">
        <v>628</v>
      </c>
      <c r="B630">
        <v>20010621</v>
      </c>
      <c r="C630" s="13">
        <v>1</v>
      </c>
      <c r="D630" s="9">
        <v>3.4799999999999998E-2</v>
      </c>
      <c r="E630" s="13">
        <v>13.142860000000001</v>
      </c>
      <c r="F630">
        <v>3.4599999999999999E-2</v>
      </c>
      <c r="G630" s="13">
        <v>26.142859999999999</v>
      </c>
      <c r="H630">
        <v>4.82E-2</v>
      </c>
      <c r="I630">
        <v>263.14285999999998</v>
      </c>
      <c r="J630">
        <v>5.9400000000000001E-2</v>
      </c>
      <c r="K630">
        <v>776.28570999999999</v>
      </c>
      <c r="L630">
        <v>5.9799999999999999E-2</v>
      </c>
      <c r="M630" s="13">
        <v>1314</v>
      </c>
    </row>
    <row r="631" spans="1:13" x14ac:dyDescent="0.2">
      <c r="A631">
        <v>629</v>
      </c>
      <c r="B631">
        <v>20010628</v>
      </c>
      <c r="C631" s="13">
        <v>1</v>
      </c>
      <c r="D631" s="9">
        <v>3.5000000000000003E-2</v>
      </c>
      <c r="E631" s="13">
        <v>13.142860000000001</v>
      </c>
      <c r="F631">
        <v>3.5200000000000002E-2</v>
      </c>
      <c r="G631" s="13">
        <v>26.142859999999999</v>
      </c>
      <c r="H631">
        <v>4.9200000000000001E-2</v>
      </c>
      <c r="I631">
        <v>262.14285999999998</v>
      </c>
      <c r="J631">
        <v>5.8999999999999997E-2</v>
      </c>
      <c r="K631">
        <v>775.28570999999999</v>
      </c>
      <c r="L631">
        <v>5.8999999999999997E-2</v>
      </c>
      <c r="M631" s="13">
        <v>1313</v>
      </c>
    </row>
    <row r="632" spans="1:13" x14ac:dyDescent="0.2">
      <c r="A632">
        <v>630</v>
      </c>
      <c r="B632">
        <v>20010705</v>
      </c>
      <c r="C632" s="13">
        <v>1</v>
      </c>
      <c r="D632" s="9">
        <v>3.5700000000000003E-2</v>
      </c>
      <c r="E632" s="13">
        <v>13.142860000000001</v>
      </c>
      <c r="F632">
        <v>3.6600000000000001E-2</v>
      </c>
      <c r="G632" s="13">
        <v>26.142859999999999</v>
      </c>
      <c r="H632">
        <v>0.05</v>
      </c>
      <c r="I632">
        <v>261.14285999999998</v>
      </c>
      <c r="J632">
        <v>6.0400000000000002E-2</v>
      </c>
      <c r="K632">
        <v>774.28570999999999</v>
      </c>
      <c r="L632">
        <v>5.9900000000000002E-2</v>
      </c>
      <c r="M632" s="13">
        <v>1312</v>
      </c>
    </row>
    <row r="633" spans="1:13" x14ac:dyDescent="0.2">
      <c r="A633">
        <v>631</v>
      </c>
      <c r="B633">
        <v>20010712</v>
      </c>
      <c r="C633" s="13">
        <v>1</v>
      </c>
      <c r="D633" s="9">
        <v>3.5900000000000001E-2</v>
      </c>
      <c r="E633" s="13">
        <v>13.142860000000001</v>
      </c>
      <c r="F633">
        <v>3.5499999999999997E-2</v>
      </c>
      <c r="G633" s="13">
        <v>26.142859999999999</v>
      </c>
      <c r="H633">
        <v>4.9099999999999998E-2</v>
      </c>
      <c r="I633">
        <v>260.14285999999998</v>
      </c>
      <c r="J633">
        <v>0.06</v>
      </c>
      <c r="K633">
        <v>773.28570999999999</v>
      </c>
      <c r="L633">
        <v>5.9799999999999999E-2</v>
      </c>
      <c r="M633" s="13">
        <v>1311</v>
      </c>
    </row>
    <row r="634" spans="1:13" x14ac:dyDescent="0.2">
      <c r="A634">
        <v>632</v>
      </c>
      <c r="B634">
        <v>20010719</v>
      </c>
      <c r="C634" s="13">
        <v>1</v>
      </c>
      <c r="D634" s="9">
        <v>3.5299999999999998E-2</v>
      </c>
      <c r="E634" s="13">
        <v>13.142860000000001</v>
      </c>
      <c r="F634">
        <v>3.5200000000000002E-2</v>
      </c>
      <c r="G634" s="13">
        <v>26.142859999999999</v>
      </c>
      <c r="H634">
        <v>4.7399999999999998E-2</v>
      </c>
      <c r="I634">
        <v>259.14285999999998</v>
      </c>
      <c r="J634">
        <v>5.7700000000000001E-2</v>
      </c>
      <c r="K634">
        <v>772.28570999999999</v>
      </c>
      <c r="L634">
        <v>5.8000000000000003E-2</v>
      </c>
      <c r="M634" s="13">
        <v>1310</v>
      </c>
    </row>
    <row r="635" spans="1:13" x14ac:dyDescent="0.2">
      <c r="A635">
        <v>633</v>
      </c>
      <c r="B635">
        <v>20010726</v>
      </c>
      <c r="C635" s="13">
        <v>1</v>
      </c>
      <c r="D635" s="9">
        <v>3.5499999999999997E-2</v>
      </c>
      <c r="E635" s="13">
        <v>13.142860000000001</v>
      </c>
      <c r="F635">
        <v>3.5200000000000002E-2</v>
      </c>
      <c r="G635" s="13">
        <v>26.142859999999999</v>
      </c>
      <c r="H635">
        <v>4.8000000000000001E-2</v>
      </c>
      <c r="I635">
        <v>258.14285999999998</v>
      </c>
      <c r="J635">
        <v>5.8200000000000002E-2</v>
      </c>
      <c r="K635">
        <v>771.28570999999999</v>
      </c>
      <c r="L635">
        <v>5.8599999999999999E-2</v>
      </c>
      <c r="M635" s="13">
        <v>1309</v>
      </c>
    </row>
    <row r="636" spans="1:13" x14ac:dyDescent="0.2">
      <c r="A636">
        <v>634</v>
      </c>
      <c r="B636">
        <v>20010802</v>
      </c>
      <c r="C636" s="13">
        <v>1</v>
      </c>
      <c r="D636" s="9">
        <v>3.6600000000000001E-2</v>
      </c>
      <c r="E636" s="13">
        <v>13.142860000000001</v>
      </c>
      <c r="F636">
        <v>3.5400000000000001E-2</v>
      </c>
      <c r="G636" s="13">
        <v>26.142859999999999</v>
      </c>
      <c r="H636">
        <v>4.6699999999999998E-2</v>
      </c>
      <c r="I636">
        <v>257.14285999999998</v>
      </c>
      <c r="J636">
        <v>5.74E-2</v>
      </c>
      <c r="K636">
        <v>770.28570999999999</v>
      </c>
      <c r="L636">
        <v>5.8099999999999999E-2</v>
      </c>
      <c r="M636" s="13">
        <v>1308</v>
      </c>
    </row>
    <row r="637" spans="1:13" x14ac:dyDescent="0.2">
      <c r="A637">
        <v>635</v>
      </c>
      <c r="B637">
        <v>20010809</v>
      </c>
      <c r="C637" s="13">
        <v>1</v>
      </c>
      <c r="D637" s="9">
        <v>3.4799999999999998E-2</v>
      </c>
      <c r="E637" s="13">
        <v>13.142860000000001</v>
      </c>
      <c r="F637">
        <v>3.4000000000000002E-2</v>
      </c>
      <c r="G637" s="13">
        <v>26.142859999999999</v>
      </c>
      <c r="H637">
        <v>4.6699999999999998E-2</v>
      </c>
      <c r="I637">
        <v>256.14285999999998</v>
      </c>
      <c r="J637">
        <v>5.74E-2</v>
      </c>
      <c r="K637">
        <v>769.28570999999999</v>
      </c>
      <c r="L637">
        <v>5.8000000000000003E-2</v>
      </c>
      <c r="M637" s="13">
        <v>1307</v>
      </c>
    </row>
    <row r="638" spans="1:13" x14ac:dyDescent="0.2">
      <c r="A638">
        <v>636</v>
      </c>
      <c r="B638">
        <v>20010816</v>
      </c>
      <c r="C638" s="13">
        <v>1</v>
      </c>
      <c r="D638" s="9">
        <v>3.4200000000000001E-2</v>
      </c>
      <c r="E638" s="13">
        <v>13.142860000000001</v>
      </c>
      <c r="F638">
        <v>3.3799999999999997E-2</v>
      </c>
      <c r="G638" s="13">
        <v>26.142859999999999</v>
      </c>
      <c r="H638">
        <v>4.6899999999999997E-2</v>
      </c>
      <c r="I638">
        <v>255.14286000000001</v>
      </c>
      <c r="J638">
        <v>5.74E-2</v>
      </c>
      <c r="K638">
        <v>768.28570999999999</v>
      </c>
      <c r="L638">
        <v>5.79E-2</v>
      </c>
      <c r="M638" s="13">
        <v>1306</v>
      </c>
    </row>
    <row r="639" spans="1:13" x14ac:dyDescent="0.2">
      <c r="A639">
        <v>637</v>
      </c>
      <c r="B639">
        <v>20010823</v>
      </c>
      <c r="C639" s="13">
        <v>1</v>
      </c>
      <c r="D639" s="9">
        <v>3.3700000000000001E-2</v>
      </c>
      <c r="E639" s="13">
        <v>13.142860000000001</v>
      </c>
      <c r="F639">
        <v>3.3500000000000002E-2</v>
      </c>
      <c r="G639" s="13">
        <v>26.142859999999999</v>
      </c>
      <c r="H639">
        <v>4.6100000000000002E-2</v>
      </c>
      <c r="I639">
        <v>254.14286000000001</v>
      </c>
      <c r="J639">
        <v>5.6599999999999998E-2</v>
      </c>
      <c r="K639">
        <v>767.28570999999999</v>
      </c>
      <c r="L639">
        <v>5.7299999999999997E-2</v>
      </c>
      <c r="M639" s="13">
        <v>1305</v>
      </c>
    </row>
    <row r="640" spans="1:13" x14ac:dyDescent="0.2">
      <c r="A640">
        <v>638</v>
      </c>
      <c r="B640">
        <v>20010830</v>
      </c>
      <c r="C640" s="13">
        <v>1</v>
      </c>
      <c r="D640" s="9">
        <v>3.4299999999999997E-2</v>
      </c>
      <c r="E640" s="13">
        <v>13.142860000000001</v>
      </c>
      <c r="F640">
        <v>3.3799999999999997E-2</v>
      </c>
      <c r="G640" s="13">
        <v>26.142859999999999</v>
      </c>
      <c r="H640">
        <v>4.4900000000000002E-2</v>
      </c>
      <c r="I640">
        <v>253.14286000000001</v>
      </c>
      <c r="J640">
        <v>5.6000000000000001E-2</v>
      </c>
      <c r="K640">
        <v>793.71428600000002</v>
      </c>
      <c r="L640">
        <v>5.6649999999999999E-2</v>
      </c>
      <c r="M640" s="13">
        <v>1302.2857100000001</v>
      </c>
    </row>
    <row r="641" spans="1:13" x14ac:dyDescent="0.2">
      <c r="A641">
        <v>639</v>
      </c>
      <c r="B641">
        <v>20010906</v>
      </c>
      <c r="C641" s="13">
        <v>1</v>
      </c>
      <c r="D641" s="9">
        <v>3.39E-2</v>
      </c>
      <c r="E641" s="13">
        <v>13.142860000000001</v>
      </c>
      <c r="F641">
        <v>3.3700000000000001E-2</v>
      </c>
      <c r="G641" s="13">
        <v>26.142859999999999</v>
      </c>
      <c r="H641">
        <v>4.6600000000000003E-2</v>
      </c>
      <c r="I641">
        <v>252.14286000000001</v>
      </c>
      <c r="J641">
        <v>5.6599999999999998E-2</v>
      </c>
      <c r="K641">
        <v>792.71428600000002</v>
      </c>
      <c r="L641">
        <v>5.6899999999999999E-2</v>
      </c>
      <c r="M641" s="13">
        <v>1301.2857100000001</v>
      </c>
    </row>
    <row r="642" spans="1:13" x14ac:dyDescent="0.2">
      <c r="A642">
        <v>640</v>
      </c>
      <c r="B642">
        <v>20010911</v>
      </c>
      <c r="C642" s="13">
        <v>0.71428999999999998</v>
      </c>
      <c r="D642" s="9">
        <v>3.1899999999999998E-2</v>
      </c>
      <c r="E642" s="13">
        <v>13.428570000000001</v>
      </c>
      <c r="F642">
        <v>3.1300000000000001E-2</v>
      </c>
      <c r="G642" s="13">
        <v>26.428570000000001</v>
      </c>
      <c r="H642">
        <v>4.4499999999999998E-2</v>
      </c>
      <c r="I642">
        <v>251.42857000000001</v>
      </c>
      <c r="J642">
        <v>5.6660000000000002E-2</v>
      </c>
      <c r="K642">
        <v>792</v>
      </c>
      <c r="L642">
        <v>5.7329999999999999E-2</v>
      </c>
      <c r="M642" s="13">
        <v>1300.57143</v>
      </c>
    </row>
    <row r="643" spans="1:13" x14ac:dyDescent="0.2">
      <c r="A643">
        <v>641</v>
      </c>
      <c r="B643">
        <v>20010920</v>
      </c>
      <c r="C643" s="13">
        <v>1.2857149999999999</v>
      </c>
      <c r="D643" s="9">
        <v>2.1399999999999999E-2</v>
      </c>
      <c r="E643" s="13">
        <v>13.142860000000001</v>
      </c>
      <c r="F643">
        <v>2.63E-2</v>
      </c>
      <c r="G643" s="13">
        <v>26.142859999999999</v>
      </c>
      <c r="H643">
        <v>3.9899999999999998E-2</v>
      </c>
      <c r="I643">
        <v>250.14286000000001</v>
      </c>
      <c r="J643">
        <v>5.8979999999999998E-2</v>
      </c>
      <c r="K643">
        <v>790.71428600000002</v>
      </c>
      <c r="L643">
        <v>6.0229999999999999E-2</v>
      </c>
      <c r="M643" s="13">
        <v>1299.2857100000001</v>
      </c>
    </row>
    <row r="644" spans="1:13" x14ac:dyDescent="0.2">
      <c r="A644">
        <v>642</v>
      </c>
      <c r="B644">
        <v>20010927</v>
      </c>
      <c r="C644" s="13">
        <v>1</v>
      </c>
      <c r="D644" s="9">
        <v>2.3699999999999999E-2</v>
      </c>
      <c r="E644" s="13">
        <v>13.142860000000001</v>
      </c>
      <c r="F644">
        <v>2.35E-2</v>
      </c>
      <c r="G644" s="13">
        <v>26.142859999999999</v>
      </c>
      <c r="H644">
        <v>4.0099999999999997E-2</v>
      </c>
      <c r="I644">
        <v>249.14286000000001</v>
      </c>
      <c r="J644">
        <v>5.6529999999999997E-2</v>
      </c>
      <c r="K644">
        <v>789.71428600000002</v>
      </c>
      <c r="L644">
        <v>5.7860000000000002E-2</v>
      </c>
      <c r="M644" s="13">
        <v>1298.2857100000001</v>
      </c>
    </row>
    <row r="645" spans="1:13" x14ac:dyDescent="0.2">
      <c r="A645">
        <v>643</v>
      </c>
      <c r="B645">
        <v>20011004</v>
      </c>
      <c r="C645" s="13">
        <v>1</v>
      </c>
      <c r="D645" s="9">
        <v>2.2100000000000002E-2</v>
      </c>
      <c r="E645" s="13">
        <v>13.142860000000001</v>
      </c>
      <c r="F645">
        <v>2.2100000000000002E-2</v>
      </c>
      <c r="G645" s="13">
        <v>26.142859999999999</v>
      </c>
      <c r="H645">
        <v>3.9399999999999998E-2</v>
      </c>
      <c r="I645">
        <v>248.14286000000001</v>
      </c>
      <c r="J645">
        <v>5.5129999999999998E-2</v>
      </c>
      <c r="K645">
        <v>788.71428600000002</v>
      </c>
      <c r="L645">
        <v>5.645E-2</v>
      </c>
      <c r="M645" s="13">
        <v>1297.2857100000001</v>
      </c>
    </row>
    <row r="646" spans="1:13" x14ac:dyDescent="0.2">
      <c r="A646">
        <v>644</v>
      </c>
      <c r="B646">
        <v>20011011</v>
      </c>
      <c r="C646" s="13">
        <v>1</v>
      </c>
      <c r="D646" s="9">
        <v>2.2200000000000001E-2</v>
      </c>
      <c r="E646" s="13">
        <v>13.142860000000001</v>
      </c>
      <c r="F646">
        <v>2.1899999999999999E-2</v>
      </c>
      <c r="G646" s="13">
        <v>26.142859999999999</v>
      </c>
      <c r="H646">
        <v>3.9800000000000002E-2</v>
      </c>
      <c r="I646">
        <v>247.14286000000001</v>
      </c>
      <c r="J646">
        <v>5.645E-2</v>
      </c>
      <c r="K646">
        <v>787.71428600000002</v>
      </c>
      <c r="L646">
        <v>5.738E-2</v>
      </c>
      <c r="M646" s="13">
        <v>1296.2857100000001</v>
      </c>
    </row>
    <row r="647" spans="1:13" x14ac:dyDescent="0.2">
      <c r="A647">
        <v>645</v>
      </c>
      <c r="B647">
        <v>20011018</v>
      </c>
      <c r="C647" s="13">
        <v>1</v>
      </c>
      <c r="D647" s="9">
        <v>2.2100000000000002E-2</v>
      </c>
      <c r="E647" s="13">
        <v>13.142860000000001</v>
      </c>
      <c r="F647">
        <v>2.1899999999999999E-2</v>
      </c>
      <c r="G647" s="13">
        <v>26.142859999999999</v>
      </c>
      <c r="H647">
        <v>3.95E-2</v>
      </c>
      <c r="I647">
        <v>246.14286000000001</v>
      </c>
      <c r="J647">
        <v>5.5230000000000001E-2</v>
      </c>
      <c r="K647">
        <v>786.71428600000002</v>
      </c>
      <c r="L647">
        <v>5.6430000000000001E-2</v>
      </c>
      <c r="M647" s="13">
        <v>1295.2857100000001</v>
      </c>
    </row>
    <row r="648" spans="1:13" x14ac:dyDescent="0.2">
      <c r="A648">
        <v>646</v>
      </c>
      <c r="B648">
        <v>20011025</v>
      </c>
      <c r="C648" s="13">
        <v>1</v>
      </c>
      <c r="D648" s="9">
        <v>2.1600000000000001E-2</v>
      </c>
      <c r="E648" s="13">
        <v>13.142860000000001</v>
      </c>
      <c r="F648">
        <v>2.1100000000000001E-2</v>
      </c>
      <c r="G648" s="13">
        <v>26.142859999999999</v>
      </c>
      <c r="H648">
        <v>3.9699999999999999E-2</v>
      </c>
      <c r="I648">
        <v>245.14286000000001</v>
      </c>
      <c r="J648">
        <v>5.466E-2</v>
      </c>
      <c r="K648">
        <v>785.71428600000002</v>
      </c>
      <c r="L648">
        <v>5.5930000000000001E-2</v>
      </c>
      <c r="M648" s="13">
        <v>1294.2857100000001</v>
      </c>
    </row>
    <row r="649" spans="1:13" x14ac:dyDescent="0.2">
      <c r="A649">
        <v>647</v>
      </c>
      <c r="B649">
        <v>20011101</v>
      </c>
      <c r="C649" s="13">
        <v>1</v>
      </c>
      <c r="D649" s="9">
        <v>2.0400000000000001E-2</v>
      </c>
      <c r="E649" s="13">
        <v>13.142860000000001</v>
      </c>
      <c r="F649">
        <v>1.9300000000000001E-2</v>
      </c>
      <c r="G649" s="13">
        <v>26.142859999999999</v>
      </c>
      <c r="H649">
        <v>3.6600000000000001E-2</v>
      </c>
      <c r="I649">
        <v>244.14286000000001</v>
      </c>
      <c r="J649">
        <v>5.1619999999999999E-2</v>
      </c>
      <c r="K649">
        <v>784.71428600000002</v>
      </c>
      <c r="L649">
        <v>5.2720000000000003E-2</v>
      </c>
      <c r="M649" s="13">
        <v>1293.2857100000001</v>
      </c>
    </row>
    <row r="650" spans="1:13" x14ac:dyDescent="0.2">
      <c r="A650">
        <v>648</v>
      </c>
      <c r="B650">
        <v>20011108</v>
      </c>
      <c r="C650" s="13">
        <v>1</v>
      </c>
      <c r="D650" s="9">
        <v>1.7899999999999999E-2</v>
      </c>
      <c r="E650" s="13">
        <v>13.142860000000001</v>
      </c>
      <c r="F650">
        <v>1.7399999999999999E-2</v>
      </c>
      <c r="G650" s="13">
        <v>26.142859999999999</v>
      </c>
      <c r="H650">
        <v>3.5400000000000001E-2</v>
      </c>
      <c r="I650">
        <v>243.14286000000001</v>
      </c>
      <c r="J650">
        <v>5.2080000000000001E-2</v>
      </c>
      <c r="K650">
        <v>783.71428600000002</v>
      </c>
      <c r="L650">
        <v>5.2979999999999999E-2</v>
      </c>
      <c r="M650" s="13">
        <v>1292.2857100000001</v>
      </c>
    </row>
    <row r="651" spans="1:13" x14ac:dyDescent="0.2">
      <c r="A651">
        <v>649</v>
      </c>
      <c r="B651">
        <v>20011115</v>
      </c>
      <c r="C651" s="13">
        <v>1</v>
      </c>
      <c r="D651" s="9">
        <v>1.8499999999999999E-2</v>
      </c>
      <c r="E651" s="13">
        <v>13.142860000000001</v>
      </c>
      <c r="F651">
        <v>1.89E-2</v>
      </c>
      <c r="G651" s="13">
        <v>26.142859999999999</v>
      </c>
      <c r="H651">
        <v>3.9E-2</v>
      </c>
      <c r="I651">
        <v>242.14286000000001</v>
      </c>
      <c r="J651">
        <v>5.6210000000000003E-2</v>
      </c>
      <c r="K651">
        <v>782.71428600000002</v>
      </c>
      <c r="L651">
        <v>5.6500000000000002E-2</v>
      </c>
      <c r="M651" s="13">
        <v>1291.2857100000001</v>
      </c>
    </row>
    <row r="652" spans="1:13" x14ac:dyDescent="0.2">
      <c r="A652">
        <v>650</v>
      </c>
      <c r="B652">
        <v>20011123</v>
      </c>
      <c r="C652" s="13">
        <v>1</v>
      </c>
      <c r="D652" s="9">
        <v>1.9400000000000001E-2</v>
      </c>
      <c r="E652" s="13">
        <v>13.142860000000001</v>
      </c>
      <c r="F652">
        <v>2.0199999999999999E-2</v>
      </c>
      <c r="G652" s="13">
        <v>26.142859999999999</v>
      </c>
      <c r="H652">
        <v>4.3700000000000003E-2</v>
      </c>
      <c r="I652">
        <v>241.14286000000001</v>
      </c>
      <c r="J652">
        <v>5.8700000000000002E-2</v>
      </c>
      <c r="K652">
        <v>781.71428600000002</v>
      </c>
      <c r="L652">
        <v>5.7889999999999997E-2</v>
      </c>
      <c r="M652" s="13">
        <v>1290.1428599999999</v>
      </c>
    </row>
    <row r="653" spans="1:13" x14ac:dyDescent="0.2">
      <c r="A653">
        <v>651</v>
      </c>
      <c r="B653">
        <v>20011129</v>
      </c>
      <c r="C653" s="13">
        <v>1</v>
      </c>
      <c r="D653" s="9">
        <v>1.8499999999999999E-2</v>
      </c>
      <c r="E653" s="13">
        <v>13.142860000000001</v>
      </c>
      <c r="F653">
        <v>1.9099999999999999E-2</v>
      </c>
      <c r="G653" s="13">
        <v>26.142859999999999</v>
      </c>
      <c r="H653">
        <v>4.3700000000000003E-2</v>
      </c>
      <c r="I653">
        <v>240.14286000000001</v>
      </c>
      <c r="J653">
        <v>5.7520000000000002E-2</v>
      </c>
      <c r="K653">
        <v>780.71428600000002</v>
      </c>
      <c r="L653">
        <v>5.722E-2</v>
      </c>
      <c r="M653" s="13">
        <v>1289.2857100000001</v>
      </c>
    </row>
    <row r="654" spans="1:13" x14ac:dyDescent="0.2">
      <c r="A654">
        <v>652</v>
      </c>
      <c r="B654">
        <v>20011206</v>
      </c>
      <c r="C654" s="13">
        <v>1</v>
      </c>
      <c r="D654" s="9">
        <v>1.7600000000000001E-2</v>
      </c>
      <c r="E654" s="13">
        <v>13.142860000000001</v>
      </c>
      <c r="F654">
        <v>1.8700000000000001E-2</v>
      </c>
      <c r="G654" s="13">
        <v>26.142859999999999</v>
      </c>
      <c r="H654">
        <v>4.2900000000000001E-2</v>
      </c>
      <c r="I654">
        <v>239.14286000000001</v>
      </c>
      <c r="J654">
        <v>5.9729999999999998E-2</v>
      </c>
      <c r="K654">
        <v>779.71428600000002</v>
      </c>
      <c r="L654">
        <v>5.926E-2</v>
      </c>
      <c r="M654" s="13">
        <v>1301.42857</v>
      </c>
    </row>
    <row r="655" spans="1:13" x14ac:dyDescent="0.2">
      <c r="A655">
        <v>653</v>
      </c>
      <c r="B655">
        <v>20011213</v>
      </c>
      <c r="C655" s="13">
        <v>1</v>
      </c>
      <c r="D655" s="9">
        <v>1.67E-2</v>
      </c>
      <c r="E655" s="13">
        <v>13.142860000000001</v>
      </c>
      <c r="F655">
        <v>1.72E-2</v>
      </c>
      <c r="G655" s="13">
        <v>26.142859999999999</v>
      </c>
      <c r="H655">
        <v>4.3200000000000002E-2</v>
      </c>
      <c r="I655">
        <v>238.14286000000001</v>
      </c>
      <c r="J655">
        <v>6.0699999999999997E-2</v>
      </c>
      <c r="K655">
        <v>778.71428600000002</v>
      </c>
      <c r="L655">
        <v>6.0150000000000002E-2</v>
      </c>
      <c r="M655" s="13">
        <v>1300.42857</v>
      </c>
    </row>
    <row r="656" spans="1:13" x14ac:dyDescent="0.2">
      <c r="A656">
        <v>654</v>
      </c>
      <c r="B656">
        <v>20011220</v>
      </c>
      <c r="C656" s="13">
        <v>1</v>
      </c>
      <c r="D656" s="9">
        <v>1.6799999999999999E-2</v>
      </c>
      <c r="E656" s="13">
        <v>13.142860000000001</v>
      </c>
      <c r="F656">
        <v>1.7899999999999999E-2</v>
      </c>
      <c r="G656" s="13">
        <v>26.142859999999999</v>
      </c>
      <c r="H656">
        <v>4.4299999999999999E-2</v>
      </c>
      <c r="I656">
        <v>237.14286000000001</v>
      </c>
      <c r="J656">
        <v>5.9709999999999999E-2</v>
      </c>
      <c r="K656">
        <v>777.71428600000002</v>
      </c>
      <c r="L656">
        <v>5.9159999999999997E-2</v>
      </c>
      <c r="M656" s="13">
        <v>1299.42857</v>
      </c>
    </row>
    <row r="657" spans="1:13" x14ac:dyDescent="0.2">
      <c r="A657">
        <v>655</v>
      </c>
      <c r="B657">
        <v>20011227</v>
      </c>
      <c r="C657" s="13">
        <v>1</v>
      </c>
      <c r="D657" s="9">
        <v>1.7299999999999999E-2</v>
      </c>
      <c r="E657" s="13">
        <v>13.142860000000001</v>
      </c>
      <c r="F657">
        <v>1.8499999999999999E-2</v>
      </c>
      <c r="G657" s="13">
        <v>26.142859999999999</v>
      </c>
      <c r="H657">
        <v>4.5900000000000003E-2</v>
      </c>
      <c r="I657">
        <v>236.14286000000001</v>
      </c>
      <c r="J657">
        <v>6.0199999999999997E-2</v>
      </c>
      <c r="K657">
        <v>776.71428600000002</v>
      </c>
      <c r="L657">
        <v>5.9470000000000002E-2</v>
      </c>
      <c r="M657" s="13">
        <v>1298.42857</v>
      </c>
    </row>
    <row r="658" spans="1:13" x14ac:dyDescent="0.2">
      <c r="A658">
        <v>656</v>
      </c>
      <c r="B658">
        <v>20020103</v>
      </c>
      <c r="C658" s="13">
        <v>1</v>
      </c>
      <c r="D658" s="9">
        <v>1.72E-2</v>
      </c>
      <c r="E658" s="13">
        <v>13.142860000000001</v>
      </c>
      <c r="F658">
        <v>1.84E-2</v>
      </c>
      <c r="G658" s="13">
        <v>26.142859999999999</v>
      </c>
      <c r="H658">
        <v>4.7E-2</v>
      </c>
      <c r="I658">
        <v>266</v>
      </c>
      <c r="J658">
        <v>6.1150000000000003E-2</v>
      </c>
      <c r="K658">
        <v>801.57142899999997</v>
      </c>
      <c r="L658">
        <v>6.0170000000000001E-2</v>
      </c>
      <c r="M658" s="13">
        <v>1297.42857</v>
      </c>
    </row>
    <row r="659" spans="1:13" x14ac:dyDescent="0.2">
      <c r="A659">
        <v>657</v>
      </c>
      <c r="B659">
        <v>20020110</v>
      </c>
      <c r="C659" s="13">
        <v>1</v>
      </c>
      <c r="D659" s="9">
        <v>1.67E-2</v>
      </c>
      <c r="E659" s="13">
        <v>13.142860000000001</v>
      </c>
      <c r="F659">
        <v>1.7500000000000002E-2</v>
      </c>
      <c r="G659" s="13">
        <v>26.142859999999999</v>
      </c>
      <c r="H659">
        <v>4.58E-2</v>
      </c>
      <c r="I659">
        <v>265</v>
      </c>
      <c r="J659">
        <v>5.8900000000000001E-2</v>
      </c>
      <c r="K659">
        <v>800.57142899999997</v>
      </c>
      <c r="L659">
        <v>5.8549999999999998E-2</v>
      </c>
      <c r="M659" s="13">
        <v>1296.42857</v>
      </c>
    </row>
    <row r="660" spans="1:13" x14ac:dyDescent="0.2">
      <c r="A660">
        <v>658</v>
      </c>
      <c r="B660">
        <v>20020117</v>
      </c>
      <c r="C660" s="13">
        <v>1</v>
      </c>
      <c r="D660" s="9">
        <v>1.6E-2</v>
      </c>
      <c r="E660" s="13">
        <v>13.142860000000001</v>
      </c>
      <c r="F660">
        <v>1.6500000000000001E-2</v>
      </c>
      <c r="G660" s="13">
        <v>26.142859999999999</v>
      </c>
      <c r="H660">
        <v>4.3499999999999997E-2</v>
      </c>
      <c r="I660">
        <v>264</v>
      </c>
      <c r="J660">
        <v>5.8900000000000001E-2</v>
      </c>
      <c r="K660">
        <v>799.57142899999997</v>
      </c>
      <c r="L660">
        <v>5.8599999999999999E-2</v>
      </c>
      <c r="M660" s="13">
        <v>1295.42857</v>
      </c>
    </row>
    <row r="661" spans="1:13" x14ac:dyDescent="0.2">
      <c r="A661">
        <v>659</v>
      </c>
      <c r="B661">
        <v>20020124</v>
      </c>
      <c r="C661" s="13">
        <v>1</v>
      </c>
      <c r="D661" s="9">
        <v>1.7000000000000001E-2</v>
      </c>
      <c r="E661" s="13">
        <v>13.142860000000001</v>
      </c>
      <c r="F661">
        <v>1.78E-2</v>
      </c>
      <c r="G661" s="13">
        <v>26.142859999999999</v>
      </c>
      <c r="H661">
        <v>4.53E-2</v>
      </c>
      <c r="I661">
        <v>263</v>
      </c>
      <c r="J661">
        <v>5.9650000000000002E-2</v>
      </c>
      <c r="K661">
        <v>798.57142899999997</v>
      </c>
      <c r="L661">
        <v>5.9249999999999997E-2</v>
      </c>
      <c r="M661" s="13">
        <v>1294.42857</v>
      </c>
    </row>
    <row r="662" spans="1:13" x14ac:dyDescent="0.2">
      <c r="A662">
        <v>660</v>
      </c>
      <c r="B662">
        <v>20020131</v>
      </c>
      <c r="C662" s="13">
        <v>1</v>
      </c>
      <c r="D662" s="9">
        <v>1.7299999999999999E-2</v>
      </c>
      <c r="E662" s="13">
        <v>13.142860000000001</v>
      </c>
      <c r="F662">
        <v>1.84E-2</v>
      </c>
      <c r="G662" s="13">
        <v>26.142859999999999</v>
      </c>
      <c r="H662">
        <v>4.4900000000000002E-2</v>
      </c>
      <c r="I662">
        <v>262</v>
      </c>
      <c r="J662">
        <v>5.9229999999999998E-2</v>
      </c>
      <c r="K662">
        <v>797.57142899999997</v>
      </c>
      <c r="L662">
        <v>5.8650000000000001E-2</v>
      </c>
      <c r="M662" s="13">
        <v>1293.42857</v>
      </c>
    </row>
    <row r="663" spans="1:13" x14ac:dyDescent="0.2">
      <c r="A663">
        <v>661</v>
      </c>
      <c r="B663">
        <v>20020207</v>
      </c>
      <c r="C663" s="13">
        <v>1</v>
      </c>
      <c r="D663" s="9">
        <v>1.7299999999999999E-2</v>
      </c>
      <c r="E663" s="13">
        <v>13.142860000000001</v>
      </c>
      <c r="F663">
        <v>1.83E-2</v>
      </c>
      <c r="G663" s="13">
        <v>26.142859999999999</v>
      </c>
      <c r="H663">
        <v>4.4400000000000002E-2</v>
      </c>
      <c r="I663">
        <v>261</v>
      </c>
      <c r="J663">
        <v>5.91E-2</v>
      </c>
      <c r="K663">
        <v>796.57142899999997</v>
      </c>
      <c r="L663">
        <v>5.8680000000000003E-2</v>
      </c>
      <c r="M663" s="13">
        <v>1292.42857</v>
      </c>
    </row>
    <row r="664" spans="1:13" x14ac:dyDescent="0.2">
      <c r="A664">
        <v>662</v>
      </c>
      <c r="B664">
        <v>20020214</v>
      </c>
      <c r="C664" s="13">
        <v>1</v>
      </c>
      <c r="D664" s="9">
        <v>1.7399999999999999E-2</v>
      </c>
      <c r="E664" s="13">
        <v>13.142860000000001</v>
      </c>
      <c r="F664">
        <v>1.8499999999999999E-2</v>
      </c>
      <c r="G664" s="13">
        <v>26.142859999999999</v>
      </c>
      <c r="H664">
        <v>4.5199999999999997E-2</v>
      </c>
      <c r="I664">
        <v>260</v>
      </c>
      <c r="J664">
        <v>5.9080000000000001E-2</v>
      </c>
      <c r="K664">
        <v>795.57142899999997</v>
      </c>
      <c r="L664">
        <v>5.8599999999999999E-2</v>
      </c>
      <c r="M664" s="13">
        <v>1291.42857</v>
      </c>
    </row>
    <row r="665" spans="1:13" x14ac:dyDescent="0.2">
      <c r="A665">
        <v>663</v>
      </c>
      <c r="B665">
        <v>20020221</v>
      </c>
      <c r="C665" s="13">
        <v>1</v>
      </c>
      <c r="D665" s="9">
        <v>1.7500000000000002E-2</v>
      </c>
      <c r="E665" s="13">
        <v>13.142860000000001</v>
      </c>
      <c r="F665">
        <v>1.8599999999999998E-2</v>
      </c>
      <c r="G665" s="13">
        <v>26.142859999999999</v>
      </c>
      <c r="H665">
        <v>4.4200000000000003E-2</v>
      </c>
      <c r="I665">
        <v>259</v>
      </c>
      <c r="J665">
        <v>5.842E-2</v>
      </c>
      <c r="K665">
        <v>794.57142899999997</v>
      </c>
      <c r="L665">
        <v>8.1500000000000003E-2</v>
      </c>
      <c r="M665" s="13">
        <v>1303.57143</v>
      </c>
    </row>
    <row r="666" spans="1:13" x14ac:dyDescent="0.2">
      <c r="A666">
        <v>664</v>
      </c>
      <c r="B666">
        <v>20020228</v>
      </c>
      <c r="C666" s="13">
        <v>1</v>
      </c>
      <c r="D666" s="9">
        <v>1.7500000000000002E-2</v>
      </c>
      <c r="E666" s="13">
        <v>13.142860000000001</v>
      </c>
      <c r="F666">
        <v>1.84E-2</v>
      </c>
      <c r="G666" s="13">
        <v>26.142859999999999</v>
      </c>
      <c r="H666">
        <v>4.3499999999999997E-2</v>
      </c>
      <c r="I666">
        <v>258</v>
      </c>
      <c r="J666">
        <v>5.8700000000000002E-2</v>
      </c>
      <c r="K666">
        <v>793.57142899999997</v>
      </c>
      <c r="L666">
        <v>5.8340000000000003E-2</v>
      </c>
      <c r="M666" s="13">
        <v>1302.57143</v>
      </c>
    </row>
    <row r="667" spans="1:13" x14ac:dyDescent="0.2">
      <c r="A667">
        <v>665</v>
      </c>
      <c r="B667">
        <v>20020307</v>
      </c>
      <c r="C667" s="13">
        <v>1</v>
      </c>
      <c r="D667" s="9">
        <v>1.77E-2</v>
      </c>
      <c r="E667" s="13">
        <v>13.142860000000001</v>
      </c>
      <c r="F667">
        <v>1.9099999999999999E-2</v>
      </c>
      <c r="G667" s="13">
        <v>26.142859999999999</v>
      </c>
      <c r="H667">
        <v>4.5699999999999998E-2</v>
      </c>
      <c r="I667">
        <v>257</v>
      </c>
      <c r="J667">
        <v>6.148E-2</v>
      </c>
      <c r="K667">
        <v>792.57142899999997</v>
      </c>
      <c r="L667">
        <v>6.0679999999999998E-2</v>
      </c>
      <c r="M667" s="13">
        <v>1301.57143</v>
      </c>
    </row>
    <row r="668" spans="1:13" x14ac:dyDescent="0.2">
      <c r="A668">
        <v>666</v>
      </c>
      <c r="B668">
        <v>20020314</v>
      </c>
      <c r="C668" s="13">
        <v>1</v>
      </c>
      <c r="D668" s="9">
        <v>1.8200000000000001E-2</v>
      </c>
      <c r="E668" s="13">
        <v>13.142860000000001</v>
      </c>
      <c r="F668">
        <v>2.01E-2</v>
      </c>
      <c r="G668" s="13">
        <v>26.142859999999999</v>
      </c>
      <c r="H668">
        <v>4.82E-2</v>
      </c>
      <c r="I668">
        <v>256</v>
      </c>
      <c r="J668">
        <v>6.3200000000000006E-2</v>
      </c>
      <c r="K668">
        <v>791.57142899999997</v>
      </c>
      <c r="L668">
        <v>6.2100000000000002E-2</v>
      </c>
      <c r="M668" s="13">
        <v>1300.57143</v>
      </c>
    </row>
    <row r="669" spans="1:13" x14ac:dyDescent="0.2">
      <c r="A669">
        <v>667</v>
      </c>
      <c r="B669">
        <v>20020321</v>
      </c>
      <c r="C669" s="13">
        <v>1</v>
      </c>
      <c r="D669" s="9">
        <v>1.83E-2</v>
      </c>
      <c r="E669" s="13">
        <v>13.142860000000001</v>
      </c>
      <c r="F669">
        <v>2.1100000000000001E-2</v>
      </c>
      <c r="G669" s="13">
        <v>26.142859999999999</v>
      </c>
      <c r="H669">
        <v>5.0099999999999999E-2</v>
      </c>
      <c r="I669">
        <v>255</v>
      </c>
      <c r="J669">
        <v>6.2570000000000001E-2</v>
      </c>
      <c r="K669">
        <v>790.57142899999997</v>
      </c>
      <c r="L669">
        <v>6.1499999999999999E-2</v>
      </c>
      <c r="M669" s="13">
        <v>1299.57143</v>
      </c>
    </row>
    <row r="670" spans="1:13" x14ac:dyDescent="0.2">
      <c r="A670">
        <v>668</v>
      </c>
      <c r="B670">
        <v>20020328</v>
      </c>
      <c r="C670" s="13">
        <v>1</v>
      </c>
      <c r="D670" s="9">
        <v>1.7999999999999999E-2</v>
      </c>
      <c r="E670" s="13">
        <v>13.142860000000001</v>
      </c>
      <c r="F670">
        <v>2.0899999999999998E-2</v>
      </c>
      <c r="G670" s="13">
        <v>26.142859999999999</v>
      </c>
      <c r="H670">
        <v>4.9599999999999998E-2</v>
      </c>
      <c r="I670">
        <v>254</v>
      </c>
      <c r="J670">
        <v>6.2630000000000005E-2</v>
      </c>
      <c r="K670">
        <v>789.57142899999997</v>
      </c>
      <c r="L670">
        <v>6.1800000000000001E-2</v>
      </c>
      <c r="M670" s="13">
        <v>1298.57143</v>
      </c>
    </row>
    <row r="671" spans="1:13" x14ac:dyDescent="0.2">
      <c r="A671">
        <v>669</v>
      </c>
      <c r="B671">
        <v>20020404</v>
      </c>
      <c r="C671" s="13">
        <v>1</v>
      </c>
      <c r="D671" s="9">
        <v>1.78E-2</v>
      </c>
      <c r="E671" s="13">
        <v>13.142860000000001</v>
      </c>
      <c r="F671">
        <v>2.07E-2</v>
      </c>
      <c r="G671" s="13">
        <v>26.142859999999999</v>
      </c>
      <c r="H671">
        <v>4.8599999999999997E-2</v>
      </c>
      <c r="I671">
        <v>253</v>
      </c>
      <c r="J671">
        <v>6.1109999999999998E-2</v>
      </c>
      <c r="K671">
        <v>788.57142899999997</v>
      </c>
      <c r="L671">
        <v>6.0589999999999998E-2</v>
      </c>
      <c r="M671" s="13">
        <v>1297.57143</v>
      </c>
    </row>
    <row r="672" spans="1:13" x14ac:dyDescent="0.2">
      <c r="A672">
        <v>670</v>
      </c>
      <c r="B672">
        <v>20020411</v>
      </c>
      <c r="C672" s="13">
        <v>1</v>
      </c>
      <c r="D672" s="9">
        <v>1.7000000000000001E-2</v>
      </c>
      <c r="E672" s="13">
        <v>13.142860000000001</v>
      </c>
      <c r="F672">
        <v>1.9699999999999999E-2</v>
      </c>
      <c r="G672" s="13">
        <v>26.142859999999999</v>
      </c>
      <c r="H672">
        <v>4.7600000000000003E-2</v>
      </c>
      <c r="I672">
        <v>252</v>
      </c>
      <c r="J672">
        <v>6.0679999999999998E-2</v>
      </c>
      <c r="K672">
        <v>787.57142899999997</v>
      </c>
      <c r="L672">
        <v>6.0229999999999999E-2</v>
      </c>
      <c r="M672" s="13">
        <v>1296.57143</v>
      </c>
    </row>
    <row r="673" spans="1:13" x14ac:dyDescent="0.2">
      <c r="A673">
        <v>671</v>
      </c>
      <c r="B673">
        <v>20020418</v>
      </c>
      <c r="C673" s="13">
        <v>1</v>
      </c>
      <c r="D673" s="9">
        <v>1.72E-2</v>
      </c>
      <c r="E673" s="13">
        <v>13.142860000000001</v>
      </c>
      <c r="F673">
        <v>1.9099999999999999E-2</v>
      </c>
      <c r="G673" s="13">
        <v>26.142859999999999</v>
      </c>
      <c r="H673">
        <v>4.7E-2</v>
      </c>
      <c r="I673">
        <v>251</v>
      </c>
      <c r="J673">
        <v>6.0999999999999999E-2</v>
      </c>
      <c r="K673">
        <v>786.57142899999997</v>
      </c>
      <c r="L673">
        <v>6.08E-2</v>
      </c>
      <c r="M673" s="13">
        <v>1295.57143</v>
      </c>
    </row>
    <row r="674" spans="1:13" x14ac:dyDescent="0.2">
      <c r="A674">
        <v>672</v>
      </c>
      <c r="B674">
        <v>20020425</v>
      </c>
      <c r="C674" s="13">
        <v>1</v>
      </c>
      <c r="D674" s="9">
        <v>1.7100000000000001E-2</v>
      </c>
      <c r="E674" s="13">
        <v>13.142860000000001</v>
      </c>
      <c r="F674">
        <v>1.8800000000000001E-2</v>
      </c>
      <c r="G674" s="13">
        <v>26.142859999999999</v>
      </c>
      <c r="H674">
        <v>4.5900000000000003E-2</v>
      </c>
      <c r="I674">
        <v>250</v>
      </c>
      <c r="J674">
        <v>5.9700000000000003E-2</v>
      </c>
      <c r="K674">
        <v>785.57142899999997</v>
      </c>
      <c r="L674">
        <v>5.9769999999999997E-2</v>
      </c>
      <c r="M674" s="13">
        <v>1294.57143</v>
      </c>
    </row>
    <row r="675" spans="1:13" x14ac:dyDescent="0.2">
      <c r="A675">
        <v>673</v>
      </c>
      <c r="B675">
        <v>20020502</v>
      </c>
      <c r="C675" s="13">
        <v>1</v>
      </c>
      <c r="D675" s="9">
        <v>1.7600000000000001E-2</v>
      </c>
      <c r="E675" s="13">
        <v>13.142860000000001</v>
      </c>
      <c r="F675">
        <v>1.89E-2</v>
      </c>
      <c r="G675" s="13">
        <v>26.142859999999999</v>
      </c>
      <c r="H675">
        <v>4.6600000000000003E-2</v>
      </c>
      <c r="I675">
        <v>261.71429000000001</v>
      </c>
      <c r="J675">
        <v>5.9400000000000001E-2</v>
      </c>
      <c r="K675">
        <v>784.57142899999997</v>
      </c>
      <c r="L675">
        <v>5.9499999999999997E-2</v>
      </c>
      <c r="M675" s="13">
        <v>1293.57143</v>
      </c>
    </row>
    <row r="676" spans="1:13" x14ac:dyDescent="0.2">
      <c r="A676">
        <v>674</v>
      </c>
      <c r="B676">
        <v>20020509</v>
      </c>
      <c r="C676" s="13">
        <v>1</v>
      </c>
      <c r="D676" s="9">
        <v>1.7500000000000002E-2</v>
      </c>
      <c r="E676" s="13">
        <v>13.142860000000001</v>
      </c>
      <c r="F676">
        <v>1.89E-2</v>
      </c>
      <c r="G676" s="13">
        <v>26.142859999999999</v>
      </c>
      <c r="H676">
        <v>4.7399999999999998E-2</v>
      </c>
      <c r="I676">
        <v>260.71429000000001</v>
      </c>
      <c r="J676">
        <v>6.0199999999999997E-2</v>
      </c>
      <c r="K676">
        <v>783.57142899999997</v>
      </c>
      <c r="L676">
        <v>5.9830000000000001E-2</v>
      </c>
      <c r="M676" s="13">
        <v>1292.57143</v>
      </c>
    </row>
    <row r="677" spans="1:13" x14ac:dyDescent="0.2">
      <c r="A677">
        <v>675</v>
      </c>
      <c r="B677">
        <v>20020516</v>
      </c>
      <c r="C677" s="13">
        <v>1</v>
      </c>
      <c r="D677" s="9">
        <v>1.7500000000000002E-2</v>
      </c>
      <c r="E677" s="13">
        <v>13.142860000000001</v>
      </c>
      <c r="F677">
        <v>1.9E-2</v>
      </c>
      <c r="G677" s="13">
        <v>26.142859999999999</v>
      </c>
      <c r="H677">
        <v>4.7399999999999998E-2</v>
      </c>
      <c r="I677">
        <v>259.71429000000001</v>
      </c>
      <c r="J677">
        <v>6.0830000000000002E-2</v>
      </c>
      <c r="K677">
        <v>782.57142899999997</v>
      </c>
      <c r="L677">
        <v>6.0729999999999999E-2</v>
      </c>
      <c r="M677" s="13">
        <v>1291.57143</v>
      </c>
    </row>
    <row r="678" spans="1:13" x14ac:dyDescent="0.2">
      <c r="A678">
        <v>676</v>
      </c>
      <c r="B678">
        <v>20020523</v>
      </c>
      <c r="C678" s="13">
        <v>1</v>
      </c>
      <c r="D678" s="9">
        <v>1.72E-2</v>
      </c>
      <c r="E678" s="13">
        <v>13.142860000000001</v>
      </c>
      <c r="F678">
        <v>1.8800000000000001E-2</v>
      </c>
      <c r="G678" s="13">
        <v>26.142859999999999</v>
      </c>
      <c r="H678">
        <v>4.5600000000000002E-2</v>
      </c>
      <c r="I678">
        <v>258.71429000000001</v>
      </c>
      <c r="J678">
        <v>6.0319999999999999E-2</v>
      </c>
      <c r="K678">
        <v>781.57142899999997</v>
      </c>
      <c r="L678">
        <v>6.0569999999999999E-2</v>
      </c>
      <c r="M678" s="13">
        <v>1290.57143</v>
      </c>
    </row>
    <row r="679" spans="1:13" x14ac:dyDescent="0.2">
      <c r="A679">
        <v>677</v>
      </c>
      <c r="B679">
        <v>20020530</v>
      </c>
      <c r="C679" s="13">
        <v>1</v>
      </c>
      <c r="D679" s="9">
        <v>1.7399999999999999E-2</v>
      </c>
      <c r="E679" s="13">
        <v>13.142860000000001</v>
      </c>
      <c r="F679">
        <v>1.9E-2</v>
      </c>
      <c r="G679" s="13">
        <v>26.142859999999999</v>
      </c>
      <c r="H679">
        <v>4.5100000000000001E-2</v>
      </c>
      <c r="I679">
        <v>257.71429000000001</v>
      </c>
      <c r="J679">
        <v>5.9409999999999998E-2</v>
      </c>
      <c r="K679">
        <v>780.57142899999997</v>
      </c>
      <c r="L679">
        <v>5.9959999999999999E-2</v>
      </c>
      <c r="M679" s="13">
        <v>1289.57143</v>
      </c>
    </row>
    <row r="680" spans="1:13" x14ac:dyDescent="0.2">
      <c r="A680">
        <v>678</v>
      </c>
      <c r="B680">
        <v>20020606</v>
      </c>
      <c r="C680" s="13">
        <v>1</v>
      </c>
      <c r="D680" s="9">
        <v>1.7399999999999999E-2</v>
      </c>
      <c r="E680" s="13">
        <v>13.142860000000001</v>
      </c>
      <c r="F680">
        <v>1.89E-2</v>
      </c>
      <c r="G680" s="13">
        <v>26.142859999999999</v>
      </c>
      <c r="H680">
        <v>4.4400000000000002E-2</v>
      </c>
      <c r="I680">
        <v>256.71429000000001</v>
      </c>
      <c r="J680">
        <v>5.9499999999999997E-2</v>
      </c>
      <c r="K680">
        <v>779.57142899999997</v>
      </c>
      <c r="L680">
        <v>6.0179999999999997E-2</v>
      </c>
      <c r="M680" s="13">
        <v>1288.57143</v>
      </c>
    </row>
    <row r="681" spans="1:13" x14ac:dyDescent="0.2">
      <c r="A681">
        <v>679</v>
      </c>
      <c r="B681">
        <v>20020613</v>
      </c>
      <c r="C681" s="13">
        <v>1</v>
      </c>
      <c r="D681" s="9">
        <v>1.7299999999999999E-2</v>
      </c>
      <c r="E681" s="13">
        <v>13.142860000000001</v>
      </c>
      <c r="F681">
        <v>1.84E-2</v>
      </c>
      <c r="G681" s="13">
        <v>26.142859999999999</v>
      </c>
      <c r="H681">
        <v>4.3499999999999997E-2</v>
      </c>
      <c r="I681">
        <v>255.71429000000001</v>
      </c>
      <c r="J681">
        <v>5.8599999999999999E-2</v>
      </c>
      <c r="K681">
        <v>778.57142899999997</v>
      </c>
      <c r="L681">
        <v>5.9279999999999999E-2</v>
      </c>
      <c r="M681" s="13">
        <v>1287.57143</v>
      </c>
    </row>
    <row r="682" spans="1:13" x14ac:dyDescent="0.2">
      <c r="A682">
        <v>680</v>
      </c>
      <c r="B682">
        <v>20020620</v>
      </c>
      <c r="C682" s="13">
        <v>1</v>
      </c>
      <c r="D682" s="9">
        <v>1.6899999999999998E-2</v>
      </c>
      <c r="E682" s="13">
        <v>13.142860000000001</v>
      </c>
      <c r="F682">
        <v>1.77E-2</v>
      </c>
      <c r="G682" s="13">
        <v>26.142859999999999</v>
      </c>
      <c r="H682">
        <v>4.0899999999999999E-2</v>
      </c>
      <c r="I682">
        <v>254.71429000000001</v>
      </c>
      <c r="J682">
        <v>5.8009999999999999E-2</v>
      </c>
      <c r="K682">
        <v>777.57142899999997</v>
      </c>
      <c r="L682">
        <v>5.8979999999999998E-2</v>
      </c>
      <c r="M682" s="13">
        <v>1286.57143</v>
      </c>
    </row>
    <row r="683" spans="1:13" x14ac:dyDescent="0.2">
      <c r="A683">
        <v>681</v>
      </c>
      <c r="B683">
        <v>20020627</v>
      </c>
      <c r="C683" s="13">
        <v>1</v>
      </c>
      <c r="D683" s="9">
        <v>1.6899999999999998E-2</v>
      </c>
      <c r="E683" s="13">
        <v>13.142860000000001</v>
      </c>
      <c r="F683">
        <v>1.72E-2</v>
      </c>
      <c r="G683" s="13">
        <v>26.142859999999999</v>
      </c>
      <c r="H683">
        <v>4.07E-2</v>
      </c>
      <c r="I683">
        <v>253.71429000000001</v>
      </c>
      <c r="J683">
        <v>5.8340000000000003E-2</v>
      </c>
      <c r="K683">
        <v>776.57142899999997</v>
      </c>
      <c r="L683">
        <v>5.9639999999999999E-2</v>
      </c>
      <c r="M683" s="13">
        <v>1285.57143</v>
      </c>
    </row>
    <row r="684" spans="1:13" x14ac:dyDescent="0.2">
      <c r="A684">
        <v>682</v>
      </c>
      <c r="B684">
        <v>20020705</v>
      </c>
      <c r="C684" s="13">
        <v>1</v>
      </c>
      <c r="D684" s="9">
        <v>1.7100000000000001E-2</v>
      </c>
      <c r="E684" s="13">
        <v>13.142860000000001</v>
      </c>
      <c r="F684">
        <v>1.72E-2</v>
      </c>
      <c r="G684" s="13">
        <v>26.142859999999999</v>
      </c>
      <c r="H684">
        <v>4.1500000000000002E-2</v>
      </c>
      <c r="I684">
        <v>265.85714000000002</v>
      </c>
      <c r="J684">
        <v>5.858E-2</v>
      </c>
      <c r="K684">
        <v>775.42857100000003</v>
      </c>
      <c r="L684">
        <v>5.9830000000000001E-2</v>
      </c>
      <c r="M684" s="13">
        <v>1284.42857</v>
      </c>
    </row>
    <row r="685" spans="1:13" x14ac:dyDescent="0.2">
      <c r="A685">
        <v>683</v>
      </c>
      <c r="B685">
        <v>20020711</v>
      </c>
      <c r="C685" s="13">
        <v>1</v>
      </c>
      <c r="D685" s="9">
        <v>1.7100000000000001E-2</v>
      </c>
      <c r="E685" s="13">
        <v>13.142860000000001</v>
      </c>
      <c r="F685">
        <v>1.7299999999999999E-2</v>
      </c>
      <c r="G685" s="13">
        <v>26.142859999999999</v>
      </c>
      <c r="H685">
        <v>4.0099999999999997E-2</v>
      </c>
      <c r="I685">
        <v>264.85714000000002</v>
      </c>
      <c r="J685">
        <v>5.6570000000000002E-2</v>
      </c>
      <c r="K685">
        <v>774.57142899999997</v>
      </c>
      <c r="L685">
        <v>5.8119999999999998E-2</v>
      </c>
      <c r="M685" s="13">
        <v>1283.57143</v>
      </c>
    </row>
    <row r="686" spans="1:13" x14ac:dyDescent="0.2">
      <c r="A686">
        <v>684</v>
      </c>
      <c r="B686">
        <v>20020718</v>
      </c>
      <c r="C686" s="13">
        <v>1</v>
      </c>
      <c r="D686" s="9">
        <v>1.7100000000000001E-2</v>
      </c>
      <c r="E686" s="13">
        <v>13.142860000000001</v>
      </c>
      <c r="F686">
        <v>1.7399999999999999E-2</v>
      </c>
      <c r="G686" s="13">
        <v>26.142859999999999</v>
      </c>
      <c r="H686">
        <v>4.02E-2</v>
      </c>
      <c r="I686">
        <v>263.85714000000002</v>
      </c>
      <c r="J686">
        <v>5.7029999999999997E-2</v>
      </c>
      <c r="K686">
        <v>773.57142899999997</v>
      </c>
      <c r="L686">
        <v>5.885E-2</v>
      </c>
      <c r="M686" s="13">
        <v>1282.57143</v>
      </c>
    </row>
    <row r="687" spans="1:13" x14ac:dyDescent="0.2">
      <c r="A687">
        <v>685</v>
      </c>
      <c r="B687">
        <v>20020725</v>
      </c>
      <c r="C687" s="13">
        <v>1</v>
      </c>
      <c r="D687" s="9">
        <v>1.6899999999999998E-2</v>
      </c>
      <c r="E687" s="13">
        <v>13.142860000000001</v>
      </c>
      <c r="F687">
        <v>1.6899999999999998E-2</v>
      </c>
      <c r="G687" s="13">
        <v>26.142859999999999</v>
      </c>
      <c r="H687">
        <v>3.6900000000000002E-2</v>
      </c>
      <c r="I687">
        <v>262.85714000000002</v>
      </c>
      <c r="J687">
        <v>5.595E-2</v>
      </c>
      <c r="K687">
        <v>785.71428600000002</v>
      </c>
      <c r="L687">
        <v>5.8299999999999998E-2</v>
      </c>
      <c r="M687" s="13">
        <v>1281.57143</v>
      </c>
    </row>
    <row r="688" spans="1:13" x14ac:dyDescent="0.2">
      <c r="A688">
        <v>686</v>
      </c>
      <c r="B688">
        <v>20020801</v>
      </c>
      <c r="C688" s="13">
        <v>1</v>
      </c>
      <c r="D688" s="9">
        <v>1.6899999999999998E-2</v>
      </c>
      <c r="E688" s="13">
        <v>13.142860000000001</v>
      </c>
      <c r="F688">
        <v>1.6899999999999998E-2</v>
      </c>
      <c r="G688" s="13">
        <v>26.142859999999999</v>
      </c>
      <c r="H688">
        <v>3.6799999999999999E-2</v>
      </c>
      <c r="I688">
        <v>261.85714000000002</v>
      </c>
      <c r="J688">
        <v>5.6250000000000001E-2</v>
      </c>
      <c r="K688">
        <v>784.71428600000002</v>
      </c>
      <c r="L688">
        <v>5.8130000000000001E-2</v>
      </c>
      <c r="M688" s="13">
        <v>1280.57143</v>
      </c>
    </row>
    <row r="689" spans="1:13" x14ac:dyDescent="0.2">
      <c r="A689">
        <v>687</v>
      </c>
      <c r="B689">
        <v>20020808</v>
      </c>
      <c r="C689" s="13">
        <v>1</v>
      </c>
      <c r="D689" s="9">
        <v>1.5800000000000002E-2</v>
      </c>
      <c r="E689" s="13">
        <v>13.142860000000001</v>
      </c>
      <c r="F689">
        <v>1.54E-2</v>
      </c>
      <c r="G689" s="13">
        <v>26.142859999999999</v>
      </c>
      <c r="H689">
        <v>3.4000000000000002E-2</v>
      </c>
      <c r="I689">
        <v>260.85714000000002</v>
      </c>
      <c r="J689">
        <v>5.577E-2</v>
      </c>
      <c r="K689">
        <v>783.71428600000002</v>
      </c>
      <c r="L689">
        <v>5.7500000000000002E-2</v>
      </c>
      <c r="M689" s="13">
        <v>1279.57143</v>
      </c>
    </row>
    <row r="690" spans="1:13" x14ac:dyDescent="0.2">
      <c r="A690">
        <v>688</v>
      </c>
      <c r="B690">
        <v>20020815</v>
      </c>
      <c r="C690" s="13">
        <v>1</v>
      </c>
      <c r="D690" s="9">
        <v>1.6299999999999999E-2</v>
      </c>
      <c r="E690" s="13">
        <v>13.142860000000001</v>
      </c>
      <c r="F690">
        <v>1.6E-2</v>
      </c>
      <c r="G690" s="13">
        <v>26.142859999999999</v>
      </c>
      <c r="H690">
        <v>3.3099999999999997E-2</v>
      </c>
      <c r="I690">
        <v>259.85714000000002</v>
      </c>
      <c r="J690">
        <v>5.3069999999999999E-2</v>
      </c>
      <c r="K690">
        <v>782.71428600000002</v>
      </c>
      <c r="L690">
        <v>5.4800000000000001E-2</v>
      </c>
      <c r="M690" s="13">
        <v>1278.57143</v>
      </c>
    </row>
    <row r="691" spans="1:13" x14ac:dyDescent="0.2">
      <c r="A691">
        <v>689</v>
      </c>
      <c r="B691">
        <v>20020822</v>
      </c>
      <c r="C691" s="13">
        <v>1</v>
      </c>
      <c r="D691" s="9">
        <v>1.6199999999999999E-2</v>
      </c>
      <c r="E691" s="13">
        <v>13.142860000000001</v>
      </c>
      <c r="F691">
        <v>1.6299999999999999E-2</v>
      </c>
      <c r="G691" s="13">
        <v>26.142859999999999</v>
      </c>
      <c r="H691">
        <v>3.4200000000000001E-2</v>
      </c>
      <c r="I691">
        <v>258.85714000000002</v>
      </c>
      <c r="J691">
        <v>5.4199999999999998E-2</v>
      </c>
      <c r="K691">
        <v>781.71428600000002</v>
      </c>
      <c r="L691">
        <v>5.5730000000000002E-2</v>
      </c>
      <c r="M691" s="13">
        <v>1277.57143</v>
      </c>
    </row>
    <row r="692" spans="1:13" x14ac:dyDescent="0.2">
      <c r="A692">
        <v>690</v>
      </c>
      <c r="B692">
        <v>20020829</v>
      </c>
      <c r="C692" s="13">
        <v>1</v>
      </c>
      <c r="D692" s="9">
        <v>1.66E-2</v>
      </c>
      <c r="E692" s="13">
        <v>13.142860000000001</v>
      </c>
      <c r="F692">
        <v>1.687E-2</v>
      </c>
      <c r="G692" s="13">
        <v>26.142859999999999</v>
      </c>
      <c r="H692">
        <v>3.4500000000000003E-2</v>
      </c>
      <c r="I692">
        <v>257.85714000000002</v>
      </c>
      <c r="J692">
        <v>5.28E-2</v>
      </c>
      <c r="K692">
        <v>780.71428600000002</v>
      </c>
      <c r="L692">
        <v>5.4550000000000001E-2</v>
      </c>
      <c r="M692" s="13">
        <v>1276.57143</v>
      </c>
    </row>
    <row r="693" spans="1:13" x14ac:dyDescent="0.2">
      <c r="A693">
        <v>691</v>
      </c>
      <c r="B693">
        <v>20020905</v>
      </c>
      <c r="C693" s="13">
        <v>1</v>
      </c>
      <c r="D693" s="9">
        <v>1.6199999999999999E-2</v>
      </c>
      <c r="E693" s="13">
        <v>13.142860000000001</v>
      </c>
      <c r="F693">
        <v>1.5900000000000001E-2</v>
      </c>
      <c r="G693" s="13">
        <v>26.142859999999999</v>
      </c>
      <c r="H693">
        <v>3.1199999999999999E-2</v>
      </c>
      <c r="I693">
        <v>256.85714000000002</v>
      </c>
      <c r="J693">
        <v>5.042E-2</v>
      </c>
      <c r="K693">
        <v>779.71428600000002</v>
      </c>
      <c r="L693">
        <v>5.2679999999999998E-2</v>
      </c>
      <c r="M693" s="13">
        <v>1275.57143</v>
      </c>
    </row>
    <row r="694" spans="1:13" x14ac:dyDescent="0.2">
      <c r="A694">
        <v>692</v>
      </c>
      <c r="B694">
        <v>20020912</v>
      </c>
      <c r="C694" s="13">
        <v>1</v>
      </c>
      <c r="D694" s="9">
        <v>1.6799999999999999E-2</v>
      </c>
      <c r="E694" s="13">
        <v>13.142860000000001</v>
      </c>
      <c r="F694">
        <v>1.6899999999999998E-2</v>
      </c>
      <c r="G694" s="13">
        <v>26.142859999999999</v>
      </c>
      <c r="H694">
        <v>3.2500000000000001E-2</v>
      </c>
      <c r="I694">
        <v>255.85713999999999</v>
      </c>
      <c r="J694">
        <v>5.1069999999999997E-2</v>
      </c>
      <c r="K694">
        <v>778.71428600000002</v>
      </c>
      <c r="L694">
        <v>5.3080000000000002E-2</v>
      </c>
      <c r="M694" s="13">
        <v>1274.57143</v>
      </c>
    </row>
    <row r="695" spans="1:13" x14ac:dyDescent="0.2">
      <c r="A695">
        <v>693</v>
      </c>
      <c r="B695">
        <v>20020919</v>
      </c>
      <c r="C695" s="13">
        <v>1</v>
      </c>
      <c r="D695" s="9">
        <v>1.67E-2</v>
      </c>
      <c r="E695" s="13">
        <v>13.142860000000001</v>
      </c>
      <c r="F695">
        <v>1.66E-2</v>
      </c>
      <c r="G695" s="13">
        <v>26.142859999999999</v>
      </c>
      <c r="H695">
        <v>3.0200000000000001E-2</v>
      </c>
      <c r="I695">
        <v>254.85713999999999</v>
      </c>
      <c r="J695">
        <v>4.9529999999999998E-2</v>
      </c>
      <c r="K695">
        <v>777.71428600000002</v>
      </c>
      <c r="L695">
        <v>5.1880000000000003E-2</v>
      </c>
      <c r="M695" s="13">
        <v>1273.57143</v>
      </c>
    </row>
    <row r="696" spans="1:13" x14ac:dyDescent="0.2">
      <c r="A696">
        <v>694</v>
      </c>
      <c r="B696">
        <v>20020926</v>
      </c>
      <c r="C696" s="13">
        <v>1</v>
      </c>
      <c r="D696" s="9">
        <v>1.6500000000000001E-2</v>
      </c>
      <c r="E696" s="13">
        <v>13.142860000000001</v>
      </c>
      <c r="F696">
        <v>1.61E-2</v>
      </c>
      <c r="G696" s="13">
        <v>26.142859999999999</v>
      </c>
      <c r="H696">
        <v>2.9100000000000001E-2</v>
      </c>
      <c r="I696">
        <v>253.85713999999999</v>
      </c>
      <c r="J696">
        <v>4.9959999999999997E-2</v>
      </c>
      <c r="K696">
        <v>776.71428600000002</v>
      </c>
      <c r="L696">
        <v>5.2359999999999997E-2</v>
      </c>
      <c r="M696" s="13">
        <v>1272.57143</v>
      </c>
    </row>
    <row r="697" spans="1:13" x14ac:dyDescent="0.2">
      <c r="A697">
        <v>695</v>
      </c>
      <c r="B697">
        <v>20021003</v>
      </c>
      <c r="C697" s="13">
        <v>1</v>
      </c>
      <c r="D697" s="9">
        <v>1.5599999999999999E-2</v>
      </c>
      <c r="E697" s="13">
        <v>13.142860000000001</v>
      </c>
      <c r="F697">
        <v>1.4999999999999999E-2</v>
      </c>
      <c r="G697" s="13">
        <v>26.142859999999999</v>
      </c>
      <c r="H697">
        <v>2.8199999999999999E-2</v>
      </c>
      <c r="I697">
        <v>252.85713999999999</v>
      </c>
      <c r="J697">
        <v>4.9700000000000001E-2</v>
      </c>
      <c r="K697">
        <v>775.71428600000002</v>
      </c>
      <c r="L697">
        <v>5.2630000000000003E-2</v>
      </c>
      <c r="M697" s="13">
        <v>1271.57143</v>
      </c>
    </row>
    <row r="698" spans="1:13" x14ac:dyDescent="0.2">
      <c r="A698">
        <v>696</v>
      </c>
      <c r="B698">
        <v>20021011</v>
      </c>
      <c r="C698" s="13">
        <v>1</v>
      </c>
      <c r="D698" s="9">
        <v>1.5699999999999999E-2</v>
      </c>
      <c r="E698" s="13">
        <v>13.142860000000001</v>
      </c>
      <c r="F698">
        <v>1.54E-2</v>
      </c>
      <c r="G698" s="13">
        <v>26.142859999999999</v>
      </c>
      <c r="H698">
        <v>2.7400000000000001E-2</v>
      </c>
      <c r="I698">
        <v>251.85713999999999</v>
      </c>
      <c r="J698">
        <v>5.0470000000000001E-2</v>
      </c>
      <c r="K698">
        <v>774.57142899999997</v>
      </c>
      <c r="L698">
        <v>5.3519999999999998E-2</v>
      </c>
      <c r="M698" s="13">
        <v>1270.42857</v>
      </c>
    </row>
    <row r="699" spans="1:13" x14ac:dyDescent="0.2">
      <c r="A699">
        <v>697</v>
      </c>
      <c r="B699">
        <v>20021017</v>
      </c>
      <c r="C699" s="13">
        <v>1</v>
      </c>
      <c r="D699" s="9">
        <v>1.6500000000000001E-2</v>
      </c>
      <c r="E699" s="13">
        <v>13.142860000000001</v>
      </c>
      <c r="F699">
        <v>1.6500000000000001E-2</v>
      </c>
      <c r="G699" s="13">
        <v>26.142859999999999</v>
      </c>
      <c r="H699">
        <v>3.15E-2</v>
      </c>
      <c r="I699">
        <v>250.85713999999999</v>
      </c>
      <c r="J699">
        <v>5.3600000000000002E-2</v>
      </c>
      <c r="K699">
        <v>773.71428600000002</v>
      </c>
      <c r="L699">
        <v>5.5849999999999997E-2</v>
      </c>
      <c r="M699" s="13">
        <v>1269.57143</v>
      </c>
    </row>
    <row r="700" spans="1:13" x14ac:dyDescent="0.2">
      <c r="A700">
        <v>698</v>
      </c>
      <c r="B700">
        <v>20021024</v>
      </c>
      <c r="C700" s="13">
        <v>1</v>
      </c>
      <c r="D700" s="9">
        <v>1.67E-2</v>
      </c>
      <c r="E700" s="13">
        <v>13.142860000000001</v>
      </c>
      <c r="F700">
        <v>1.6799999999999999E-2</v>
      </c>
      <c r="G700" s="13">
        <v>26.142859999999999</v>
      </c>
      <c r="H700">
        <v>3.32E-2</v>
      </c>
      <c r="I700">
        <v>249.85713999999999</v>
      </c>
      <c r="J700">
        <v>5.4080000000000003E-2</v>
      </c>
      <c r="K700">
        <v>772.71428600000002</v>
      </c>
      <c r="L700">
        <v>5.638E-2</v>
      </c>
      <c r="M700" s="13">
        <v>1268.57143</v>
      </c>
    </row>
    <row r="701" spans="1:13" x14ac:dyDescent="0.2">
      <c r="A701">
        <v>699</v>
      </c>
      <c r="B701">
        <v>20021031</v>
      </c>
      <c r="C701" s="13">
        <v>1</v>
      </c>
      <c r="D701" s="9">
        <v>1.49E-2</v>
      </c>
      <c r="E701" s="13">
        <v>13.142860000000001</v>
      </c>
      <c r="F701">
        <v>1.44E-2</v>
      </c>
      <c r="G701" s="13">
        <v>26.142859999999999</v>
      </c>
      <c r="H701">
        <v>2.9100000000000001E-2</v>
      </c>
      <c r="I701">
        <v>248.85713999999999</v>
      </c>
      <c r="J701">
        <v>5.2380000000000003E-2</v>
      </c>
      <c r="K701">
        <v>771.71428600000002</v>
      </c>
      <c r="L701">
        <v>5.5449999999999999E-2</v>
      </c>
      <c r="M701" s="13">
        <v>1267.57143</v>
      </c>
    </row>
    <row r="702" spans="1:13" x14ac:dyDescent="0.2">
      <c r="A702">
        <v>700</v>
      </c>
      <c r="B702">
        <v>20021107</v>
      </c>
      <c r="C702" s="13">
        <v>1</v>
      </c>
      <c r="D702" s="9">
        <v>1.2200000000000001E-2</v>
      </c>
      <c r="E702" s="13">
        <v>13.142860000000001</v>
      </c>
      <c r="F702">
        <v>1.24E-2</v>
      </c>
      <c r="G702" s="13">
        <v>26.142859999999999</v>
      </c>
      <c r="H702">
        <v>2.9899999999999999E-2</v>
      </c>
      <c r="I702">
        <v>247.85713999999999</v>
      </c>
      <c r="J702">
        <v>5.0979999999999998E-2</v>
      </c>
      <c r="K702">
        <v>770.71428600000002</v>
      </c>
      <c r="L702">
        <v>5.4129999999999998E-2</v>
      </c>
      <c r="M702" s="13">
        <v>1266.57143</v>
      </c>
    </row>
    <row r="703" spans="1:13" x14ac:dyDescent="0.2">
      <c r="A703">
        <v>701</v>
      </c>
      <c r="B703">
        <v>20021114</v>
      </c>
      <c r="C703" s="13">
        <v>1</v>
      </c>
      <c r="D703" s="9">
        <v>1.2E-2</v>
      </c>
      <c r="E703" s="13">
        <v>13.142860000000001</v>
      </c>
      <c r="F703">
        <v>1.24E-2</v>
      </c>
      <c r="G703" s="13">
        <v>26.142859999999999</v>
      </c>
      <c r="H703">
        <v>2.8400000000000002E-2</v>
      </c>
      <c r="I703">
        <v>246.85713999999999</v>
      </c>
      <c r="J703">
        <v>5.1549999999999999E-2</v>
      </c>
      <c r="K703">
        <v>769.71428600000002</v>
      </c>
      <c r="L703">
        <v>5.4280000000000002E-2</v>
      </c>
      <c r="M703" s="13">
        <v>1265.57143</v>
      </c>
    </row>
    <row r="704" spans="1:13" x14ac:dyDescent="0.2">
      <c r="A704">
        <v>702</v>
      </c>
      <c r="B704">
        <v>20021121</v>
      </c>
      <c r="C704" s="13">
        <v>1</v>
      </c>
      <c r="D704" s="9">
        <v>1.21E-2</v>
      </c>
      <c r="E704" s="13">
        <v>13.142860000000001</v>
      </c>
      <c r="F704">
        <v>1.2699999999999999E-2</v>
      </c>
      <c r="G704" s="13">
        <v>26.142859999999999</v>
      </c>
      <c r="H704">
        <v>3.15E-2</v>
      </c>
      <c r="I704">
        <v>245.85713999999999</v>
      </c>
      <c r="J704">
        <v>5.2429999999999997E-2</v>
      </c>
      <c r="K704">
        <v>768.71428600000002</v>
      </c>
      <c r="L704">
        <v>5.475E-2</v>
      </c>
      <c r="M704" s="13">
        <v>1264.57143</v>
      </c>
    </row>
    <row r="705" spans="1:13" x14ac:dyDescent="0.2">
      <c r="A705">
        <v>703</v>
      </c>
      <c r="B705">
        <v>20021128</v>
      </c>
      <c r="C705" s="13">
        <v>1</v>
      </c>
      <c r="D705" s="9">
        <v>1.23E-2</v>
      </c>
      <c r="E705" s="13">
        <v>13.142860000000001</v>
      </c>
      <c r="F705">
        <v>1.2999999999999999E-2</v>
      </c>
      <c r="G705" s="13">
        <v>26.142859999999999</v>
      </c>
      <c r="H705">
        <v>3.3399999999999999E-2</v>
      </c>
      <c r="I705">
        <v>244.85713999999999</v>
      </c>
      <c r="J705">
        <v>5.3830000000000003E-2</v>
      </c>
      <c r="K705">
        <v>767.71428600000002</v>
      </c>
      <c r="L705">
        <v>5.5840000000000001E-2</v>
      </c>
      <c r="M705" s="13">
        <v>1302.57143</v>
      </c>
    </row>
    <row r="706" spans="1:13" x14ac:dyDescent="0.2">
      <c r="A706">
        <v>704</v>
      </c>
      <c r="B706">
        <v>20021205</v>
      </c>
      <c r="C706" s="13">
        <v>1</v>
      </c>
      <c r="D706" s="9">
        <v>1.21E-2</v>
      </c>
      <c r="E706" s="13">
        <v>13.142860000000001</v>
      </c>
      <c r="F706">
        <v>1.2800000000000001E-2</v>
      </c>
      <c r="G706" s="13">
        <v>26.142859999999999</v>
      </c>
      <c r="H706">
        <v>3.27E-2</v>
      </c>
      <c r="I706">
        <v>243.85713999999999</v>
      </c>
      <c r="J706">
        <v>5.2330000000000002E-2</v>
      </c>
      <c r="K706">
        <v>766.71428600000002</v>
      </c>
      <c r="L706">
        <v>5.4449999999999998E-2</v>
      </c>
      <c r="M706" s="13">
        <v>1301.57143</v>
      </c>
    </row>
    <row r="707" spans="1:13" x14ac:dyDescent="0.2">
      <c r="A707">
        <v>705</v>
      </c>
      <c r="B707">
        <v>20021212</v>
      </c>
      <c r="C707" s="13">
        <v>1</v>
      </c>
      <c r="D707" s="9">
        <v>1.2E-2</v>
      </c>
      <c r="E707" s="13">
        <v>13.142860000000001</v>
      </c>
      <c r="F707">
        <v>1.2500000000000001E-2</v>
      </c>
      <c r="G707" s="13">
        <v>26.142859999999999</v>
      </c>
      <c r="H707">
        <v>3.0200000000000001E-2</v>
      </c>
      <c r="I707">
        <v>242.85713999999999</v>
      </c>
      <c r="J707">
        <v>5.0999999999999997E-2</v>
      </c>
      <c r="K707">
        <v>765.71428600000002</v>
      </c>
      <c r="L707">
        <v>5.3400000000000003E-2</v>
      </c>
      <c r="M707" s="13">
        <v>1300.57143</v>
      </c>
    </row>
    <row r="708" spans="1:13" x14ac:dyDescent="0.2">
      <c r="A708">
        <v>706</v>
      </c>
      <c r="B708">
        <v>20021219</v>
      </c>
      <c r="C708" s="13">
        <v>1</v>
      </c>
      <c r="D708" s="9">
        <v>1.2E-2</v>
      </c>
      <c r="E708" s="13">
        <v>13.142860000000001</v>
      </c>
      <c r="F708">
        <v>1.2500000000000001E-2</v>
      </c>
      <c r="G708" s="13">
        <v>26.142859999999999</v>
      </c>
      <c r="H708">
        <v>3.0099999999999998E-2</v>
      </c>
      <c r="I708">
        <v>241.85713999999999</v>
      </c>
      <c r="J708">
        <v>5.1130000000000002E-2</v>
      </c>
      <c r="K708">
        <v>764.71428600000002</v>
      </c>
      <c r="L708">
        <v>5.4699999999999999E-2</v>
      </c>
      <c r="M708" s="13">
        <v>1299.57143</v>
      </c>
    </row>
    <row r="709" spans="1:13" x14ac:dyDescent="0.2">
      <c r="A709">
        <v>707</v>
      </c>
      <c r="B709">
        <v>20021226</v>
      </c>
      <c r="C709" s="13">
        <v>1</v>
      </c>
      <c r="D709" s="9">
        <v>1.18E-2</v>
      </c>
      <c r="E709" s="13">
        <v>13.142860000000001</v>
      </c>
      <c r="F709">
        <v>1.24E-2</v>
      </c>
      <c r="G709" s="13">
        <v>26.142859999999999</v>
      </c>
      <c r="H709">
        <v>2.8899999999999999E-2</v>
      </c>
      <c r="I709">
        <v>240.85713999999999</v>
      </c>
      <c r="J709">
        <v>5.0599999999999999E-2</v>
      </c>
      <c r="K709">
        <v>763.71428600000002</v>
      </c>
      <c r="L709">
        <v>5.3580000000000003E-2</v>
      </c>
      <c r="M709" s="13">
        <v>1298.57143</v>
      </c>
    </row>
    <row r="710" spans="1:13" x14ac:dyDescent="0.2">
      <c r="A710">
        <v>708</v>
      </c>
      <c r="B710">
        <v>20030102</v>
      </c>
      <c r="C710" s="13">
        <v>1</v>
      </c>
      <c r="D710" s="9">
        <v>1.1900000000000001E-2</v>
      </c>
      <c r="E710" s="13">
        <v>13.142860000000001</v>
      </c>
      <c r="F710">
        <v>1.2200000000000001E-2</v>
      </c>
      <c r="G710" s="13">
        <v>26.142859999999999</v>
      </c>
      <c r="H710">
        <v>2.87E-2</v>
      </c>
      <c r="I710">
        <v>266.28570999999999</v>
      </c>
      <c r="J710">
        <v>5.1799999999999999E-2</v>
      </c>
      <c r="K710">
        <v>762.71428600000002</v>
      </c>
      <c r="L710">
        <v>5.4800000000000001E-2</v>
      </c>
      <c r="M710" s="13">
        <v>1297.57143</v>
      </c>
    </row>
    <row r="711" spans="1:13" x14ac:dyDescent="0.2">
      <c r="A711">
        <v>709</v>
      </c>
      <c r="B711">
        <v>20030109</v>
      </c>
      <c r="C711" s="13">
        <v>1</v>
      </c>
      <c r="D711" s="9">
        <v>1.18E-2</v>
      </c>
      <c r="E711" s="13">
        <v>13.142860000000001</v>
      </c>
      <c r="F711">
        <v>1.2200000000000001E-2</v>
      </c>
      <c r="G711" s="13">
        <v>26.142859999999999</v>
      </c>
      <c r="H711">
        <v>3.09E-2</v>
      </c>
      <c r="I711">
        <v>265.28570999999999</v>
      </c>
      <c r="J711">
        <v>5.2729999999999999E-2</v>
      </c>
      <c r="K711">
        <v>761.71428600000002</v>
      </c>
      <c r="L711">
        <v>5.5710000000000003E-2</v>
      </c>
      <c r="M711" s="13">
        <v>1296.57143</v>
      </c>
    </row>
    <row r="712" spans="1:13" x14ac:dyDescent="0.2">
      <c r="A712">
        <v>710</v>
      </c>
      <c r="B712">
        <v>20030116</v>
      </c>
      <c r="C712" s="13">
        <v>1</v>
      </c>
      <c r="D712" s="9">
        <v>1.18E-2</v>
      </c>
      <c r="E712" s="13">
        <v>13.142860000000001</v>
      </c>
      <c r="F712">
        <v>1.2200000000000001E-2</v>
      </c>
      <c r="G712" s="13">
        <v>26.142859999999999</v>
      </c>
      <c r="H712">
        <v>3.1899999999999998E-2</v>
      </c>
      <c r="I712">
        <v>264.28570999999999</v>
      </c>
      <c r="J712">
        <v>5.1749999999999997E-2</v>
      </c>
      <c r="K712">
        <v>760.71428600000002</v>
      </c>
      <c r="L712">
        <v>5.4600000000000003E-2</v>
      </c>
      <c r="M712" s="13">
        <v>1295.57143</v>
      </c>
    </row>
    <row r="713" spans="1:13" x14ac:dyDescent="0.2">
      <c r="A713">
        <v>711</v>
      </c>
      <c r="B713">
        <v>20030123</v>
      </c>
      <c r="C713" s="13">
        <v>1</v>
      </c>
      <c r="D713" s="9">
        <v>1.1599999999999999E-2</v>
      </c>
      <c r="E713" s="13">
        <v>13.142860000000001</v>
      </c>
      <c r="F713">
        <v>1.18E-2</v>
      </c>
      <c r="G713" s="13">
        <v>26.142859999999999</v>
      </c>
      <c r="H713">
        <v>0.03</v>
      </c>
      <c r="I713">
        <v>263.28570999999999</v>
      </c>
      <c r="J713">
        <v>5.0770000000000003E-2</v>
      </c>
      <c r="K713">
        <v>759.71428600000002</v>
      </c>
      <c r="L713">
        <v>5.4019999999999999E-2</v>
      </c>
      <c r="M713" s="13">
        <v>1294.57143</v>
      </c>
    </row>
    <row r="714" spans="1:13" x14ac:dyDescent="0.2">
      <c r="A714">
        <v>712</v>
      </c>
      <c r="B714">
        <v>20030130</v>
      </c>
      <c r="C714" s="13">
        <v>1</v>
      </c>
      <c r="D714" s="9">
        <v>1.17E-2</v>
      </c>
      <c r="E714" s="13">
        <v>13.142860000000001</v>
      </c>
      <c r="F714">
        <v>1.1900000000000001E-2</v>
      </c>
      <c r="G714" s="13">
        <v>26.142859999999999</v>
      </c>
      <c r="H714">
        <v>3.1199999999999999E-2</v>
      </c>
      <c r="I714">
        <v>262.28570999999999</v>
      </c>
      <c r="J714">
        <v>5.083E-2</v>
      </c>
      <c r="K714">
        <v>758.71428600000002</v>
      </c>
      <c r="L714">
        <v>5.3580000000000003E-2</v>
      </c>
      <c r="M714" s="13">
        <v>1293.57143</v>
      </c>
    </row>
    <row r="715" spans="1:13" x14ac:dyDescent="0.2">
      <c r="A715">
        <v>713</v>
      </c>
      <c r="B715">
        <v>20030206</v>
      </c>
      <c r="C715" s="13">
        <v>1</v>
      </c>
      <c r="D715" s="9">
        <v>1.1599999999999999E-2</v>
      </c>
      <c r="E715" s="13">
        <v>13.142860000000001</v>
      </c>
      <c r="F715">
        <v>1.1900000000000001E-2</v>
      </c>
      <c r="G715" s="13">
        <v>26.142859999999999</v>
      </c>
      <c r="H715">
        <v>3.1099999999999999E-2</v>
      </c>
      <c r="I715">
        <v>261.28570999999999</v>
      </c>
      <c r="J715">
        <v>5.0849999999999999E-2</v>
      </c>
      <c r="K715">
        <v>796.71428600000002</v>
      </c>
      <c r="L715">
        <v>5.2850000000000001E-2</v>
      </c>
      <c r="M715" s="13">
        <v>1292.57143</v>
      </c>
    </row>
    <row r="716" spans="1:13" x14ac:dyDescent="0.2">
      <c r="A716">
        <v>714</v>
      </c>
      <c r="B716">
        <v>20030213</v>
      </c>
      <c r="C716" s="13">
        <v>1</v>
      </c>
      <c r="D716" s="9">
        <v>1.17E-2</v>
      </c>
      <c r="E716" s="13">
        <v>13.142860000000001</v>
      </c>
      <c r="F716">
        <v>1.17E-2</v>
      </c>
      <c r="G716" s="13">
        <v>26.142859999999999</v>
      </c>
      <c r="H716">
        <v>2.98E-2</v>
      </c>
      <c r="I716">
        <v>260.28570999999999</v>
      </c>
      <c r="J716">
        <v>5.033E-2</v>
      </c>
      <c r="K716">
        <v>795.71428600000002</v>
      </c>
      <c r="L716">
        <v>5.296E-2</v>
      </c>
      <c r="M716" s="13">
        <v>1291.57143</v>
      </c>
    </row>
    <row r="717" spans="1:13" x14ac:dyDescent="0.2">
      <c r="A717">
        <v>715</v>
      </c>
      <c r="B717">
        <v>20030220</v>
      </c>
      <c r="C717" s="13">
        <v>1</v>
      </c>
      <c r="D717" s="9">
        <v>1.17E-2</v>
      </c>
      <c r="E717" s="13">
        <v>13.142860000000001</v>
      </c>
      <c r="F717">
        <v>1.18E-2</v>
      </c>
      <c r="G717" s="13">
        <v>26.142859999999999</v>
      </c>
      <c r="H717">
        <v>2.9000000000000001E-2</v>
      </c>
      <c r="I717">
        <v>259.28570999999999</v>
      </c>
      <c r="J717">
        <v>5.0270000000000002E-2</v>
      </c>
      <c r="K717">
        <v>794.71428600000002</v>
      </c>
      <c r="L717">
        <v>5.3080000000000002E-2</v>
      </c>
      <c r="M717" s="13">
        <v>1290.57143</v>
      </c>
    </row>
    <row r="718" spans="1:13" x14ac:dyDescent="0.2">
      <c r="A718">
        <v>716</v>
      </c>
      <c r="B718">
        <v>20030227</v>
      </c>
      <c r="C718" s="13">
        <v>1</v>
      </c>
      <c r="D718" s="9">
        <v>1.2E-2</v>
      </c>
      <c r="E718" s="13">
        <v>13.142860000000001</v>
      </c>
      <c r="F718">
        <v>1.1900000000000001E-2</v>
      </c>
      <c r="G718" s="13">
        <v>26.142859999999999</v>
      </c>
      <c r="H718">
        <v>2.7900000000000001E-2</v>
      </c>
      <c r="I718">
        <v>258.28570999999999</v>
      </c>
      <c r="J718">
        <v>4.9110000000000001E-2</v>
      </c>
      <c r="K718">
        <v>793.71428600000002</v>
      </c>
      <c r="L718">
        <v>5.2109999999999997E-2</v>
      </c>
      <c r="M718" s="13">
        <v>1289.57143</v>
      </c>
    </row>
    <row r="719" spans="1:13" x14ac:dyDescent="0.2">
      <c r="A719">
        <v>717</v>
      </c>
      <c r="B719">
        <v>20030306</v>
      </c>
      <c r="C719" s="13">
        <v>1</v>
      </c>
      <c r="D719" s="9">
        <v>1.17E-2</v>
      </c>
      <c r="E719" s="13">
        <v>13.142860000000001</v>
      </c>
      <c r="F719">
        <v>1.1599999999999999E-2</v>
      </c>
      <c r="G719" s="13">
        <v>26.142859999999999</v>
      </c>
      <c r="H719">
        <v>2.6100000000000002E-2</v>
      </c>
      <c r="I719">
        <v>257.28570999999999</v>
      </c>
      <c r="J719">
        <v>4.8460000000000003E-2</v>
      </c>
      <c r="K719">
        <v>792.71428600000002</v>
      </c>
      <c r="L719">
        <v>5.1810000000000002E-2</v>
      </c>
      <c r="M719" s="13">
        <v>1288.57143</v>
      </c>
    </row>
    <row r="720" spans="1:13" x14ac:dyDescent="0.2">
      <c r="A720">
        <v>718</v>
      </c>
      <c r="B720">
        <v>20030313</v>
      </c>
      <c r="C720" s="13">
        <v>1</v>
      </c>
      <c r="D720" s="9">
        <v>1.0800000000000001E-2</v>
      </c>
      <c r="E720" s="13">
        <v>13.142860000000001</v>
      </c>
      <c r="F720">
        <v>1.0699999999999999E-2</v>
      </c>
      <c r="G720" s="13">
        <v>26.142859999999999</v>
      </c>
      <c r="H720">
        <v>2.6100000000000002E-2</v>
      </c>
      <c r="I720">
        <v>256.28570999999999</v>
      </c>
      <c r="J720">
        <v>4.9020000000000001E-2</v>
      </c>
      <c r="K720">
        <v>791.71428600000002</v>
      </c>
      <c r="L720">
        <v>5.237E-2</v>
      </c>
      <c r="M720" s="13">
        <v>1287.57143</v>
      </c>
    </row>
    <row r="721" spans="1:13" x14ac:dyDescent="0.2">
      <c r="A721">
        <v>719</v>
      </c>
      <c r="B721">
        <v>20030320</v>
      </c>
      <c r="C721" s="13">
        <v>1</v>
      </c>
      <c r="D721" s="9">
        <v>1.15E-2</v>
      </c>
      <c r="E721" s="13">
        <v>13.142860000000001</v>
      </c>
      <c r="F721">
        <v>1.15E-2</v>
      </c>
      <c r="G721" s="13">
        <v>26.142859999999999</v>
      </c>
      <c r="H721">
        <v>0.03</v>
      </c>
      <c r="I721">
        <v>255.28570999999999</v>
      </c>
      <c r="J721">
        <v>5.1209999999999999E-2</v>
      </c>
      <c r="K721">
        <v>790.71428600000002</v>
      </c>
      <c r="L721">
        <v>5.4300000000000001E-2</v>
      </c>
      <c r="M721" s="13">
        <v>1286.57143</v>
      </c>
    </row>
    <row r="722" spans="1:13" x14ac:dyDescent="0.2">
      <c r="A722">
        <v>720</v>
      </c>
      <c r="B722">
        <v>20030327</v>
      </c>
      <c r="C722" s="13">
        <v>1</v>
      </c>
      <c r="D722" s="9">
        <v>1.17E-2</v>
      </c>
      <c r="E722" s="13">
        <v>13.142860000000001</v>
      </c>
      <c r="F722">
        <v>1.1599999999999999E-2</v>
      </c>
      <c r="G722" s="13">
        <v>26.142859999999999</v>
      </c>
      <c r="H722">
        <v>2.9700000000000001E-2</v>
      </c>
      <c r="I722">
        <v>254.28570999999999</v>
      </c>
      <c r="J722">
        <v>5.1090000000000003E-2</v>
      </c>
      <c r="K722">
        <v>789.71428600000002</v>
      </c>
      <c r="L722">
        <v>5.4339999999999999E-2</v>
      </c>
      <c r="M722" s="13">
        <v>1285.57143</v>
      </c>
    </row>
    <row r="723" spans="1:13" x14ac:dyDescent="0.2">
      <c r="A723">
        <v>721</v>
      </c>
      <c r="B723">
        <v>20030403</v>
      </c>
      <c r="C723" s="13">
        <v>1</v>
      </c>
      <c r="D723" s="9">
        <v>1.12E-2</v>
      </c>
      <c r="E723" s="13">
        <v>13.142860000000001</v>
      </c>
      <c r="F723">
        <v>1.11E-2</v>
      </c>
      <c r="G723" s="13">
        <v>26.142859999999999</v>
      </c>
      <c r="H723">
        <v>3.04E-2</v>
      </c>
      <c r="I723">
        <v>266.14285999999998</v>
      </c>
      <c r="J723">
        <v>5.101E-2</v>
      </c>
      <c r="K723">
        <v>788.71428600000002</v>
      </c>
      <c r="L723">
        <v>5.4309999999999997E-2</v>
      </c>
      <c r="M723" s="13">
        <v>1284.57143</v>
      </c>
    </row>
    <row r="724" spans="1:13" x14ac:dyDescent="0.2">
      <c r="A724">
        <v>722</v>
      </c>
      <c r="B724">
        <v>20030410</v>
      </c>
      <c r="C724" s="13">
        <v>1</v>
      </c>
      <c r="D724" s="9">
        <v>1.1299999999999999E-2</v>
      </c>
      <c r="E724" s="13">
        <v>13.142860000000001</v>
      </c>
      <c r="F724">
        <v>1.12E-2</v>
      </c>
      <c r="G724" s="13">
        <v>26.142859999999999</v>
      </c>
      <c r="H724">
        <v>2.9899999999999999E-2</v>
      </c>
      <c r="I724">
        <v>265.14285999999998</v>
      </c>
      <c r="J724">
        <v>4.0899999999999999E-2</v>
      </c>
      <c r="K724">
        <v>787.71428600000002</v>
      </c>
      <c r="L724">
        <v>5.425E-2</v>
      </c>
      <c r="M724" s="13">
        <v>1283.57143</v>
      </c>
    </row>
    <row r="725" spans="1:13" x14ac:dyDescent="0.2">
      <c r="A725">
        <v>723</v>
      </c>
      <c r="B725">
        <v>20030417</v>
      </c>
      <c r="C725" s="13">
        <v>1</v>
      </c>
      <c r="D725" s="9">
        <v>1.1599999999999999E-2</v>
      </c>
      <c r="E725" s="13">
        <v>13.142860000000001</v>
      </c>
      <c r="F725">
        <v>1.17E-2</v>
      </c>
      <c r="G725" s="13">
        <v>26.142859999999999</v>
      </c>
      <c r="H725">
        <v>3.0499999999999999E-2</v>
      </c>
      <c r="I725">
        <v>264.14285999999998</v>
      </c>
      <c r="J725">
        <v>5.0410000000000003E-2</v>
      </c>
      <c r="K725">
        <v>786.71428600000002</v>
      </c>
      <c r="L725">
        <v>5.3659999999999999E-2</v>
      </c>
      <c r="M725" s="13">
        <v>1282.57143</v>
      </c>
    </row>
    <row r="726" spans="1:13" x14ac:dyDescent="0.2">
      <c r="A726">
        <v>724</v>
      </c>
      <c r="B726">
        <v>20030424</v>
      </c>
      <c r="C726" s="13">
        <v>1</v>
      </c>
      <c r="D726" s="9">
        <v>1.1599999999999999E-2</v>
      </c>
      <c r="E726" s="13">
        <v>13.142860000000001</v>
      </c>
      <c r="F726">
        <v>1.18E-2</v>
      </c>
      <c r="G726" s="13">
        <v>26.142859999999999</v>
      </c>
      <c r="H726">
        <v>3.1199999999999999E-2</v>
      </c>
      <c r="I726">
        <v>263.14285999999998</v>
      </c>
      <c r="J726">
        <v>4.9759999999999999E-2</v>
      </c>
      <c r="K726">
        <v>785.71428600000002</v>
      </c>
      <c r="L726">
        <v>5.3039999999999997E-2</v>
      </c>
      <c r="M726" s="13">
        <v>1281.57143</v>
      </c>
    </row>
    <row r="727" spans="1:13" x14ac:dyDescent="0.2">
      <c r="A727">
        <v>725</v>
      </c>
      <c r="B727">
        <v>20030501</v>
      </c>
      <c r="C727" s="13">
        <v>1</v>
      </c>
      <c r="D727" s="9">
        <v>1.11E-2</v>
      </c>
      <c r="E727" s="13">
        <v>13.142860000000001</v>
      </c>
      <c r="F727">
        <v>1.1299999999999999E-2</v>
      </c>
      <c r="G727" s="13">
        <v>26.142859999999999</v>
      </c>
      <c r="H727">
        <v>2.9100000000000001E-2</v>
      </c>
      <c r="I727">
        <v>262.14285999999998</v>
      </c>
      <c r="J727">
        <v>4.9079999999999999E-2</v>
      </c>
      <c r="K727">
        <v>784.71428600000002</v>
      </c>
      <c r="L727">
        <v>5.2359999999999997E-2</v>
      </c>
      <c r="M727" s="13">
        <v>1280.57143</v>
      </c>
    </row>
    <row r="728" spans="1:13" x14ac:dyDescent="0.2">
      <c r="A728">
        <v>726</v>
      </c>
      <c r="B728">
        <v>20030508</v>
      </c>
      <c r="C728" s="13">
        <v>1</v>
      </c>
      <c r="D728" s="9">
        <v>1.0999999999999999E-2</v>
      </c>
      <c r="E728" s="13">
        <v>13.142860000000001</v>
      </c>
      <c r="F728">
        <v>1.11E-2</v>
      </c>
      <c r="G728" s="13">
        <v>26.142859999999999</v>
      </c>
      <c r="H728">
        <v>2.69E-2</v>
      </c>
      <c r="I728">
        <v>261.14285999999998</v>
      </c>
      <c r="J728">
        <v>4.7530000000000003E-2</v>
      </c>
      <c r="K728">
        <v>783.71428600000002</v>
      </c>
      <c r="L728">
        <v>5.142E-2</v>
      </c>
      <c r="M728" s="13">
        <v>1279.57143</v>
      </c>
    </row>
    <row r="729" spans="1:13" x14ac:dyDescent="0.2">
      <c r="A729">
        <v>727</v>
      </c>
      <c r="B729">
        <v>20030515</v>
      </c>
      <c r="C729" s="13">
        <v>1</v>
      </c>
      <c r="D729" s="9">
        <v>1.0500000000000001E-2</v>
      </c>
      <c r="E729" s="13">
        <v>13.142860000000001</v>
      </c>
      <c r="F729">
        <v>1.09E-2</v>
      </c>
      <c r="G729" s="13">
        <v>26.142859999999999</v>
      </c>
      <c r="H729">
        <v>2.5399999999999999E-2</v>
      </c>
      <c r="I729">
        <v>260.14285999999998</v>
      </c>
      <c r="J729">
        <v>4.5350000000000001E-2</v>
      </c>
      <c r="K729">
        <v>782.71428600000002</v>
      </c>
      <c r="L729">
        <v>4.8919999999999998E-2</v>
      </c>
      <c r="M729" s="13">
        <v>1317.7142899999999</v>
      </c>
    </row>
    <row r="730" spans="1:13" x14ac:dyDescent="0.2">
      <c r="A730">
        <v>728</v>
      </c>
      <c r="B730">
        <v>20030522</v>
      </c>
      <c r="C730" s="13">
        <v>1</v>
      </c>
      <c r="D730" s="9">
        <v>1.0699999999999999E-2</v>
      </c>
      <c r="E730" s="13">
        <v>13.142860000000001</v>
      </c>
      <c r="F730">
        <v>1.0800000000000001E-2</v>
      </c>
      <c r="G730" s="13">
        <v>26.142859999999999</v>
      </c>
      <c r="H730">
        <v>2.4199999999999999E-2</v>
      </c>
      <c r="I730">
        <v>259.14285999999998</v>
      </c>
      <c r="J730">
        <v>4.3020000000000003E-2</v>
      </c>
      <c r="K730">
        <v>781.71428600000002</v>
      </c>
      <c r="L730">
        <v>4.6620000000000002E-2</v>
      </c>
      <c r="M730" s="13">
        <v>1316.7142899999999</v>
      </c>
    </row>
    <row r="731" spans="1:13" x14ac:dyDescent="0.2">
      <c r="A731">
        <v>729</v>
      </c>
      <c r="B731">
        <v>20030529</v>
      </c>
      <c r="C731" s="13">
        <v>1</v>
      </c>
      <c r="D731" s="9">
        <v>1.11E-2</v>
      </c>
      <c r="E731" s="13">
        <v>13.142860000000001</v>
      </c>
      <c r="F731">
        <v>1.09E-2</v>
      </c>
      <c r="G731" s="13">
        <v>26.142859999999999</v>
      </c>
      <c r="H731">
        <v>2.41E-2</v>
      </c>
      <c r="I731">
        <v>258.14285999999998</v>
      </c>
      <c r="J731">
        <v>4.3950000000000003E-2</v>
      </c>
      <c r="K731">
        <v>780.71428600000002</v>
      </c>
      <c r="L731">
        <v>4.7809999999999998E-2</v>
      </c>
      <c r="M731" s="13">
        <v>1315.7142899999999</v>
      </c>
    </row>
    <row r="732" spans="1:13" x14ac:dyDescent="0.2">
      <c r="A732">
        <v>730</v>
      </c>
      <c r="B732">
        <v>20030605</v>
      </c>
      <c r="C732" s="13">
        <v>1</v>
      </c>
      <c r="D732" s="9">
        <v>1.04E-2</v>
      </c>
      <c r="E732" s="13">
        <v>13.142860000000001</v>
      </c>
      <c r="F732">
        <v>1.0200000000000001E-2</v>
      </c>
      <c r="G732" s="13">
        <v>26.142859999999999</v>
      </c>
      <c r="H732">
        <v>2.24E-2</v>
      </c>
      <c r="I732">
        <v>257.14285999999998</v>
      </c>
      <c r="J732">
        <v>4.4330000000000001E-2</v>
      </c>
      <c r="K732">
        <v>779.71428600000002</v>
      </c>
      <c r="L732">
        <v>4.863E-2</v>
      </c>
      <c r="M732" s="13">
        <v>1314.7142899999999</v>
      </c>
    </row>
    <row r="733" spans="1:13" x14ac:dyDescent="0.2">
      <c r="A733">
        <v>731</v>
      </c>
      <c r="B733">
        <v>20030612</v>
      </c>
      <c r="C733" s="13">
        <v>1</v>
      </c>
      <c r="D733" s="9">
        <v>9.1999999999999998E-3</v>
      </c>
      <c r="E733" s="13">
        <v>13.142860000000001</v>
      </c>
      <c r="F733">
        <v>9.1999999999999998E-3</v>
      </c>
      <c r="G733" s="13">
        <v>26.142859999999999</v>
      </c>
      <c r="H733">
        <v>2.1700000000000001E-2</v>
      </c>
      <c r="I733">
        <v>256.14285999999998</v>
      </c>
      <c r="J733">
        <v>4.1950000000000001E-2</v>
      </c>
      <c r="K733">
        <v>778.71428600000002</v>
      </c>
      <c r="L733">
        <v>4.65E-2</v>
      </c>
      <c r="M733" s="13">
        <v>1313.7142899999999</v>
      </c>
    </row>
    <row r="734" spans="1:13" x14ac:dyDescent="0.2">
      <c r="A734">
        <v>732</v>
      </c>
      <c r="B734">
        <v>20030619</v>
      </c>
      <c r="C734" s="13">
        <v>1</v>
      </c>
      <c r="D734" s="9">
        <v>8.6999999999999994E-3</v>
      </c>
      <c r="E734" s="13">
        <v>13.142860000000001</v>
      </c>
      <c r="F734">
        <v>8.9999999999999993E-3</v>
      </c>
      <c r="G734" s="13">
        <v>26.142859999999999</v>
      </c>
      <c r="H734">
        <v>2.2700000000000001E-2</v>
      </c>
      <c r="I734">
        <v>255.14286000000001</v>
      </c>
      <c r="J734">
        <v>4.3979999999999998E-2</v>
      </c>
      <c r="K734">
        <v>777.71428600000002</v>
      </c>
      <c r="L734">
        <v>4.829E-2</v>
      </c>
      <c r="M734" s="13">
        <v>1312.7142899999999</v>
      </c>
    </row>
    <row r="735" spans="1:13" x14ac:dyDescent="0.2">
      <c r="A735">
        <v>733</v>
      </c>
      <c r="B735">
        <v>20030626</v>
      </c>
      <c r="C735" s="13">
        <v>1</v>
      </c>
      <c r="D735" s="9">
        <v>8.9999999999999993E-3</v>
      </c>
      <c r="E735" s="13">
        <v>13.142860000000001</v>
      </c>
      <c r="F735">
        <v>9.2999999999999992E-3</v>
      </c>
      <c r="G735" s="13">
        <v>26.142859999999999</v>
      </c>
      <c r="H735">
        <v>2.3300000000000001E-2</v>
      </c>
      <c r="I735">
        <v>254.14286000000001</v>
      </c>
      <c r="J735">
        <v>4.5990000000000003E-2</v>
      </c>
      <c r="K735">
        <v>776.71428600000002</v>
      </c>
      <c r="L735">
        <v>5.0169999999999999E-2</v>
      </c>
      <c r="M735" s="13">
        <v>1311.7142899999999</v>
      </c>
    </row>
    <row r="736" spans="1:13" x14ac:dyDescent="0.2">
      <c r="A736">
        <v>734</v>
      </c>
      <c r="B736">
        <v>20030703</v>
      </c>
      <c r="C736" s="13">
        <v>1</v>
      </c>
      <c r="D736" s="9">
        <v>8.5000000000000006E-3</v>
      </c>
      <c r="E736" s="13">
        <v>13.142860000000001</v>
      </c>
      <c r="F736">
        <v>9.4000000000000004E-3</v>
      </c>
      <c r="G736" s="13">
        <v>26.142859999999999</v>
      </c>
      <c r="H736">
        <v>2.47E-2</v>
      </c>
      <c r="I736">
        <v>253.14286000000001</v>
      </c>
      <c r="J736">
        <v>4.7169999999999997E-2</v>
      </c>
      <c r="K736">
        <v>775.71428600000002</v>
      </c>
      <c r="L736">
        <v>5.1319999999999998E-2</v>
      </c>
      <c r="M736" s="13">
        <v>1310.7142899999999</v>
      </c>
    </row>
    <row r="737" spans="1:13" x14ac:dyDescent="0.2">
      <c r="A737">
        <v>735</v>
      </c>
      <c r="B737">
        <v>20030710</v>
      </c>
      <c r="C737" s="13">
        <v>1</v>
      </c>
      <c r="D737" s="9">
        <v>8.6999999999999994E-3</v>
      </c>
      <c r="E737" s="13">
        <v>13.142860000000001</v>
      </c>
      <c r="F737">
        <v>9.4000000000000004E-3</v>
      </c>
      <c r="G737" s="13">
        <v>26.142859999999999</v>
      </c>
      <c r="H737">
        <v>2.63E-2</v>
      </c>
      <c r="I737">
        <v>252.14286000000001</v>
      </c>
      <c r="J737">
        <v>4.7649999999999998E-2</v>
      </c>
      <c r="K737">
        <v>774.71428600000002</v>
      </c>
      <c r="L737">
        <v>5.1429999999999997E-2</v>
      </c>
      <c r="M737" s="13">
        <v>1309.7142899999999</v>
      </c>
    </row>
    <row r="738" spans="1:13" x14ac:dyDescent="0.2">
      <c r="A738">
        <v>736</v>
      </c>
      <c r="B738">
        <v>20030717</v>
      </c>
      <c r="C738" s="13">
        <v>1</v>
      </c>
      <c r="D738" s="9">
        <v>8.8000000000000005E-3</v>
      </c>
      <c r="E738" s="13">
        <v>13.142860000000001</v>
      </c>
      <c r="F738">
        <v>9.5999999999999992E-3</v>
      </c>
      <c r="G738" s="13">
        <v>26.142859999999999</v>
      </c>
      <c r="H738">
        <v>2.8500000000000001E-2</v>
      </c>
      <c r="I738">
        <v>251.14286000000001</v>
      </c>
      <c r="J738">
        <v>5.0310000000000001E-2</v>
      </c>
      <c r="K738">
        <v>773.71428600000002</v>
      </c>
      <c r="L738">
        <v>5.3409999999999999E-2</v>
      </c>
      <c r="M738" s="13">
        <v>1308.7142899999999</v>
      </c>
    </row>
    <row r="739" spans="1:13" x14ac:dyDescent="0.2">
      <c r="A739">
        <v>737</v>
      </c>
      <c r="B739">
        <v>20030724</v>
      </c>
      <c r="C739" s="13">
        <v>1</v>
      </c>
      <c r="D739" s="9">
        <v>8.9999999999999993E-3</v>
      </c>
      <c r="E739" s="13">
        <v>13.142860000000001</v>
      </c>
      <c r="F739">
        <v>9.5999999999999992E-3</v>
      </c>
      <c r="G739" s="13">
        <v>26.142859999999999</v>
      </c>
      <c r="H739">
        <v>3.0300000000000001E-2</v>
      </c>
      <c r="I739">
        <v>250.14286000000001</v>
      </c>
      <c r="J739">
        <v>5.2670000000000002E-2</v>
      </c>
      <c r="K739">
        <v>772.71428600000002</v>
      </c>
      <c r="L739">
        <v>5.5329999999999997E-2</v>
      </c>
      <c r="M739" s="13">
        <v>1307.7142899999999</v>
      </c>
    </row>
    <row r="740" spans="1:13" x14ac:dyDescent="0.2">
      <c r="A740">
        <v>738</v>
      </c>
      <c r="B740">
        <v>20030731</v>
      </c>
      <c r="C740" s="13">
        <v>1</v>
      </c>
      <c r="D740" s="9">
        <v>9.5999999999999992E-3</v>
      </c>
      <c r="E740" s="13">
        <v>13.142860000000001</v>
      </c>
      <c r="F740">
        <v>9.9000000000000008E-3</v>
      </c>
      <c r="G740" s="13">
        <v>26.142859999999999</v>
      </c>
      <c r="H740">
        <v>3.2399999999999998E-2</v>
      </c>
      <c r="I740">
        <v>249.14286000000001</v>
      </c>
      <c r="J740">
        <v>5.5849999999999997E-2</v>
      </c>
      <c r="K740">
        <v>771.71428600000002</v>
      </c>
      <c r="L740">
        <v>5.833E-2</v>
      </c>
      <c r="M740" s="13">
        <v>1306.7142899999999</v>
      </c>
    </row>
    <row r="741" spans="1:13" x14ac:dyDescent="0.2">
      <c r="A741">
        <v>739</v>
      </c>
      <c r="B741">
        <v>20030807</v>
      </c>
      <c r="C741" s="13">
        <v>1</v>
      </c>
      <c r="D741" s="9">
        <v>9.2999999999999992E-3</v>
      </c>
      <c r="E741" s="13">
        <v>13.142860000000001</v>
      </c>
      <c r="F741">
        <v>1.03E-2</v>
      </c>
      <c r="G741" s="13">
        <v>26.142859999999999</v>
      </c>
      <c r="H741">
        <v>3.2500000000000001E-2</v>
      </c>
      <c r="I741">
        <v>248.14286000000001</v>
      </c>
      <c r="J741">
        <v>5.416E-2</v>
      </c>
      <c r="K741">
        <v>770.71428600000002</v>
      </c>
      <c r="L741">
        <v>5.697E-2</v>
      </c>
      <c r="M741" s="13">
        <v>1305.7142899999999</v>
      </c>
    </row>
    <row r="742" spans="1:13" x14ac:dyDescent="0.2">
      <c r="A742">
        <v>740</v>
      </c>
      <c r="B742">
        <v>20030814</v>
      </c>
      <c r="C742" s="13">
        <v>1</v>
      </c>
      <c r="D742" s="9">
        <v>9.2999999999999992E-3</v>
      </c>
      <c r="E742" s="13">
        <v>13.142860000000001</v>
      </c>
      <c r="F742">
        <v>1.03E-2</v>
      </c>
      <c r="G742" s="13">
        <v>26.142859999999999</v>
      </c>
      <c r="H742">
        <v>3.4000000000000002E-2</v>
      </c>
      <c r="I742">
        <v>247.14286000000001</v>
      </c>
      <c r="J742">
        <v>5.6980000000000003E-2</v>
      </c>
      <c r="K742">
        <v>796</v>
      </c>
      <c r="L742">
        <v>5.8479999999999997E-2</v>
      </c>
      <c r="M742" s="13">
        <v>1304.7142899999999</v>
      </c>
    </row>
    <row r="743" spans="1:13" x14ac:dyDescent="0.2">
      <c r="A743">
        <v>741</v>
      </c>
      <c r="B743">
        <v>20030821</v>
      </c>
      <c r="C743" s="13">
        <v>1</v>
      </c>
      <c r="D743" s="9">
        <v>9.4999999999999998E-3</v>
      </c>
      <c r="E743" s="13">
        <v>13.142860000000001</v>
      </c>
      <c r="F743">
        <v>1.03E-2</v>
      </c>
      <c r="G743" s="13">
        <v>26.142859999999999</v>
      </c>
      <c r="H743">
        <v>3.32E-2</v>
      </c>
      <c r="I743">
        <v>246.14286000000001</v>
      </c>
      <c r="J743">
        <v>5.5960000000000003E-2</v>
      </c>
      <c r="K743">
        <v>795</v>
      </c>
      <c r="L743">
        <v>5.7459999999999997E-2</v>
      </c>
      <c r="M743" s="13">
        <v>1303.7142899999999</v>
      </c>
    </row>
    <row r="744" spans="1:13" x14ac:dyDescent="0.2">
      <c r="A744">
        <v>742</v>
      </c>
      <c r="B744">
        <v>20030828</v>
      </c>
      <c r="C744" s="13">
        <v>1</v>
      </c>
      <c r="D744" s="9">
        <v>9.9000000000000008E-3</v>
      </c>
      <c r="E744" s="13">
        <v>13.142860000000001</v>
      </c>
      <c r="F744">
        <v>1.0500000000000001E-2</v>
      </c>
      <c r="G744" s="13">
        <v>26.142859999999999</v>
      </c>
      <c r="H744">
        <v>3.5299999999999998E-2</v>
      </c>
      <c r="I744">
        <v>245.14286000000001</v>
      </c>
      <c r="J744">
        <v>5.509E-2</v>
      </c>
      <c r="K744">
        <v>794</v>
      </c>
      <c r="L744">
        <v>5.6439999999999997E-2</v>
      </c>
      <c r="M744" s="13">
        <v>1302.7142899999999</v>
      </c>
    </row>
    <row r="745" spans="1:13" x14ac:dyDescent="0.2">
      <c r="A745">
        <v>743</v>
      </c>
      <c r="B745">
        <v>20030904</v>
      </c>
      <c r="C745" s="13">
        <v>1</v>
      </c>
      <c r="D745" s="9">
        <v>9.7000000000000003E-3</v>
      </c>
      <c r="E745" s="13">
        <v>13.142860000000001</v>
      </c>
      <c r="F745">
        <v>1.04E-2</v>
      </c>
      <c r="G745" s="13">
        <v>26.142859999999999</v>
      </c>
      <c r="H745">
        <v>3.7499999999999999E-2</v>
      </c>
      <c r="I745">
        <v>270.42856999999998</v>
      </c>
      <c r="J745">
        <v>5.638E-2</v>
      </c>
      <c r="K745">
        <v>793</v>
      </c>
      <c r="L745">
        <v>5.74E-2</v>
      </c>
      <c r="M745" s="13">
        <v>1301.7142899999999</v>
      </c>
    </row>
    <row r="746" spans="1:13" x14ac:dyDescent="0.2">
      <c r="A746">
        <v>744</v>
      </c>
      <c r="B746">
        <v>20030911</v>
      </c>
      <c r="C746" s="13">
        <v>1</v>
      </c>
      <c r="D746" s="9">
        <v>9.4999999999999998E-3</v>
      </c>
      <c r="E746" s="13">
        <v>13.142860000000001</v>
      </c>
      <c r="F746">
        <v>1.01E-2</v>
      </c>
      <c r="G746" s="13">
        <v>26.142859999999999</v>
      </c>
      <c r="H746">
        <v>3.2800000000000003E-2</v>
      </c>
      <c r="I746">
        <v>269.42856999999998</v>
      </c>
      <c r="J746">
        <v>5.4530000000000002E-2</v>
      </c>
      <c r="K746">
        <v>792</v>
      </c>
      <c r="L746">
        <v>5.6469999999999999E-2</v>
      </c>
      <c r="M746" s="13">
        <v>1300.7142899999999</v>
      </c>
    </row>
    <row r="747" spans="1:13" x14ac:dyDescent="0.2">
      <c r="A747">
        <v>745</v>
      </c>
      <c r="B747">
        <v>20030918</v>
      </c>
      <c r="C747" s="13">
        <v>1</v>
      </c>
      <c r="D747" s="9">
        <v>9.2999999999999992E-3</v>
      </c>
      <c r="E747" s="13">
        <v>13.142860000000001</v>
      </c>
      <c r="F747">
        <v>1.01E-2</v>
      </c>
      <c r="G747" s="13">
        <v>26.142859999999999</v>
      </c>
      <c r="H747">
        <v>3.1899999999999998E-2</v>
      </c>
      <c r="I747">
        <v>268.42856999999998</v>
      </c>
      <c r="J747">
        <v>5.3060000000000003E-2</v>
      </c>
      <c r="K747">
        <v>791</v>
      </c>
      <c r="L747">
        <v>5.534E-2</v>
      </c>
      <c r="M747" s="13">
        <v>1299.7142899999999</v>
      </c>
    </row>
    <row r="748" spans="1:13" x14ac:dyDescent="0.2">
      <c r="A748">
        <v>746</v>
      </c>
      <c r="B748">
        <v>20030925</v>
      </c>
      <c r="C748" s="13">
        <v>1</v>
      </c>
      <c r="D748" s="9">
        <v>9.1999999999999998E-3</v>
      </c>
      <c r="E748" s="13">
        <v>13.142860000000001</v>
      </c>
      <c r="F748">
        <v>1.01E-2</v>
      </c>
      <c r="G748" s="13">
        <v>26.142859999999999</v>
      </c>
      <c r="H748">
        <v>3.1800000000000002E-2</v>
      </c>
      <c r="I748">
        <v>267.42856999999998</v>
      </c>
      <c r="J748">
        <v>5.1920000000000001E-2</v>
      </c>
      <c r="K748">
        <v>790</v>
      </c>
      <c r="L748">
        <v>5.4530000000000002E-2</v>
      </c>
      <c r="M748" s="13">
        <v>1298.7142899999999</v>
      </c>
    </row>
    <row r="749" spans="1:13" x14ac:dyDescent="0.2">
      <c r="A749">
        <v>747</v>
      </c>
      <c r="B749">
        <v>20031002</v>
      </c>
      <c r="C749" s="13">
        <v>1</v>
      </c>
      <c r="D749" s="9">
        <v>9.2999999999999992E-3</v>
      </c>
      <c r="E749" s="13">
        <v>13.142860000000001</v>
      </c>
      <c r="F749">
        <v>9.9000000000000008E-3</v>
      </c>
      <c r="G749" s="13">
        <v>26.142859999999999</v>
      </c>
      <c r="H749">
        <v>2.93E-2</v>
      </c>
      <c r="I749">
        <v>266.42856999999998</v>
      </c>
      <c r="J749">
        <v>5.1209999999999999E-2</v>
      </c>
      <c r="K749">
        <v>789</v>
      </c>
      <c r="L749">
        <v>5.3929999999999999E-2</v>
      </c>
      <c r="M749" s="13">
        <v>1297.7142899999999</v>
      </c>
    </row>
    <row r="750" spans="1:13" x14ac:dyDescent="0.2">
      <c r="A750">
        <v>748</v>
      </c>
      <c r="B750">
        <v>20031009</v>
      </c>
      <c r="C750" s="13">
        <v>1</v>
      </c>
      <c r="D750" s="9">
        <v>8.8000000000000005E-3</v>
      </c>
      <c r="E750" s="13">
        <v>13.142860000000001</v>
      </c>
      <c r="F750">
        <v>9.7999999999999997E-3</v>
      </c>
      <c r="G750" s="13">
        <v>26.142859999999999</v>
      </c>
      <c r="H750">
        <v>3.2099999999999997E-2</v>
      </c>
      <c r="I750">
        <v>265.42856999999998</v>
      </c>
      <c r="J750">
        <v>5.4480000000000001E-2</v>
      </c>
      <c r="K750">
        <v>788</v>
      </c>
      <c r="L750">
        <v>5.6759999999999998E-2</v>
      </c>
      <c r="M750" s="13">
        <v>1296.7142899999999</v>
      </c>
    </row>
    <row r="751" spans="1:13" x14ac:dyDescent="0.2">
      <c r="A751">
        <v>749</v>
      </c>
      <c r="B751">
        <v>20031016</v>
      </c>
      <c r="C751" s="13">
        <v>1</v>
      </c>
      <c r="D751" s="9">
        <v>9.1000000000000004E-3</v>
      </c>
      <c r="E751" s="13">
        <v>13.142860000000001</v>
      </c>
      <c r="F751">
        <v>0.01</v>
      </c>
      <c r="G751" s="13">
        <v>26.142859999999999</v>
      </c>
      <c r="H751">
        <v>3.39E-2</v>
      </c>
      <c r="I751">
        <v>264.42856999999998</v>
      </c>
      <c r="J751">
        <v>5.5669999999999997E-2</v>
      </c>
      <c r="K751">
        <v>787</v>
      </c>
      <c r="L751">
        <v>5.7639999999999997E-2</v>
      </c>
      <c r="M751" s="13">
        <v>1295.7142899999999</v>
      </c>
    </row>
    <row r="752" spans="1:13" x14ac:dyDescent="0.2">
      <c r="A752">
        <v>750</v>
      </c>
      <c r="B752">
        <v>20031023</v>
      </c>
      <c r="C752" s="13">
        <v>1</v>
      </c>
      <c r="D752" s="9">
        <v>9.4999999999999998E-3</v>
      </c>
      <c r="E752" s="13">
        <v>13.142860000000001</v>
      </c>
      <c r="F752">
        <v>1.0200000000000001E-2</v>
      </c>
      <c r="G752" s="13">
        <v>26.142859999999999</v>
      </c>
      <c r="H752">
        <v>3.3000000000000002E-2</v>
      </c>
      <c r="I752">
        <v>263.42856999999998</v>
      </c>
      <c r="J752">
        <v>5.423E-2</v>
      </c>
      <c r="K752">
        <v>786</v>
      </c>
      <c r="L752">
        <v>5.6430000000000001E-2</v>
      </c>
      <c r="M752" s="13">
        <v>1294.7142899999999</v>
      </c>
    </row>
    <row r="753" spans="1:13" x14ac:dyDescent="0.2">
      <c r="A753">
        <v>751</v>
      </c>
      <c r="B753">
        <v>20031030</v>
      </c>
      <c r="C753" s="13">
        <v>1</v>
      </c>
      <c r="D753" s="9">
        <v>9.4999999999999998E-3</v>
      </c>
      <c r="E753" s="13">
        <v>13.142860000000001</v>
      </c>
      <c r="F753">
        <v>1.0200000000000001E-2</v>
      </c>
      <c r="G753" s="13">
        <v>26.142859999999999</v>
      </c>
      <c r="H753">
        <v>3.27E-2</v>
      </c>
      <c r="I753">
        <v>262.42856999999998</v>
      </c>
      <c r="J753">
        <v>5.4170000000000003E-2</v>
      </c>
      <c r="K753">
        <v>785</v>
      </c>
      <c r="L753">
        <v>5.6439999999999997E-2</v>
      </c>
      <c r="M753" s="13">
        <v>1293.7142899999999</v>
      </c>
    </row>
    <row r="754" spans="1:13" x14ac:dyDescent="0.2">
      <c r="A754">
        <v>752</v>
      </c>
      <c r="B754">
        <v>20031106</v>
      </c>
      <c r="C754" s="13">
        <v>1</v>
      </c>
      <c r="D754" s="9">
        <v>9.2999999999999992E-3</v>
      </c>
      <c r="E754" s="13">
        <v>13.142860000000001</v>
      </c>
      <c r="F754">
        <v>1.03E-2</v>
      </c>
      <c r="G754" s="13">
        <v>26.142859999999999</v>
      </c>
      <c r="H754">
        <v>3.4200000000000001E-2</v>
      </c>
      <c r="I754">
        <v>261.42856999999998</v>
      </c>
      <c r="J754">
        <v>5.4679999999999999E-2</v>
      </c>
      <c r="K754">
        <v>784</v>
      </c>
      <c r="L754">
        <v>5.6710000000000003E-2</v>
      </c>
      <c r="M754" s="13">
        <v>1292.7142899999999</v>
      </c>
    </row>
    <row r="755" spans="1:13" x14ac:dyDescent="0.2">
      <c r="A755">
        <v>753</v>
      </c>
      <c r="B755">
        <v>20031113</v>
      </c>
      <c r="C755" s="13">
        <v>1</v>
      </c>
      <c r="D755" s="9">
        <v>9.2999999999999992E-3</v>
      </c>
      <c r="E755" s="13">
        <v>13.142860000000001</v>
      </c>
      <c r="F755">
        <v>1.0500000000000001E-2</v>
      </c>
      <c r="G755" s="13">
        <v>26.142859999999999</v>
      </c>
      <c r="H755">
        <v>3.49E-2</v>
      </c>
      <c r="I755">
        <v>260.42856999999998</v>
      </c>
      <c r="J755">
        <v>5.3039999999999997E-2</v>
      </c>
      <c r="K755">
        <v>783</v>
      </c>
      <c r="L755">
        <v>5.5149999999999998E-2</v>
      </c>
      <c r="M755" s="13">
        <v>1291.7142899999999</v>
      </c>
    </row>
    <row r="756" spans="1:13" x14ac:dyDescent="0.2">
      <c r="A756">
        <v>754</v>
      </c>
      <c r="B756">
        <v>20031120</v>
      </c>
      <c r="C756" s="13">
        <v>1</v>
      </c>
      <c r="D756" s="9">
        <v>9.2999999999999992E-3</v>
      </c>
      <c r="E756" s="13">
        <v>13.142860000000001</v>
      </c>
      <c r="F756">
        <v>1.0200000000000001E-2</v>
      </c>
      <c r="G756" s="13">
        <v>26.142859999999999</v>
      </c>
      <c r="H756">
        <v>3.2500000000000001E-2</v>
      </c>
      <c r="I756">
        <v>259.42856999999998</v>
      </c>
      <c r="J756">
        <v>5.1900000000000002E-2</v>
      </c>
      <c r="K756">
        <v>782</v>
      </c>
      <c r="L756">
        <v>5.4269999999999999E-2</v>
      </c>
      <c r="M756" s="13">
        <v>1303.8571400000001</v>
      </c>
    </row>
    <row r="757" spans="1:13" x14ac:dyDescent="0.2">
      <c r="A757">
        <v>755</v>
      </c>
      <c r="B757">
        <v>20031128</v>
      </c>
      <c r="C757" s="13">
        <v>1</v>
      </c>
      <c r="D757" s="9">
        <v>9.1999999999999998E-3</v>
      </c>
      <c r="E757" s="13">
        <v>13.142860000000001</v>
      </c>
      <c r="F757">
        <v>1.03E-2</v>
      </c>
      <c r="G757" s="13">
        <v>26.142859999999999</v>
      </c>
      <c r="H757">
        <v>3.1399999999999997E-2</v>
      </c>
      <c r="I757">
        <v>258.42856999999998</v>
      </c>
      <c r="J757">
        <v>5.3370000000000001E-2</v>
      </c>
      <c r="K757">
        <v>780.85714299999995</v>
      </c>
      <c r="L757">
        <v>5.5390000000000002E-2</v>
      </c>
      <c r="M757" s="13">
        <v>1302.7142899999999</v>
      </c>
    </row>
    <row r="758" spans="1:13" x14ac:dyDescent="0.2">
      <c r="A758">
        <v>756</v>
      </c>
      <c r="B758">
        <v>20031204</v>
      </c>
      <c r="C758" s="13">
        <v>1</v>
      </c>
      <c r="D758" s="9">
        <v>9.1999999999999998E-3</v>
      </c>
      <c r="E758" s="13">
        <v>13.142860000000001</v>
      </c>
      <c r="F758">
        <v>1.03E-2</v>
      </c>
      <c r="G758" s="13">
        <v>26.142859999999999</v>
      </c>
      <c r="H758">
        <v>3.4799999999999998E-2</v>
      </c>
      <c r="I758">
        <v>257.42856999999998</v>
      </c>
      <c r="J758">
        <v>5.373E-2</v>
      </c>
      <c r="K758">
        <v>780</v>
      </c>
      <c r="L758">
        <v>5.5509999999999997E-2</v>
      </c>
      <c r="M758" s="13">
        <v>1301.8571400000001</v>
      </c>
    </row>
    <row r="759" spans="1:13" x14ac:dyDescent="0.2">
      <c r="A759">
        <v>757</v>
      </c>
      <c r="B759">
        <v>20031211</v>
      </c>
      <c r="C759" s="13">
        <v>1</v>
      </c>
      <c r="D759" s="9">
        <v>8.8999999999999999E-3</v>
      </c>
      <c r="E759" s="13">
        <v>13.142860000000001</v>
      </c>
      <c r="F759">
        <v>0.01</v>
      </c>
      <c r="G759" s="13">
        <v>26.142859999999999</v>
      </c>
      <c r="H759">
        <v>3.3300000000000003E-2</v>
      </c>
      <c r="I759">
        <v>256.42856999999998</v>
      </c>
      <c r="J759">
        <v>5.2569999999999999E-2</v>
      </c>
      <c r="K759">
        <v>779</v>
      </c>
      <c r="L759">
        <v>5.5239999999999997E-2</v>
      </c>
      <c r="M759" s="13">
        <v>1300.8571400000001</v>
      </c>
    </row>
    <row r="760" spans="1:13" x14ac:dyDescent="0.2">
      <c r="A760">
        <v>758</v>
      </c>
      <c r="B760">
        <v>20031218</v>
      </c>
      <c r="C760" s="13">
        <v>1</v>
      </c>
      <c r="D760" s="9">
        <v>8.8000000000000005E-3</v>
      </c>
      <c r="E760" s="13">
        <v>13.142860000000001</v>
      </c>
      <c r="F760">
        <v>9.7999999999999997E-3</v>
      </c>
      <c r="G760" s="13">
        <v>26.142859999999999</v>
      </c>
      <c r="H760">
        <v>3.1800000000000002E-2</v>
      </c>
      <c r="I760">
        <v>255.42857000000001</v>
      </c>
      <c r="J760">
        <v>5.0999999999999997E-2</v>
      </c>
      <c r="K760">
        <v>778</v>
      </c>
      <c r="L760">
        <v>5.3460000000000001E-2</v>
      </c>
      <c r="M760" s="13">
        <v>1299.8571400000001</v>
      </c>
    </row>
    <row r="761" spans="1:13" x14ac:dyDescent="0.2">
      <c r="A761">
        <v>759</v>
      </c>
      <c r="B761">
        <v>20031226</v>
      </c>
      <c r="C761" s="13">
        <v>1</v>
      </c>
      <c r="D761" s="9">
        <v>8.8000000000000005E-3</v>
      </c>
      <c r="E761" s="13">
        <v>13.142860000000001</v>
      </c>
      <c r="F761">
        <v>9.9000000000000008E-3</v>
      </c>
      <c r="G761" s="13">
        <v>26.142859999999999</v>
      </c>
      <c r="H761">
        <v>3.2000000000000001E-2</v>
      </c>
      <c r="I761">
        <v>254.42857000000001</v>
      </c>
      <c r="J761">
        <v>5.1319999999999998E-2</v>
      </c>
      <c r="K761">
        <v>776.85714299999995</v>
      </c>
      <c r="L761">
        <v>5.3670000000000002E-2</v>
      </c>
      <c r="M761" s="13">
        <v>1298.7142899999999</v>
      </c>
    </row>
    <row r="762" spans="1:13" x14ac:dyDescent="0.2">
      <c r="A762">
        <v>760</v>
      </c>
      <c r="B762">
        <v>20040102</v>
      </c>
      <c r="C762" s="13">
        <v>1</v>
      </c>
      <c r="D762" s="9">
        <v>9.1000000000000004E-3</v>
      </c>
      <c r="E762" s="13">
        <v>13.142860000000001</v>
      </c>
      <c r="F762">
        <v>1.01E-2</v>
      </c>
      <c r="G762" s="13">
        <v>26.142859999999999</v>
      </c>
      <c r="H762">
        <v>3.2800000000000003E-2</v>
      </c>
      <c r="I762">
        <v>279.42856999999998</v>
      </c>
      <c r="J762">
        <v>5.355E-2</v>
      </c>
      <c r="K762">
        <v>775.85714299999995</v>
      </c>
      <c r="L762">
        <v>5.5899999999999998E-2</v>
      </c>
      <c r="M762" s="13">
        <v>1297.7142899999999</v>
      </c>
    </row>
    <row r="763" spans="1:13" x14ac:dyDescent="0.2">
      <c r="A763">
        <v>761</v>
      </c>
      <c r="B763">
        <v>20040108</v>
      </c>
      <c r="C763" s="13">
        <v>1</v>
      </c>
      <c r="D763" s="9">
        <v>8.8999999999999999E-3</v>
      </c>
      <c r="E763" s="13">
        <v>13.142860000000001</v>
      </c>
      <c r="F763">
        <v>1.014E-2</v>
      </c>
      <c r="G763" s="13">
        <v>26.142859999999999</v>
      </c>
      <c r="H763">
        <v>3.27E-2</v>
      </c>
      <c r="I763">
        <v>278.42856999999998</v>
      </c>
      <c r="J763">
        <v>5.2389999999999999E-2</v>
      </c>
      <c r="K763">
        <v>775</v>
      </c>
      <c r="L763">
        <v>5.5010000000000003E-2</v>
      </c>
      <c r="M763" s="13">
        <v>1296.8571400000001</v>
      </c>
    </row>
    <row r="764" spans="1:13" x14ac:dyDescent="0.2">
      <c r="A764">
        <v>762</v>
      </c>
      <c r="B764">
        <v>20040115</v>
      </c>
      <c r="C764" s="13">
        <v>1</v>
      </c>
      <c r="D764" s="9">
        <v>8.6E-3</v>
      </c>
      <c r="E764" s="13">
        <v>13.142860000000001</v>
      </c>
      <c r="F764">
        <v>9.4999999999999998E-3</v>
      </c>
      <c r="G764" s="13">
        <v>26.142859999999999</v>
      </c>
      <c r="H764">
        <v>2.98E-2</v>
      </c>
      <c r="I764">
        <v>277.42856999999998</v>
      </c>
      <c r="J764">
        <v>4.9639999999999997E-2</v>
      </c>
      <c r="K764">
        <v>774</v>
      </c>
      <c r="L764">
        <v>5.2979999999999999E-2</v>
      </c>
      <c r="M764" s="13">
        <v>1295.8571400000001</v>
      </c>
    </row>
    <row r="765" spans="1:13" x14ac:dyDescent="0.2">
      <c r="A765">
        <v>763</v>
      </c>
      <c r="B765">
        <v>20040122</v>
      </c>
      <c r="C765" s="13">
        <v>1</v>
      </c>
      <c r="D765" s="9">
        <v>8.6999999999999994E-3</v>
      </c>
      <c r="E765" s="13">
        <v>13.142860000000001</v>
      </c>
      <c r="F765">
        <v>9.4999999999999998E-3</v>
      </c>
      <c r="G765" s="13">
        <v>26.142859999999999</v>
      </c>
      <c r="H765">
        <v>3.04E-2</v>
      </c>
      <c r="I765">
        <v>276.42856999999998</v>
      </c>
      <c r="J765">
        <v>4.9820000000000003E-2</v>
      </c>
      <c r="K765">
        <v>786.14285700000005</v>
      </c>
      <c r="L765">
        <v>5.2470000000000003E-2</v>
      </c>
      <c r="M765" s="13">
        <v>1294.8571400000001</v>
      </c>
    </row>
    <row r="766" spans="1:13" x14ac:dyDescent="0.2">
      <c r="A766">
        <v>764</v>
      </c>
      <c r="B766">
        <v>20040129</v>
      </c>
      <c r="C766" s="13">
        <v>1</v>
      </c>
      <c r="D766" s="9">
        <v>9.1999999999999998E-3</v>
      </c>
      <c r="E766" s="13">
        <v>13.142860000000001</v>
      </c>
      <c r="F766">
        <v>9.9000000000000008E-3</v>
      </c>
      <c r="G766" s="13">
        <v>26.142859999999999</v>
      </c>
      <c r="H766">
        <v>3.2599999999999997E-2</v>
      </c>
      <c r="I766">
        <v>275.42856999999998</v>
      </c>
      <c r="J766">
        <v>5.1900000000000002E-2</v>
      </c>
      <c r="K766">
        <v>785.14285700000005</v>
      </c>
      <c r="L766">
        <v>5.3960000000000001E-2</v>
      </c>
      <c r="M766" s="13">
        <v>1293.8571400000001</v>
      </c>
    </row>
    <row r="767" spans="1:13" x14ac:dyDescent="0.2">
      <c r="A767">
        <v>765</v>
      </c>
      <c r="B767">
        <v>20040205</v>
      </c>
      <c r="C767" s="13">
        <v>1</v>
      </c>
      <c r="D767" s="9">
        <v>9.1999999999999998E-3</v>
      </c>
      <c r="E767" s="13">
        <v>13.142860000000001</v>
      </c>
      <c r="F767">
        <v>0.01</v>
      </c>
      <c r="G767" s="13">
        <v>26.142859999999999</v>
      </c>
      <c r="H767">
        <v>3.1699999999999999E-2</v>
      </c>
      <c r="I767">
        <v>274.42856999999998</v>
      </c>
      <c r="J767">
        <v>5.1569999999999998E-2</v>
      </c>
      <c r="K767">
        <v>784.14285700000005</v>
      </c>
      <c r="L767">
        <v>5.3809999999999997E-2</v>
      </c>
      <c r="M767" s="13">
        <v>1292.8571400000001</v>
      </c>
    </row>
    <row r="768" spans="1:13" x14ac:dyDescent="0.2">
      <c r="A768">
        <v>766</v>
      </c>
      <c r="B768">
        <v>20040212</v>
      </c>
      <c r="C768" s="13">
        <v>1</v>
      </c>
      <c r="D768" s="9">
        <v>9.1000000000000004E-3</v>
      </c>
      <c r="E768" s="13">
        <v>13.142860000000001</v>
      </c>
      <c r="F768">
        <v>9.9000000000000008E-3</v>
      </c>
      <c r="G768" s="13">
        <v>26.142859999999999</v>
      </c>
      <c r="H768">
        <v>3.0499999999999999E-2</v>
      </c>
      <c r="I768">
        <v>273.42856999999998</v>
      </c>
      <c r="J768">
        <v>5.067E-2</v>
      </c>
      <c r="K768">
        <v>783.14285700000005</v>
      </c>
      <c r="L768">
        <v>5.3280000000000001E-2</v>
      </c>
      <c r="M768" s="13">
        <v>1291.8571400000001</v>
      </c>
    </row>
    <row r="769" spans="1:13" x14ac:dyDescent="0.2">
      <c r="A769">
        <v>767</v>
      </c>
      <c r="B769">
        <v>20040219</v>
      </c>
      <c r="C769" s="13">
        <v>1</v>
      </c>
      <c r="D769" s="9">
        <v>9.1000000000000004E-3</v>
      </c>
      <c r="E769" s="13">
        <v>13.142860000000001</v>
      </c>
      <c r="F769">
        <v>9.7999999999999997E-3</v>
      </c>
      <c r="G769" s="13">
        <v>26.142859999999999</v>
      </c>
      <c r="H769">
        <v>3.04E-2</v>
      </c>
      <c r="I769">
        <v>272.42856999999998</v>
      </c>
      <c r="J769">
        <v>5.0209999999999998E-2</v>
      </c>
      <c r="K769">
        <v>782.14285700000005</v>
      </c>
      <c r="L769">
        <v>5.296E-2</v>
      </c>
      <c r="M769" s="13">
        <v>1290.8571400000001</v>
      </c>
    </row>
    <row r="770" spans="1:13" x14ac:dyDescent="0.2">
      <c r="A770">
        <v>768</v>
      </c>
      <c r="B770">
        <v>20040226</v>
      </c>
      <c r="C770" s="13">
        <v>1</v>
      </c>
      <c r="D770" s="9">
        <v>9.4999999999999998E-3</v>
      </c>
      <c r="E770" s="13">
        <v>13.142860000000001</v>
      </c>
      <c r="F770">
        <v>1.01E-2</v>
      </c>
      <c r="G770" s="13">
        <v>26.142859999999999</v>
      </c>
      <c r="H770">
        <v>3.0200000000000001E-2</v>
      </c>
      <c r="I770">
        <v>271.42856999999998</v>
      </c>
      <c r="J770">
        <v>5.0310000000000001E-2</v>
      </c>
      <c r="K770">
        <v>781.14285700000005</v>
      </c>
      <c r="L770">
        <v>5.314E-2</v>
      </c>
      <c r="M770" s="13">
        <v>1289.8571400000001</v>
      </c>
    </row>
    <row r="771" spans="1:13" x14ac:dyDescent="0.2">
      <c r="A771">
        <v>769</v>
      </c>
      <c r="B771">
        <v>20040304</v>
      </c>
      <c r="C771" s="13">
        <v>1</v>
      </c>
      <c r="D771" s="9">
        <v>9.4999999999999998E-3</v>
      </c>
      <c r="E771" s="13">
        <v>13.142860000000001</v>
      </c>
      <c r="F771">
        <v>1.01E-2</v>
      </c>
      <c r="G771" s="13">
        <v>26.142859999999999</v>
      </c>
      <c r="H771">
        <v>3.0800000000000001E-2</v>
      </c>
      <c r="I771">
        <v>270.42856999999998</v>
      </c>
      <c r="J771">
        <v>5.0160000000000003E-2</v>
      </c>
      <c r="K771">
        <v>780.14285700000005</v>
      </c>
      <c r="L771">
        <v>5.2440000000000001E-2</v>
      </c>
      <c r="M771" s="13">
        <v>1302</v>
      </c>
    </row>
    <row r="772" spans="1:13" x14ac:dyDescent="0.2">
      <c r="A772">
        <v>770</v>
      </c>
      <c r="B772">
        <v>20040311</v>
      </c>
      <c r="C772" s="13">
        <v>1</v>
      </c>
      <c r="D772" s="9">
        <v>9.4999999999999998E-3</v>
      </c>
      <c r="E772" s="13">
        <v>13.142860000000001</v>
      </c>
      <c r="F772">
        <v>9.9000000000000008E-3</v>
      </c>
      <c r="G772" s="13">
        <v>26.142859999999999</v>
      </c>
      <c r="H772">
        <v>2.75E-2</v>
      </c>
      <c r="I772">
        <v>269.42856999999998</v>
      </c>
      <c r="J772">
        <v>4.7280000000000003E-2</v>
      </c>
      <c r="K772">
        <v>779.14285700000005</v>
      </c>
      <c r="L772">
        <v>5.0380000000000001E-2</v>
      </c>
      <c r="M772" s="13">
        <v>1301</v>
      </c>
    </row>
    <row r="773" spans="1:13" x14ac:dyDescent="0.2">
      <c r="A773">
        <v>771</v>
      </c>
      <c r="B773">
        <v>20040318</v>
      </c>
      <c r="C773" s="13">
        <v>1</v>
      </c>
      <c r="D773" s="9">
        <v>9.1999999999999998E-3</v>
      </c>
      <c r="E773" s="13">
        <v>13.142860000000001</v>
      </c>
      <c r="F773">
        <v>0.01</v>
      </c>
      <c r="G773" s="13">
        <v>26.142859999999999</v>
      </c>
      <c r="H773">
        <v>2.6800000000000001E-2</v>
      </c>
      <c r="I773">
        <v>268.42856999999998</v>
      </c>
      <c r="J773">
        <v>4.7550000000000002E-2</v>
      </c>
      <c r="K773">
        <v>778.14285700000005</v>
      </c>
      <c r="L773">
        <v>5.0720000000000001E-2</v>
      </c>
      <c r="M773" s="13">
        <v>1300</v>
      </c>
    </row>
    <row r="774" spans="1:13" x14ac:dyDescent="0.2">
      <c r="A774">
        <v>772</v>
      </c>
      <c r="B774">
        <v>20040325</v>
      </c>
      <c r="C774" s="13">
        <v>1</v>
      </c>
      <c r="D774" s="9">
        <v>9.1999999999999998E-3</v>
      </c>
      <c r="E774" s="13">
        <v>13.142860000000001</v>
      </c>
      <c r="F774">
        <v>9.9000000000000008E-3</v>
      </c>
      <c r="G774" s="13">
        <v>26.142859999999999</v>
      </c>
      <c r="H774">
        <v>2.7300000000000001E-2</v>
      </c>
      <c r="I774">
        <v>267.42856999999998</v>
      </c>
      <c r="J774">
        <v>4.7480000000000001E-2</v>
      </c>
      <c r="K774">
        <v>777.14285700000005</v>
      </c>
      <c r="L774">
        <v>5.0799999999999998E-2</v>
      </c>
      <c r="M774" s="13">
        <v>1299</v>
      </c>
    </row>
    <row r="775" spans="1:13" x14ac:dyDescent="0.2">
      <c r="A775">
        <v>773</v>
      </c>
      <c r="B775">
        <v>20040401</v>
      </c>
      <c r="C775" s="13">
        <v>1</v>
      </c>
      <c r="D775" s="9">
        <v>9.2999999999999992E-3</v>
      </c>
      <c r="E775" s="13">
        <v>13.142860000000001</v>
      </c>
      <c r="F775">
        <v>9.9000000000000008E-3</v>
      </c>
      <c r="G775" s="13">
        <v>26.142859999999999</v>
      </c>
      <c r="H775">
        <v>2.8299999999999999E-2</v>
      </c>
      <c r="I775">
        <v>266.42856999999998</v>
      </c>
      <c r="J775">
        <v>4.8989999999999999E-2</v>
      </c>
      <c r="K775">
        <v>776.14285700000005</v>
      </c>
      <c r="L775">
        <v>5.1839999999999997E-2</v>
      </c>
      <c r="M775" s="13">
        <v>1298</v>
      </c>
    </row>
    <row r="776" spans="1:13" x14ac:dyDescent="0.2">
      <c r="A776">
        <v>774</v>
      </c>
      <c r="B776">
        <v>20040408</v>
      </c>
      <c r="C776" s="13">
        <v>1</v>
      </c>
      <c r="D776" s="9">
        <v>9.1999999999999998E-3</v>
      </c>
      <c r="E776" s="13">
        <v>13.142860000000001</v>
      </c>
      <c r="F776">
        <v>1.03E-2</v>
      </c>
      <c r="G776" s="13">
        <v>26.142859999999999</v>
      </c>
      <c r="H776">
        <v>3.2099999999999997E-2</v>
      </c>
      <c r="I776">
        <v>265.42856999999998</v>
      </c>
      <c r="J776">
        <v>5.1749999999999997E-2</v>
      </c>
      <c r="K776">
        <v>775.14285700000005</v>
      </c>
      <c r="L776">
        <v>5.3999999999999999E-2</v>
      </c>
      <c r="M776" s="13">
        <v>1297</v>
      </c>
    </row>
    <row r="777" spans="1:13" x14ac:dyDescent="0.2">
      <c r="A777">
        <v>775</v>
      </c>
      <c r="B777">
        <v>20040415</v>
      </c>
      <c r="C777" s="13">
        <v>1</v>
      </c>
      <c r="D777" s="9">
        <v>9.4999999999999998E-3</v>
      </c>
      <c r="E777" s="13">
        <v>13.142860000000001</v>
      </c>
      <c r="F777">
        <v>1.12E-2</v>
      </c>
      <c r="G777" s="13">
        <v>26.142859999999999</v>
      </c>
      <c r="H777">
        <v>3.4500000000000003E-2</v>
      </c>
      <c r="I777">
        <v>264.42856999999998</v>
      </c>
      <c r="J777">
        <v>5.4019999999999999E-2</v>
      </c>
      <c r="K777">
        <v>774.14285700000005</v>
      </c>
      <c r="L777">
        <v>5.5719999999999999E-2</v>
      </c>
      <c r="M777" s="13">
        <v>1296</v>
      </c>
    </row>
    <row r="778" spans="1:13" x14ac:dyDescent="0.2">
      <c r="A778">
        <v>776</v>
      </c>
      <c r="B778">
        <v>20040422</v>
      </c>
      <c r="C778" s="13">
        <v>1</v>
      </c>
      <c r="D778" s="9">
        <v>9.7999999999999997E-3</v>
      </c>
      <c r="E778" s="13">
        <v>13.142860000000001</v>
      </c>
      <c r="F778">
        <v>1.14E-2</v>
      </c>
      <c r="G778" s="13">
        <v>26.142859999999999</v>
      </c>
      <c r="H778">
        <v>3.5400000000000001E-2</v>
      </c>
      <c r="I778">
        <v>263.42856999999998</v>
      </c>
      <c r="J778">
        <v>5.3679999999999999E-2</v>
      </c>
      <c r="K778">
        <v>773.14285700000005</v>
      </c>
      <c r="L778">
        <v>5.5500000000000001E-2</v>
      </c>
      <c r="M778" s="13">
        <v>1295</v>
      </c>
    </row>
    <row r="779" spans="1:13" x14ac:dyDescent="0.2">
      <c r="A779">
        <v>777</v>
      </c>
      <c r="B779">
        <v>20040429</v>
      </c>
      <c r="C779" s="13">
        <v>1</v>
      </c>
      <c r="D779" s="9">
        <v>9.7000000000000003E-3</v>
      </c>
      <c r="E779" s="13">
        <v>13.142860000000001</v>
      </c>
      <c r="F779">
        <v>1.1599999999999999E-2</v>
      </c>
      <c r="G779" s="13">
        <v>26.142859999999999</v>
      </c>
      <c r="H779">
        <v>3.6400000000000002E-2</v>
      </c>
      <c r="I779">
        <v>262.42856999999998</v>
      </c>
      <c r="J779">
        <v>5.5E-2</v>
      </c>
      <c r="K779">
        <v>772.14285700000005</v>
      </c>
      <c r="L779">
        <v>5.6500000000000002E-2</v>
      </c>
      <c r="M779" s="13">
        <v>1294</v>
      </c>
    </row>
    <row r="780" spans="1:13" x14ac:dyDescent="0.2">
      <c r="A780">
        <v>778</v>
      </c>
      <c r="B780">
        <v>20040506</v>
      </c>
      <c r="C780" s="13">
        <v>1</v>
      </c>
      <c r="D780" s="9">
        <v>9.7999999999999997E-3</v>
      </c>
      <c r="E780" s="13">
        <v>13.142860000000001</v>
      </c>
      <c r="F780">
        <v>1.1599999999999999E-2</v>
      </c>
      <c r="G780" s="13">
        <v>26.142859999999999</v>
      </c>
      <c r="H780">
        <v>3.7400000000000003E-2</v>
      </c>
      <c r="I780">
        <v>261.42856999999998</v>
      </c>
      <c r="J780">
        <v>5.5660000000000001E-2</v>
      </c>
      <c r="K780">
        <v>771.14285700000005</v>
      </c>
      <c r="L780">
        <v>5.6930000000000001E-2</v>
      </c>
      <c r="M780" s="13">
        <v>1293</v>
      </c>
    </row>
    <row r="781" spans="1:13" x14ac:dyDescent="0.2">
      <c r="A781">
        <v>779</v>
      </c>
      <c r="B781">
        <v>20040513</v>
      </c>
      <c r="C781" s="13">
        <v>1</v>
      </c>
      <c r="D781" s="9">
        <v>1.0200000000000001E-2</v>
      </c>
      <c r="E781" s="13">
        <v>13.142860000000001</v>
      </c>
      <c r="F781">
        <v>1.32E-2</v>
      </c>
      <c r="G781" s="13">
        <v>26.142859999999999</v>
      </c>
      <c r="H781">
        <v>3.9899999999999998E-2</v>
      </c>
      <c r="I781">
        <v>260.42856999999998</v>
      </c>
      <c r="J781">
        <v>5.7759999999999999E-2</v>
      </c>
      <c r="K781">
        <v>770.14285700000005</v>
      </c>
      <c r="L781">
        <v>5.8680000000000003E-2</v>
      </c>
      <c r="M781" s="13">
        <v>1292</v>
      </c>
    </row>
    <row r="782" spans="1:13" x14ac:dyDescent="0.2">
      <c r="A782">
        <v>780</v>
      </c>
      <c r="B782">
        <v>20040520</v>
      </c>
      <c r="C782" s="13">
        <v>1</v>
      </c>
      <c r="D782" s="9">
        <v>1.03E-2</v>
      </c>
      <c r="E782" s="13">
        <v>13.142860000000001</v>
      </c>
      <c r="F782">
        <v>1.37E-2</v>
      </c>
      <c r="G782" s="13">
        <v>26.142859999999999</v>
      </c>
      <c r="H782">
        <v>3.9899999999999998E-2</v>
      </c>
      <c r="I782">
        <v>259.42856999999998</v>
      </c>
      <c r="J782">
        <v>5.611E-2</v>
      </c>
      <c r="K782">
        <v>769.14285700000005</v>
      </c>
      <c r="L782">
        <v>5.7239999999999999E-2</v>
      </c>
      <c r="M782" s="13">
        <v>1291</v>
      </c>
    </row>
    <row r="783" spans="1:13" x14ac:dyDescent="0.2">
      <c r="A783">
        <v>781</v>
      </c>
      <c r="B783">
        <v>20040527</v>
      </c>
      <c r="C783" s="13">
        <v>1</v>
      </c>
      <c r="D783" s="9">
        <v>1.0699999999999999E-2</v>
      </c>
      <c r="E783" s="13">
        <v>13.142860000000001</v>
      </c>
      <c r="F783">
        <v>1.38E-2</v>
      </c>
      <c r="G783" s="13">
        <v>26.142859999999999</v>
      </c>
      <c r="H783">
        <v>3.8699999999999998E-2</v>
      </c>
      <c r="I783">
        <v>258.42856999999998</v>
      </c>
      <c r="J783">
        <v>5.5010000000000003E-2</v>
      </c>
      <c r="K783">
        <v>768.14285700000005</v>
      </c>
      <c r="L783">
        <v>5.6180000000000001E-2</v>
      </c>
      <c r="M783" s="13">
        <v>1290</v>
      </c>
    </row>
    <row r="784" spans="1:13" x14ac:dyDescent="0.2">
      <c r="A784">
        <v>782</v>
      </c>
      <c r="B784">
        <v>20040603</v>
      </c>
      <c r="C784" s="13">
        <v>1</v>
      </c>
      <c r="D784" s="9">
        <v>1.1599999999999999E-2</v>
      </c>
      <c r="E784" s="13">
        <v>13.142860000000001</v>
      </c>
      <c r="F784">
        <v>1.44E-2</v>
      </c>
      <c r="G784" s="13">
        <v>26.142859999999999</v>
      </c>
      <c r="H784">
        <v>3.95E-2</v>
      </c>
      <c r="I784">
        <v>257.42856999999998</v>
      </c>
      <c r="J784">
        <v>5.6099999999999997E-2</v>
      </c>
      <c r="K784">
        <v>767.14285700000005</v>
      </c>
      <c r="L784">
        <v>5.722E-2</v>
      </c>
      <c r="M784" s="13">
        <v>1289</v>
      </c>
    </row>
    <row r="785" spans="1:13" x14ac:dyDescent="0.2">
      <c r="A785">
        <v>783</v>
      </c>
      <c r="B785">
        <v>20040610</v>
      </c>
      <c r="C785" s="13">
        <v>1</v>
      </c>
      <c r="D785" s="9">
        <v>1.26E-2</v>
      </c>
      <c r="E785" s="13">
        <v>13.142860000000001</v>
      </c>
      <c r="F785">
        <v>1.6E-2</v>
      </c>
      <c r="G785" s="13">
        <v>26.142859999999999</v>
      </c>
      <c r="H785">
        <v>4.0500000000000001E-2</v>
      </c>
      <c r="I785">
        <v>256.42856999999998</v>
      </c>
      <c r="J785">
        <v>5.6649999999999999E-2</v>
      </c>
      <c r="K785">
        <v>766.14285700000005</v>
      </c>
      <c r="L785">
        <v>5.7590000000000002E-2</v>
      </c>
      <c r="M785" s="13">
        <v>1288</v>
      </c>
    </row>
    <row r="786" spans="1:13" x14ac:dyDescent="0.2">
      <c r="A786">
        <v>784</v>
      </c>
      <c r="B786">
        <v>20040617</v>
      </c>
      <c r="C786" s="13">
        <v>1</v>
      </c>
      <c r="D786" s="9">
        <v>1.2999999999999999E-2</v>
      </c>
      <c r="E786" s="13">
        <v>13.142860000000001</v>
      </c>
      <c r="F786">
        <v>1.38E-2</v>
      </c>
      <c r="G786" s="13">
        <v>26.142859999999999</v>
      </c>
      <c r="H786">
        <v>3.9699999999999999E-2</v>
      </c>
      <c r="I786">
        <v>255.42857000000001</v>
      </c>
      <c r="J786">
        <v>5.525E-2</v>
      </c>
      <c r="K786">
        <v>765.14285700000005</v>
      </c>
      <c r="L786">
        <v>5.6660000000000002E-2</v>
      </c>
      <c r="M786" s="13">
        <v>1312.8571400000001</v>
      </c>
    </row>
    <row r="787" spans="1:13" x14ac:dyDescent="0.2">
      <c r="A787">
        <v>785</v>
      </c>
      <c r="B787">
        <v>20040624</v>
      </c>
      <c r="C787" s="13">
        <v>1</v>
      </c>
      <c r="D787" s="9">
        <v>1.2800000000000001E-2</v>
      </c>
      <c r="E787" s="13">
        <v>13.142860000000001</v>
      </c>
      <c r="F787">
        <v>1.6799999999999999E-2</v>
      </c>
      <c r="G787" s="13">
        <v>26.142859999999999</v>
      </c>
      <c r="H787">
        <v>3.9300000000000002E-2</v>
      </c>
      <c r="I787">
        <v>254.42857000000001</v>
      </c>
      <c r="J787">
        <v>5.5039999999999999E-2</v>
      </c>
      <c r="K787">
        <v>764.14285700000005</v>
      </c>
      <c r="L787">
        <v>5.6570000000000002E-2</v>
      </c>
      <c r="M787" s="13">
        <v>1311.8571400000001</v>
      </c>
    </row>
    <row r="788" spans="1:13" x14ac:dyDescent="0.2">
      <c r="A788">
        <v>786</v>
      </c>
      <c r="B788">
        <v>20040701</v>
      </c>
      <c r="C788" s="13">
        <v>1</v>
      </c>
      <c r="D788" s="9">
        <v>1.32E-2</v>
      </c>
      <c r="E788" s="13">
        <v>13.142860000000001</v>
      </c>
      <c r="F788">
        <v>1.6799999999999999E-2</v>
      </c>
      <c r="G788" s="13">
        <v>26.142859999999999</v>
      </c>
      <c r="H788">
        <v>3.9399999999999998E-2</v>
      </c>
      <c r="I788">
        <v>266.57143000000002</v>
      </c>
      <c r="J788">
        <v>5.4640000000000001E-2</v>
      </c>
      <c r="K788">
        <v>789</v>
      </c>
      <c r="L788">
        <v>5.6160000000000002E-2</v>
      </c>
      <c r="M788" s="13">
        <v>1310.8571400000001</v>
      </c>
    </row>
    <row r="789" spans="1:13" x14ac:dyDescent="0.2">
      <c r="A789">
        <v>787</v>
      </c>
      <c r="B789">
        <v>20040708</v>
      </c>
      <c r="C789" s="13">
        <v>1</v>
      </c>
      <c r="D789" s="9">
        <v>1.29E-2</v>
      </c>
      <c r="E789" s="13">
        <v>13.142860000000001</v>
      </c>
      <c r="F789">
        <v>1.6299999999999999E-2</v>
      </c>
      <c r="G789" s="13">
        <v>26.142859999999999</v>
      </c>
      <c r="H789">
        <v>3.7699999999999997E-2</v>
      </c>
      <c r="I789">
        <v>265.57143000000002</v>
      </c>
      <c r="J789">
        <v>5.3780000000000001E-2</v>
      </c>
      <c r="K789">
        <v>788</v>
      </c>
      <c r="L789">
        <v>5.5640000000000002E-2</v>
      </c>
      <c r="M789" s="13">
        <v>1309.8571400000001</v>
      </c>
    </row>
    <row r="790" spans="1:13" x14ac:dyDescent="0.2">
      <c r="A790">
        <v>788</v>
      </c>
      <c r="B790">
        <v>20040715</v>
      </c>
      <c r="C790" s="13">
        <v>1</v>
      </c>
      <c r="D790" s="9">
        <v>1.3299999999999999E-2</v>
      </c>
      <c r="E790" s="13">
        <v>13.142860000000001</v>
      </c>
      <c r="F790">
        <v>1.6799999999999999E-2</v>
      </c>
      <c r="G790" s="13">
        <v>26.142859999999999</v>
      </c>
      <c r="H790">
        <v>3.78E-2</v>
      </c>
      <c r="I790">
        <v>264.57143000000002</v>
      </c>
      <c r="J790">
        <v>5.3760000000000002E-2</v>
      </c>
      <c r="K790">
        <v>787</v>
      </c>
      <c r="L790">
        <v>5.5449999999999999E-2</v>
      </c>
      <c r="M790" s="13">
        <v>1308.8571400000001</v>
      </c>
    </row>
    <row r="791" spans="1:13" x14ac:dyDescent="0.2">
      <c r="A791">
        <v>789</v>
      </c>
      <c r="B791">
        <v>20040722</v>
      </c>
      <c r="C791" s="13">
        <v>1</v>
      </c>
      <c r="D791" s="9">
        <v>1.34E-2</v>
      </c>
      <c r="E791" s="13">
        <v>13.142860000000001</v>
      </c>
      <c r="F791">
        <v>1.7000000000000001E-2</v>
      </c>
      <c r="G791" s="13">
        <v>26.142859999999999</v>
      </c>
      <c r="H791">
        <v>3.8199999999999998E-2</v>
      </c>
      <c r="I791">
        <v>263.57143000000002</v>
      </c>
      <c r="J791">
        <v>5.3379999999999997E-2</v>
      </c>
      <c r="K791">
        <v>786</v>
      </c>
      <c r="L791">
        <v>5.5129999999999998E-2</v>
      </c>
      <c r="M791" s="13">
        <v>1307.8571400000001</v>
      </c>
    </row>
    <row r="792" spans="1:13" x14ac:dyDescent="0.2">
      <c r="A792">
        <v>790</v>
      </c>
      <c r="B792">
        <v>20040729</v>
      </c>
      <c r="C792" s="13">
        <v>1</v>
      </c>
      <c r="D792" s="9">
        <v>1.44E-2</v>
      </c>
      <c r="E792" s="13">
        <v>13.142860000000001</v>
      </c>
      <c r="F792">
        <v>1.77E-2</v>
      </c>
      <c r="G792" s="13">
        <v>26.142859999999999</v>
      </c>
      <c r="H792">
        <v>3.9100000000000003E-2</v>
      </c>
      <c r="I792">
        <v>262.57143000000002</v>
      </c>
      <c r="J792">
        <v>5.4640000000000001E-2</v>
      </c>
      <c r="K792">
        <v>785</v>
      </c>
      <c r="L792">
        <v>5.6309999999999999E-2</v>
      </c>
      <c r="M792" s="13">
        <v>1306.8571400000001</v>
      </c>
    </row>
    <row r="793" spans="1:13" x14ac:dyDescent="0.2">
      <c r="A793">
        <v>791</v>
      </c>
      <c r="B793">
        <v>20040805</v>
      </c>
      <c r="C793" s="13">
        <v>1</v>
      </c>
      <c r="D793" s="9">
        <v>1.4800000000000001E-2</v>
      </c>
      <c r="E793" s="13">
        <v>13.142860000000001</v>
      </c>
      <c r="F793">
        <v>1.7500000000000002E-2</v>
      </c>
      <c r="G793" s="13">
        <v>26.142859999999999</v>
      </c>
      <c r="H793">
        <v>3.7499999999999999E-2</v>
      </c>
      <c r="I793">
        <v>261.57143000000002</v>
      </c>
      <c r="J793">
        <v>5.296E-2</v>
      </c>
      <c r="K793">
        <v>784</v>
      </c>
      <c r="L793">
        <v>5.4980000000000001E-2</v>
      </c>
      <c r="M793" s="13">
        <v>1305.8571400000001</v>
      </c>
    </row>
    <row r="794" spans="1:13" x14ac:dyDescent="0.2">
      <c r="A794">
        <v>792</v>
      </c>
      <c r="B794">
        <v>20040812</v>
      </c>
      <c r="C794" s="13">
        <v>1</v>
      </c>
      <c r="D794" s="9">
        <v>1.43E-2</v>
      </c>
      <c r="E794" s="13">
        <v>13.142860000000001</v>
      </c>
      <c r="F794">
        <v>1.72E-2</v>
      </c>
      <c r="G794" s="13">
        <v>26.142859999999999</v>
      </c>
      <c r="H794">
        <v>3.5799999999999998E-2</v>
      </c>
      <c r="I794">
        <v>260.57143000000002</v>
      </c>
      <c r="J794">
        <v>5.16E-2</v>
      </c>
      <c r="K794">
        <v>783</v>
      </c>
      <c r="L794">
        <v>5.4019999999999999E-2</v>
      </c>
      <c r="M794" s="13">
        <v>1304.8571400000001</v>
      </c>
    </row>
    <row r="795" spans="1:13" x14ac:dyDescent="0.2">
      <c r="A795">
        <v>793</v>
      </c>
      <c r="B795">
        <v>20040819</v>
      </c>
      <c r="C795" s="13">
        <v>1</v>
      </c>
      <c r="D795" s="9">
        <v>1.47E-2</v>
      </c>
      <c r="E795" s="13">
        <v>13.142860000000001</v>
      </c>
      <c r="F795">
        <v>1.7299999999999999E-2</v>
      </c>
      <c r="G795" s="13">
        <v>26.142859999999999</v>
      </c>
      <c r="H795">
        <v>3.4799999999999998E-2</v>
      </c>
      <c r="I795">
        <v>259.57143000000002</v>
      </c>
      <c r="J795">
        <v>5.1400000000000001E-2</v>
      </c>
      <c r="K795">
        <v>782</v>
      </c>
      <c r="L795">
        <v>5.3800000000000001E-2</v>
      </c>
      <c r="M795" s="13">
        <v>1303.8571400000001</v>
      </c>
    </row>
    <row r="796" spans="1:13" x14ac:dyDescent="0.2">
      <c r="A796">
        <v>794</v>
      </c>
      <c r="B796">
        <v>20040826</v>
      </c>
      <c r="C796" s="13">
        <v>1</v>
      </c>
      <c r="D796" s="9">
        <v>1.54E-2</v>
      </c>
      <c r="E796" s="13">
        <v>13.142860000000001</v>
      </c>
      <c r="F796">
        <v>1.78E-2</v>
      </c>
      <c r="G796" s="13">
        <v>26.142859999999999</v>
      </c>
      <c r="H796">
        <v>3.5299999999999998E-2</v>
      </c>
      <c r="I796">
        <v>258.57143000000002</v>
      </c>
      <c r="J796">
        <v>5.1159999999999997E-2</v>
      </c>
      <c r="K796">
        <v>781</v>
      </c>
      <c r="L796">
        <v>5.3609999999999998E-2</v>
      </c>
      <c r="M796" s="13">
        <v>1302.8571400000001</v>
      </c>
    </row>
    <row r="797" spans="1:13" x14ac:dyDescent="0.2">
      <c r="A797">
        <v>795</v>
      </c>
      <c r="B797">
        <v>20040902</v>
      </c>
      <c r="C797" s="13">
        <v>1</v>
      </c>
      <c r="D797" s="9">
        <v>1.5800000000000002E-2</v>
      </c>
      <c r="E797" s="13">
        <v>13.142860000000001</v>
      </c>
      <c r="F797">
        <v>1.78E-2</v>
      </c>
      <c r="G797" s="13">
        <v>26.142859999999999</v>
      </c>
      <c r="H797">
        <v>3.39E-2</v>
      </c>
      <c r="I797">
        <v>257.57143000000002</v>
      </c>
      <c r="J797">
        <v>5.0959999999999998E-2</v>
      </c>
      <c r="K797">
        <v>780</v>
      </c>
      <c r="L797">
        <v>5.3589999999999999E-2</v>
      </c>
      <c r="M797" s="13">
        <v>1301.8571400000001</v>
      </c>
    </row>
    <row r="798" spans="1:13" x14ac:dyDescent="0.2">
      <c r="A798">
        <v>796</v>
      </c>
      <c r="B798">
        <v>20040909</v>
      </c>
      <c r="C798" s="13">
        <v>1</v>
      </c>
      <c r="D798" s="9">
        <v>1.6400000000000001E-2</v>
      </c>
      <c r="E798" s="13">
        <v>13.142860000000001</v>
      </c>
      <c r="F798">
        <v>1.8700000000000001E-2</v>
      </c>
      <c r="G798" s="13">
        <v>26.142859999999999</v>
      </c>
      <c r="H798">
        <v>3.4200000000000001E-2</v>
      </c>
      <c r="I798">
        <v>256.57143000000002</v>
      </c>
      <c r="J798">
        <v>5.0939999999999999E-2</v>
      </c>
      <c r="K798">
        <v>779</v>
      </c>
      <c r="L798">
        <v>5.3409999999999999E-2</v>
      </c>
      <c r="M798" s="13">
        <v>1300.8571400000001</v>
      </c>
    </row>
    <row r="799" spans="1:13" x14ac:dyDescent="0.2">
      <c r="A799">
        <v>797</v>
      </c>
      <c r="B799">
        <v>20040916</v>
      </c>
      <c r="C799" s="13">
        <v>1</v>
      </c>
      <c r="D799" s="9">
        <v>1.66E-2</v>
      </c>
      <c r="E799" s="13">
        <v>13.142860000000001</v>
      </c>
      <c r="F799">
        <v>1.8700000000000001E-2</v>
      </c>
      <c r="G799" s="13">
        <v>26.142859999999999</v>
      </c>
      <c r="H799">
        <v>3.4200000000000001E-2</v>
      </c>
      <c r="I799">
        <v>255.57142999999999</v>
      </c>
      <c r="J799">
        <v>4.9579999999999999E-2</v>
      </c>
      <c r="K799">
        <v>778</v>
      </c>
      <c r="L799">
        <v>5.2260000000000001E-2</v>
      </c>
      <c r="M799" s="13">
        <v>1299.8571400000001</v>
      </c>
    </row>
    <row r="800" spans="1:13" x14ac:dyDescent="0.2">
      <c r="A800">
        <v>798</v>
      </c>
      <c r="B800">
        <v>20040923</v>
      </c>
      <c r="C800" s="13">
        <v>1</v>
      </c>
      <c r="D800" s="9">
        <v>1.7000000000000001E-2</v>
      </c>
      <c r="E800" s="13">
        <v>13.142860000000001</v>
      </c>
      <c r="F800">
        <v>1.9199999999999998E-2</v>
      </c>
      <c r="G800" s="13">
        <v>26.142859999999999</v>
      </c>
      <c r="H800">
        <v>3.2899999999999999E-2</v>
      </c>
      <c r="I800">
        <v>254.57142999999999</v>
      </c>
      <c r="J800">
        <v>4.8550000000000003E-2</v>
      </c>
      <c r="K800">
        <v>777</v>
      </c>
      <c r="L800">
        <v>5.1360000000000003E-2</v>
      </c>
      <c r="M800" s="13">
        <v>1298.8571400000001</v>
      </c>
    </row>
    <row r="801" spans="1:13" x14ac:dyDescent="0.2">
      <c r="A801">
        <v>799</v>
      </c>
      <c r="B801">
        <v>20040930</v>
      </c>
      <c r="C801" s="13">
        <v>1</v>
      </c>
      <c r="D801" s="9">
        <v>1.7100000000000001E-2</v>
      </c>
      <c r="E801" s="13">
        <v>13.142860000000001</v>
      </c>
      <c r="F801">
        <v>1.9900000000000001E-2</v>
      </c>
      <c r="G801" s="13">
        <v>26.142859999999999</v>
      </c>
      <c r="H801">
        <v>3.4000000000000002E-2</v>
      </c>
      <c r="I801">
        <v>253.57142999999999</v>
      </c>
      <c r="J801">
        <v>4.9750000000000003E-2</v>
      </c>
      <c r="K801">
        <v>776</v>
      </c>
      <c r="L801">
        <v>5.2350000000000001E-2</v>
      </c>
      <c r="M801" s="13">
        <v>1297.8571400000001</v>
      </c>
    </row>
    <row r="802" spans="1:13" x14ac:dyDescent="0.2">
      <c r="A802">
        <v>800</v>
      </c>
      <c r="B802">
        <v>20041007</v>
      </c>
      <c r="C802" s="13">
        <v>1</v>
      </c>
      <c r="D802" s="9">
        <v>1.7000000000000001E-2</v>
      </c>
      <c r="E802" s="13">
        <v>13.142860000000001</v>
      </c>
      <c r="F802">
        <v>2.0299999999999999E-2</v>
      </c>
      <c r="G802" s="13">
        <v>26.142859999999999</v>
      </c>
      <c r="H802">
        <v>3.7199999999999997E-2</v>
      </c>
      <c r="I802">
        <v>252.57142999999999</v>
      </c>
      <c r="J802">
        <v>5.1130000000000002E-2</v>
      </c>
      <c r="K802">
        <v>775</v>
      </c>
      <c r="L802">
        <v>5.3249999999999999E-2</v>
      </c>
      <c r="M802" s="13">
        <v>1296.8571400000001</v>
      </c>
    </row>
    <row r="803" spans="1:13" x14ac:dyDescent="0.2">
      <c r="A803">
        <v>801</v>
      </c>
      <c r="B803">
        <v>20041014</v>
      </c>
      <c r="C803" s="13">
        <v>1</v>
      </c>
      <c r="D803" s="9">
        <v>1.7100000000000001E-2</v>
      </c>
      <c r="E803" s="13">
        <v>13.142860000000001</v>
      </c>
      <c r="F803">
        <v>0.02</v>
      </c>
      <c r="G803" s="13">
        <v>26.142859999999999</v>
      </c>
      <c r="H803">
        <v>3.5400000000000001E-2</v>
      </c>
      <c r="I803">
        <v>251.57142999999999</v>
      </c>
      <c r="J803">
        <v>4.9059999999999999E-2</v>
      </c>
      <c r="K803">
        <v>774</v>
      </c>
      <c r="L803">
        <v>5.1679999999999997E-2</v>
      </c>
      <c r="M803" s="13">
        <v>1295.8571400000001</v>
      </c>
    </row>
    <row r="804" spans="1:13" x14ac:dyDescent="0.2">
      <c r="A804">
        <v>802</v>
      </c>
      <c r="B804">
        <v>20041021</v>
      </c>
      <c r="C804" s="13">
        <v>1</v>
      </c>
      <c r="D804" s="9">
        <v>1.8200000000000001E-2</v>
      </c>
      <c r="E804" s="13">
        <v>13.142860000000001</v>
      </c>
      <c r="F804">
        <v>2.0400000000000001E-2</v>
      </c>
      <c r="G804" s="13">
        <v>26.142859999999999</v>
      </c>
      <c r="H804">
        <v>3.4700000000000002E-2</v>
      </c>
      <c r="I804">
        <v>250.57142999999999</v>
      </c>
      <c r="J804">
        <v>4.8399999999999999E-2</v>
      </c>
      <c r="K804">
        <v>773</v>
      </c>
      <c r="L804">
        <v>5.1049999999999998E-2</v>
      </c>
      <c r="M804" s="13">
        <v>1294.8571400000001</v>
      </c>
    </row>
    <row r="805" spans="1:13" x14ac:dyDescent="0.2">
      <c r="A805">
        <v>803</v>
      </c>
      <c r="B805">
        <v>20041028</v>
      </c>
      <c r="C805" s="13">
        <v>1</v>
      </c>
      <c r="D805" s="9">
        <v>1.9199999999999998E-2</v>
      </c>
      <c r="E805" s="13">
        <v>13.142860000000001</v>
      </c>
      <c r="F805">
        <v>2.12E-2</v>
      </c>
      <c r="G805" s="13">
        <v>26.142859999999999</v>
      </c>
      <c r="H805">
        <v>3.5700000000000003E-2</v>
      </c>
      <c r="I805">
        <v>249.57142999999999</v>
      </c>
      <c r="J805">
        <v>4.9000000000000002E-2</v>
      </c>
      <c r="K805">
        <v>772</v>
      </c>
      <c r="L805">
        <v>5.135E-2</v>
      </c>
      <c r="M805" s="13">
        <v>1293.8571400000001</v>
      </c>
    </row>
    <row r="806" spans="1:13" x14ac:dyDescent="0.2">
      <c r="A806">
        <v>804</v>
      </c>
      <c r="B806">
        <v>20041104</v>
      </c>
      <c r="C806" s="13">
        <v>1</v>
      </c>
      <c r="D806" s="9">
        <v>1.95E-2</v>
      </c>
      <c r="E806" s="13">
        <v>13.142860000000001</v>
      </c>
      <c r="F806">
        <v>2.1600000000000001E-2</v>
      </c>
      <c r="G806" s="13">
        <v>26.142859999999999</v>
      </c>
      <c r="H806">
        <v>3.5299999999999998E-2</v>
      </c>
      <c r="I806">
        <v>261.71429000000001</v>
      </c>
      <c r="J806">
        <v>4.897E-2</v>
      </c>
      <c r="K806">
        <v>771</v>
      </c>
      <c r="L806">
        <v>5.1360000000000003E-2</v>
      </c>
      <c r="M806" s="13">
        <v>1292.8571400000001</v>
      </c>
    </row>
    <row r="807" spans="1:13" x14ac:dyDescent="0.2">
      <c r="A807">
        <v>805</v>
      </c>
      <c r="B807">
        <v>20041111</v>
      </c>
      <c r="C807" s="13">
        <v>1</v>
      </c>
      <c r="D807" s="9">
        <v>2.06E-2</v>
      </c>
      <c r="E807" s="13">
        <v>13.142860000000001</v>
      </c>
      <c r="F807">
        <v>2.3E-2</v>
      </c>
      <c r="G807" s="13">
        <v>26.142859999999999</v>
      </c>
      <c r="H807">
        <v>3.7400000000000003E-2</v>
      </c>
      <c r="I807">
        <v>260.71429000000001</v>
      </c>
      <c r="J807">
        <v>5.0700000000000002E-2</v>
      </c>
      <c r="K807">
        <v>770</v>
      </c>
      <c r="L807">
        <v>5.2850000000000001E-2</v>
      </c>
      <c r="M807" s="13">
        <v>1291.8571400000001</v>
      </c>
    </row>
    <row r="808" spans="1:13" x14ac:dyDescent="0.2">
      <c r="A808">
        <v>806</v>
      </c>
      <c r="B808">
        <v>20041118</v>
      </c>
      <c r="C808" s="13">
        <v>1</v>
      </c>
      <c r="D808" s="9">
        <v>2.1100000000000001E-2</v>
      </c>
      <c r="E808" s="13">
        <v>13.142860000000001</v>
      </c>
      <c r="F808">
        <v>2.3199999999999998E-2</v>
      </c>
      <c r="G808" s="13">
        <v>26.142859999999999</v>
      </c>
      <c r="H808">
        <v>3.6499999999999998E-2</v>
      </c>
      <c r="I808">
        <v>259.71429000000001</v>
      </c>
      <c r="J808">
        <v>4.8800000000000003E-2</v>
      </c>
      <c r="K808">
        <v>769</v>
      </c>
      <c r="L808">
        <v>5.1110000000000003E-2</v>
      </c>
      <c r="M808" s="13">
        <v>1290.8571400000001</v>
      </c>
    </row>
    <row r="809" spans="1:13" x14ac:dyDescent="0.2">
      <c r="A809">
        <v>807</v>
      </c>
      <c r="B809">
        <v>20041125</v>
      </c>
      <c r="C809" s="13">
        <v>1</v>
      </c>
      <c r="D809" s="9">
        <v>2.1700000000000001E-2</v>
      </c>
      <c r="E809" s="13">
        <v>13.142860000000001</v>
      </c>
      <c r="F809">
        <v>2.4E-2</v>
      </c>
      <c r="G809" s="13">
        <v>26.142859999999999</v>
      </c>
      <c r="H809">
        <v>3.73E-2</v>
      </c>
      <c r="I809">
        <v>258.71429000000001</v>
      </c>
      <c r="J809">
        <v>4.9399999999999999E-2</v>
      </c>
      <c r="K809">
        <v>794.28571399999998</v>
      </c>
      <c r="L809">
        <v>5.1150000000000001E-2</v>
      </c>
      <c r="M809" s="13">
        <v>1289.8571400000001</v>
      </c>
    </row>
    <row r="810" spans="1:13" x14ac:dyDescent="0.2">
      <c r="A810">
        <v>808</v>
      </c>
      <c r="B810">
        <v>20041202</v>
      </c>
      <c r="C810" s="13">
        <v>1</v>
      </c>
      <c r="D810" s="9">
        <v>2.2100000000000002E-2</v>
      </c>
      <c r="E810" s="13">
        <v>13.142860000000001</v>
      </c>
      <c r="F810">
        <v>2.4E-2</v>
      </c>
      <c r="G810" s="13">
        <v>26.142859999999999</v>
      </c>
      <c r="H810">
        <v>3.8699999999999998E-2</v>
      </c>
      <c r="I810">
        <v>257.71429000000001</v>
      </c>
      <c r="J810">
        <v>5.1860000000000003E-2</v>
      </c>
      <c r="K810">
        <v>793.28571399999998</v>
      </c>
      <c r="L810">
        <v>5.3600000000000002E-2</v>
      </c>
      <c r="M810" s="13">
        <v>1288.8571400000001</v>
      </c>
    </row>
    <row r="811" spans="1:13" x14ac:dyDescent="0.2">
      <c r="A811">
        <v>809</v>
      </c>
      <c r="B811">
        <v>20041209</v>
      </c>
      <c r="C811" s="13">
        <v>1</v>
      </c>
      <c r="D811" s="9">
        <v>2.23E-2</v>
      </c>
      <c r="E811" s="13">
        <v>13.142860000000001</v>
      </c>
      <c r="F811">
        <v>2.41E-2</v>
      </c>
      <c r="G811" s="13">
        <v>26.142859999999999</v>
      </c>
      <c r="H811">
        <v>3.6600000000000001E-2</v>
      </c>
      <c r="I811">
        <v>256.71429000000001</v>
      </c>
      <c r="J811">
        <v>4.9369999999999997E-2</v>
      </c>
      <c r="K811">
        <v>792.28571399999998</v>
      </c>
      <c r="L811">
        <v>5.1189999999999999E-2</v>
      </c>
      <c r="M811" s="13">
        <v>1287.8571400000001</v>
      </c>
    </row>
    <row r="812" spans="1:13" x14ac:dyDescent="0.2">
      <c r="A812">
        <v>810</v>
      </c>
      <c r="B812">
        <v>20041216</v>
      </c>
      <c r="C812" s="13">
        <v>1</v>
      </c>
      <c r="D812" s="9">
        <v>2.1999999999999999E-2</v>
      </c>
      <c r="E812" s="13">
        <v>13.142860000000001</v>
      </c>
      <c r="F812">
        <v>2.46E-2</v>
      </c>
      <c r="G812" s="13">
        <v>26.142859999999999</v>
      </c>
      <c r="H812">
        <v>3.6200000000000003E-2</v>
      </c>
      <c r="I812">
        <v>255.71429000000001</v>
      </c>
      <c r="J812">
        <v>4.9239999999999999E-2</v>
      </c>
      <c r="K812">
        <v>791.28571399999998</v>
      </c>
      <c r="L812">
        <v>5.1020000000000003E-2</v>
      </c>
      <c r="M812" s="13">
        <v>1286.8571400000001</v>
      </c>
    </row>
    <row r="813" spans="1:13" x14ac:dyDescent="0.2">
      <c r="A813">
        <v>811</v>
      </c>
      <c r="B813">
        <v>20041223</v>
      </c>
      <c r="C813" s="13">
        <v>1</v>
      </c>
      <c r="D813" s="9">
        <v>2.18E-2</v>
      </c>
      <c r="E813" s="13">
        <v>13.142860000000001</v>
      </c>
      <c r="F813">
        <v>2.52E-2</v>
      </c>
      <c r="G813" s="13">
        <v>26.142859999999999</v>
      </c>
      <c r="H813">
        <v>3.7199999999999997E-2</v>
      </c>
      <c r="I813">
        <v>254.71429000000001</v>
      </c>
      <c r="J813">
        <v>4.9630000000000001E-2</v>
      </c>
      <c r="K813">
        <v>790.28571399999998</v>
      </c>
      <c r="L813">
        <v>5.1229999999999998E-2</v>
      </c>
      <c r="M813" s="13">
        <v>1285.8571400000001</v>
      </c>
    </row>
    <row r="814" spans="1:13" x14ac:dyDescent="0.2">
      <c r="A814">
        <v>812</v>
      </c>
      <c r="B814">
        <v>20041230</v>
      </c>
      <c r="C814" s="13">
        <v>1</v>
      </c>
      <c r="D814" s="9">
        <v>2.2200000000000001E-2</v>
      </c>
      <c r="E814" s="13">
        <v>13.142860000000001</v>
      </c>
      <c r="F814">
        <v>2.5899999999999999E-2</v>
      </c>
      <c r="G814" s="13">
        <v>26.142859999999999</v>
      </c>
      <c r="H814">
        <v>3.8399999999999997E-2</v>
      </c>
      <c r="I814">
        <v>253.71429000000001</v>
      </c>
      <c r="J814">
        <v>5.0139999999999997E-2</v>
      </c>
      <c r="K814">
        <v>789.28571399999998</v>
      </c>
      <c r="L814">
        <v>5.1589999999999997E-2</v>
      </c>
      <c r="M814" s="13">
        <v>1284.8571400000001</v>
      </c>
    </row>
    <row r="815" spans="1:13" x14ac:dyDescent="0.2">
      <c r="A815">
        <v>813</v>
      </c>
      <c r="B815">
        <v>20050106</v>
      </c>
      <c r="C815" s="13">
        <v>1</v>
      </c>
      <c r="D815" s="9">
        <v>2.3300000000000001E-2</v>
      </c>
      <c r="E815" s="13">
        <v>13.142860000000001</v>
      </c>
      <c r="F815">
        <v>2.6200000000000001E-2</v>
      </c>
      <c r="G815" s="13">
        <v>26.142859999999999</v>
      </c>
      <c r="H815">
        <v>3.7999999999999999E-2</v>
      </c>
      <c r="I815">
        <v>266</v>
      </c>
      <c r="J815">
        <v>4.9549999999999997E-2</v>
      </c>
      <c r="K815">
        <v>788.28571399999998</v>
      </c>
      <c r="L815">
        <v>5.108E-2</v>
      </c>
      <c r="M815" s="13">
        <v>1283.8571400000001</v>
      </c>
    </row>
    <row r="816" spans="1:13" x14ac:dyDescent="0.2">
      <c r="A816">
        <v>814</v>
      </c>
      <c r="B816">
        <v>20050113</v>
      </c>
      <c r="C816" s="13">
        <v>1</v>
      </c>
      <c r="D816" s="9">
        <v>2.3400000000000001E-2</v>
      </c>
      <c r="E816" s="13">
        <v>13.142860000000001</v>
      </c>
      <c r="F816">
        <v>2.63E-2</v>
      </c>
      <c r="G816" s="13">
        <v>26.142859999999999</v>
      </c>
      <c r="H816">
        <v>3.78E-2</v>
      </c>
      <c r="I816">
        <v>265</v>
      </c>
      <c r="J816">
        <v>4.811E-2</v>
      </c>
      <c r="K816">
        <v>787.28571399999998</v>
      </c>
      <c r="L816">
        <v>4.938E-2</v>
      </c>
      <c r="M816" s="13">
        <v>1282.8571400000001</v>
      </c>
    </row>
    <row r="817" spans="1:13" x14ac:dyDescent="0.2">
      <c r="A817">
        <v>815</v>
      </c>
      <c r="B817">
        <v>20050120</v>
      </c>
      <c r="C817" s="13">
        <v>1</v>
      </c>
      <c r="D817" s="9">
        <v>2.3699999999999999E-2</v>
      </c>
      <c r="E817" s="13">
        <v>13.142860000000001</v>
      </c>
      <c r="F817">
        <v>2.6800000000000001E-2</v>
      </c>
      <c r="G817" s="13">
        <v>26.142859999999999</v>
      </c>
      <c r="H817">
        <v>3.7699999999999997E-2</v>
      </c>
      <c r="I817">
        <v>264</v>
      </c>
      <c r="J817">
        <v>4.761E-2</v>
      </c>
      <c r="K817">
        <v>786.28571399999998</v>
      </c>
      <c r="L817">
        <v>4.8660000000000002E-2</v>
      </c>
      <c r="M817" s="13">
        <v>1281.8571400000001</v>
      </c>
    </row>
    <row r="818" spans="1:13" x14ac:dyDescent="0.2">
      <c r="A818">
        <v>816</v>
      </c>
      <c r="B818">
        <v>20050127</v>
      </c>
      <c r="C818" s="13">
        <v>1</v>
      </c>
      <c r="D818" s="9">
        <v>2.41E-2</v>
      </c>
      <c r="E818" s="13">
        <v>13.142860000000001</v>
      </c>
      <c r="F818">
        <v>2.7E-2</v>
      </c>
      <c r="G818" s="13">
        <v>26.142859999999999</v>
      </c>
      <c r="H818">
        <v>3.7699999999999997E-2</v>
      </c>
      <c r="I818">
        <v>263</v>
      </c>
      <c r="J818">
        <v>4.8039999999999999E-2</v>
      </c>
      <c r="K818">
        <v>785.28571399999998</v>
      </c>
      <c r="L818">
        <v>4.8719999999999999E-2</v>
      </c>
      <c r="M818" s="13">
        <v>1280.8571400000001</v>
      </c>
    </row>
    <row r="819" spans="1:13" x14ac:dyDescent="0.2">
      <c r="A819">
        <v>817</v>
      </c>
      <c r="B819">
        <v>20050203</v>
      </c>
      <c r="C819" s="13">
        <v>1</v>
      </c>
      <c r="D819" s="9">
        <v>2.5100000000000001E-2</v>
      </c>
      <c r="E819" s="13">
        <v>13.142860000000001</v>
      </c>
      <c r="F819">
        <v>2.75E-2</v>
      </c>
      <c r="G819" s="13">
        <v>26.142859999999999</v>
      </c>
      <c r="H819">
        <v>3.7600000000000001E-2</v>
      </c>
      <c r="I819">
        <v>262</v>
      </c>
      <c r="J819">
        <v>4.6850000000000003E-2</v>
      </c>
      <c r="K819">
        <v>784.28571399999998</v>
      </c>
      <c r="L819">
        <v>4.7579999999999997E-2</v>
      </c>
      <c r="M819" s="13">
        <v>1279.8571400000001</v>
      </c>
    </row>
    <row r="820" spans="1:13" x14ac:dyDescent="0.2">
      <c r="A820">
        <v>818</v>
      </c>
      <c r="B820">
        <v>20050210</v>
      </c>
      <c r="C820" s="13">
        <v>1</v>
      </c>
      <c r="D820" s="9">
        <v>2.52E-2</v>
      </c>
      <c r="E820" s="13">
        <v>13.142860000000001</v>
      </c>
      <c r="F820">
        <v>2.76E-2</v>
      </c>
      <c r="G820" s="13">
        <v>26.142859999999999</v>
      </c>
      <c r="H820">
        <v>3.5999999999999997E-2</v>
      </c>
      <c r="I820">
        <v>261</v>
      </c>
      <c r="J820">
        <v>4.5780000000000001E-2</v>
      </c>
      <c r="K820">
        <v>783.28571399999998</v>
      </c>
      <c r="L820">
        <v>4.6379999999999998E-2</v>
      </c>
      <c r="M820" s="13">
        <v>1278.8571400000001</v>
      </c>
    </row>
    <row r="821" spans="1:13" x14ac:dyDescent="0.2">
      <c r="A821">
        <v>819</v>
      </c>
      <c r="B821">
        <v>20050217</v>
      </c>
      <c r="C821" s="13">
        <v>1</v>
      </c>
      <c r="D821" s="9">
        <v>2.5700000000000001E-2</v>
      </c>
      <c r="E821" s="13">
        <v>13.142860000000001</v>
      </c>
      <c r="F821">
        <v>2.86E-2</v>
      </c>
      <c r="G821" s="13">
        <v>26.142859999999999</v>
      </c>
      <c r="H821">
        <v>3.8100000000000002E-2</v>
      </c>
      <c r="I821">
        <v>260</v>
      </c>
      <c r="J821">
        <v>4.6989999999999997E-2</v>
      </c>
      <c r="K821">
        <v>782.28571399999998</v>
      </c>
      <c r="L821">
        <v>4.7370000000000002E-2</v>
      </c>
      <c r="M821" s="13">
        <v>1277.8571400000001</v>
      </c>
    </row>
    <row r="822" spans="1:13" x14ac:dyDescent="0.2">
      <c r="A822">
        <v>820</v>
      </c>
      <c r="B822">
        <v>20050224</v>
      </c>
      <c r="C822" s="13">
        <v>1</v>
      </c>
      <c r="D822" s="9">
        <v>2.6700000000000002E-2</v>
      </c>
      <c r="E822" s="13">
        <v>13.142860000000001</v>
      </c>
      <c r="F822">
        <v>2.92E-2</v>
      </c>
      <c r="G822" s="13">
        <v>26.142859999999999</v>
      </c>
      <c r="H822">
        <v>3.9E-2</v>
      </c>
      <c r="I822">
        <v>259</v>
      </c>
      <c r="J822">
        <v>4.7890000000000002E-2</v>
      </c>
      <c r="K822">
        <v>781.28571399999998</v>
      </c>
      <c r="L822">
        <v>4.8340000000000001E-2</v>
      </c>
      <c r="M822" s="13">
        <v>1276.8571400000001</v>
      </c>
    </row>
    <row r="823" spans="1:13" x14ac:dyDescent="0.2">
      <c r="A823">
        <v>821</v>
      </c>
      <c r="B823">
        <v>20050303</v>
      </c>
      <c r="C823" s="13">
        <v>1.142857</v>
      </c>
      <c r="D823" s="9">
        <v>2.7408999999999999E-2</v>
      </c>
      <c r="E823" s="13">
        <v>13</v>
      </c>
      <c r="F823">
        <v>2.9891999999999998E-2</v>
      </c>
      <c r="G823" s="13">
        <v>26</v>
      </c>
      <c r="H823">
        <v>4.0770000000000001E-2</v>
      </c>
      <c r="I823">
        <v>284.42857099999998</v>
      </c>
      <c r="J823">
        <v>4.8899999999999999E-2</v>
      </c>
      <c r="K823">
        <v>780.28751399999999</v>
      </c>
      <c r="L823">
        <v>4.9000000000000002E-2</v>
      </c>
      <c r="M823" s="13">
        <v>1275.8571400000001</v>
      </c>
    </row>
    <row r="824" spans="1:13" x14ac:dyDescent="0.2">
      <c r="A824">
        <v>822</v>
      </c>
      <c r="B824">
        <v>20050310</v>
      </c>
      <c r="C824" s="13">
        <v>1</v>
      </c>
      <c r="D824" s="9">
        <v>2.7306E-2</v>
      </c>
      <c r="E824" s="13">
        <v>13</v>
      </c>
      <c r="F824">
        <v>3.031E-2</v>
      </c>
      <c r="G824" s="13">
        <v>26</v>
      </c>
      <c r="H824">
        <v>4.156E-2</v>
      </c>
      <c r="I824">
        <v>283.42857099999998</v>
      </c>
      <c r="J824">
        <v>4.9329999999999999E-2</v>
      </c>
      <c r="K824">
        <v>779.28571399999998</v>
      </c>
      <c r="L824">
        <v>4.913E-2</v>
      </c>
      <c r="M824" s="13">
        <v>1274.8571400000001</v>
      </c>
    </row>
    <row r="825" spans="1:13" x14ac:dyDescent="0.2">
      <c r="A825">
        <v>823</v>
      </c>
      <c r="B825">
        <v>20050317</v>
      </c>
      <c r="C825" s="13">
        <v>1</v>
      </c>
      <c r="D825" s="9">
        <v>2.7820000000000001E-2</v>
      </c>
      <c r="E825" s="13">
        <v>13</v>
      </c>
      <c r="F825">
        <v>3.0727999999999998E-2</v>
      </c>
      <c r="G825" s="13">
        <v>26</v>
      </c>
      <c r="H825">
        <v>4.2090000000000002E-2</v>
      </c>
      <c r="I825">
        <v>282.42857099999998</v>
      </c>
      <c r="J825">
        <v>4.9709999999999997E-2</v>
      </c>
      <c r="K825">
        <v>791.14285700000005</v>
      </c>
      <c r="L825">
        <v>4.9180000000000001E-2</v>
      </c>
      <c r="M825" s="13">
        <v>1273.8571400000001</v>
      </c>
    </row>
    <row r="826" spans="1:13" x14ac:dyDescent="0.2">
      <c r="A826">
        <v>824</v>
      </c>
      <c r="B826">
        <v>20050324</v>
      </c>
      <c r="C826" s="13">
        <v>1</v>
      </c>
      <c r="D826" s="9">
        <v>2.8386000000000002E-2</v>
      </c>
      <c r="E826" s="13">
        <v>13</v>
      </c>
      <c r="F826">
        <v>3.1616999999999999E-2</v>
      </c>
      <c r="G826" s="13">
        <v>26</v>
      </c>
      <c r="H826">
        <v>4.3180000000000003E-2</v>
      </c>
      <c r="I826">
        <v>281.42857099999998</v>
      </c>
      <c r="J826">
        <v>5.0590000000000003E-2</v>
      </c>
      <c r="K826">
        <v>790.14285700000005</v>
      </c>
      <c r="L826">
        <v>4.9540000000000001E-2</v>
      </c>
      <c r="M826" s="13">
        <v>1311.8571400000001</v>
      </c>
    </row>
    <row r="827" spans="1:13" x14ac:dyDescent="0.2">
      <c r="A827">
        <v>825</v>
      </c>
      <c r="B827">
        <v>20050331</v>
      </c>
      <c r="C827" s="13">
        <v>1</v>
      </c>
      <c r="D827" s="9">
        <v>2.7872000000000001E-2</v>
      </c>
      <c r="E827" s="13">
        <v>13</v>
      </c>
      <c r="F827">
        <v>3.1302999999999997E-2</v>
      </c>
      <c r="G827" s="13">
        <v>26</v>
      </c>
      <c r="H827">
        <v>4.24E-2</v>
      </c>
      <c r="I827">
        <v>280.42857099999998</v>
      </c>
      <c r="J827">
        <v>4.9390000000000003E-2</v>
      </c>
      <c r="K827">
        <v>789.14285700000005</v>
      </c>
      <c r="L827">
        <v>4.8619999999999997E-2</v>
      </c>
      <c r="M827" s="13">
        <v>1310.8571400000001</v>
      </c>
    </row>
    <row r="828" spans="1:13" x14ac:dyDescent="0.2">
      <c r="A828">
        <v>826</v>
      </c>
      <c r="B828">
        <v>20050407</v>
      </c>
      <c r="C828" s="13">
        <v>1</v>
      </c>
      <c r="D828" s="9">
        <v>2.7666E-2</v>
      </c>
      <c r="E828" s="13">
        <v>13</v>
      </c>
      <c r="F828">
        <v>3.1199000000000001E-2</v>
      </c>
      <c r="G828" s="13">
        <v>26</v>
      </c>
      <c r="H828">
        <v>4.2070000000000003E-2</v>
      </c>
      <c r="I828">
        <v>279.42857099999998</v>
      </c>
      <c r="J828">
        <v>4.9779999999999998E-2</v>
      </c>
      <c r="K828">
        <v>788.14285700000005</v>
      </c>
      <c r="L828">
        <v>4.929E-2</v>
      </c>
      <c r="M828" s="13">
        <v>1309.8571400000001</v>
      </c>
    </row>
    <row r="829" spans="1:13" x14ac:dyDescent="0.2">
      <c r="A829">
        <v>827</v>
      </c>
      <c r="B829">
        <v>20050414</v>
      </c>
      <c r="C829" s="13">
        <v>1</v>
      </c>
      <c r="D829" s="9">
        <v>2.7768999999999999E-2</v>
      </c>
      <c r="E829" s="13">
        <v>13</v>
      </c>
      <c r="F829">
        <v>3.1407999999999998E-2</v>
      </c>
      <c r="G829" s="13">
        <v>26</v>
      </c>
      <c r="H829">
        <v>3.9960000000000002E-2</v>
      </c>
      <c r="I829">
        <v>278.42857099999998</v>
      </c>
      <c r="J829">
        <v>4.8570000000000002E-2</v>
      </c>
      <c r="K829">
        <v>787.14285700000005</v>
      </c>
      <c r="L829">
        <v>4.8349999999999997E-2</v>
      </c>
      <c r="M829" s="13">
        <v>1308.8571400000001</v>
      </c>
    </row>
    <row r="830" spans="1:13" x14ac:dyDescent="0.2">
      <c r="A830">
        <v>828</v>
      </c>
      <c r="B830">
        <v>20050421</v>
      </c>
      <c r="C830" s="13">
        <v>1</v>
      </c>
      <c r="D830" s="9">
        <v>2.8797E-2</v>
      </c>
      <c r="E830" s="13">
        <v>13</v>
      </c>
      <c r="F830">
        <v>3.1302999999999997E-2</v>
      </c>
      <c r="G830" s="13">
        <v>26</v>
      </c>
      <c r="H830">
        <v>4.0239999999999998E-2</v>
      </c>
      <c r="I830">
        <v>277.42857099999998</v>
      </c>
      <c r="J830">
        <v>4.7980000000000002E-2</v>
      </c>
      <c r="K830">
        <v>786.14285700000005</v>
      </c>
      <c r="L830">
        <v>4.7829999999999998E-2</v>
      </c>
      <c r="M830" s="13">
        <v>1307.8571400000001</v>
      </c>
    </row>
    <row r="831" spans="1:13" x14ac:dyDescent="0.2">
      <c r="A831">
        <v>829</v>
      </c>
      <c r="B831">
        <v>20050428</v>
      </c>
      <c r="C831" s="13">
        <v>1</v>
      </c>
      <c r="D831" s="9">
        <v>2.8797E-2</v>
      </c>
      <c r="E831" s="13">
        <v>13</v>
      </c>
      <c r="F831">
        <v>3.1511999999999998E-2</v>
      </c>
      <c r="G831" s="13">
        <v>26</v>
      </c>
      <c r="H831">
        <v>3.8640000000000001E-2</v>
      </c>
      <c r="I831">
        <v>276.42857099999998</v>
      </c>
      <c r="J831">
        <v>4.6510000000000003E-2</v>
      </c>
      <c r="K831">
        <v>785.14285700000005</v>
      </c>
      <c r="L831">
        <v>4.6379999999999998E-2</v>
      </c>
      <c r="M831" s="13">
        <v>1306.8571400000001</v>
      </c>
    </row>
    <row r="832" spans="1:13" x14ac:dyDescent="0.2">
      <c r="A832">
        <v>830</v>
      </c>
      <c r="B832">
        <v>20050505</v>
      </c>
      <c r="C832" s="13">
        <v>1</v>
      </c>
      <c r="D832" s="9">
        <v>2.8077000000000001E-2</v>
      </c>
      <c r="E832" s="13">
        <v>13</v>
      </c>
      <c r="F832">
        <v>3.1407999999999998E-2</v>
      </c>
      <c r="G832" s="13">
        <v>26</v>
      </c>
      <c r="H832">
        <v>3.8519999999999999E-2</v>
      </c>
      <c r="I832">
        <v>275.42857099999998</v>
      </c>
      <c r="J832">
        <v>4.6760000000000003E-2</v>
      </c>
      <c r="K832">
        <v>784.14285700000005</v>
      </c>
      <c r="L832">
        <v>4.7120000000000002E-2</v>
      </c>
      <c r="M832" s="13">
        <v>1305.8571400000001</v>
      </c>
    </row>
    <row r="833" spans="1:13" x14ac:dyDescent="0.2">
      <c r="A833">
        <v>831</v>
      </c>
      <c r="B833">
        <v>20050512</v>
      </c>
      <c r="C833" s="13">
        <v>1</v>
      </c>
      <c r="D833" s="9">
        <v>2.8797E-2</v>
      </c>
      <c r="E833" s="13">
        <v>13</v>
      </c>
      <c r="F833">
        <v>3.1722E-2</v>
      </c>
      <c r="G833" s="13">
        <v>26</v>
      </c>
      <c r="H833">
        <v>3.9050000000000001E-2</v>
      </c>
      <c r="I833">
        <v>274.42857099999998</v>
      </c>
      <c r="J833">
        <v>4.6420000000000003E-2</v>
      </c>
      <c r="K833">
        <v>783.14285700000005</v>
      </c>
      <c r="L833">
        <v>4.6370000000000001E-2</v>
      </c>
      <c r="M833" s="13">
        <v>1304.8571400000001</v>
      </c>
    </row>
    <row r="834" spans="1:13" x14ac:dyDescent="0.2">
      <c r="A834">
        <v>832</v>
      </c>
      <c r="B834">
        <v>20050519</v>
      </c>
      <c r="C834" s="13">
        <v>1</v>
      </c>
      <c r="D834" s="9">
        <v>2.8694000000000001E-2</v>
      </c>
      <c r="E834" s="13">
        <v>13</v>
      </c>
      <c r="F834">
        <v>3.1407999999999998E-2</v>
      </c>
      <c r="G834" s="13">
        <v>26</v>
      </c>
      <c r="H834">
        <v>3.8899999999999997E-2</v>
      </c>
      <c r="I834">
        <v>273.42857099999998</v>
      </c>
      <c r="J834">
        <v>4.5569999999999999E-2</v>
      </c>
      <c r="K834">
        <v>782.14285700000005</v>
      </c>
      <c r="L834">
        <v>4.5499999999999999E-2</v>
      </c>
      <c r="M834" s="13">
        <v>1303.8571400000001</v>
      </c>
    </row>
    <row r="835" spans="1:13" x14ac:dyDescent="0.2">
      <c r="A835">
        <v>833</v>
      </c>
      <c r="B835">
        <v>20050526</v>
      </c>
      <c r="C835" s="13">
        <v>1</v>
      </c>
      <c r="D835" s="9">
        <v>2.9413999999999999E-2</v>
      </c>
      <c r="E835" s="13">
        <v>13</v>
      </c>
      <c r="F835">
        <v>3.1511999999999998E-2</v>
      </c>
      <c r="G835" s="13">
        <v>26.142856999999999</v>
      </c>
      <c r="H835">
        <v>3.8399999999999997E-2</v>
      </c>
      <c r="I835">
        <v>272.42857099999998</v>
      </c>
      <c r="J835">
        <v>4.521E-2</v>
      </c>
      <c r="K835">
        <v>781.14285700000005</v>
      </c>
      <c r="L835">
        <v>4.5339999999999998E-2</v>
      </c>
      <c r="M835" s="13">
        <v>1302.8571400000001</v>
      </c>
    </row>
    <row r="836" spans="1:13" x14ac:dyDescent="0.2">
      <c r="A836">
        <v>834</v>
      </c>
      <c r="B836">
        <v>20050602</v>
      </c>
      <c r="C836" s="13">
        <v>1</v>
      </c>
      <c r="D836" s="9">
        <v>2.9722999999999999E-2</v>
      </c>
      <c r="E836" s="13">
        <v>13</v>
      </c>
      <c r="F836">
        <v>3.1302999999999997E-2</v>
      </c>
      <c r="G836" s="13">
        <v>26</v>
      </c>
      <c r="H836">
        <v>3.6940000000000001E-2</v>
      </c>
      <c r="I836">
        <v>271.42857099999998</v>
      </c>
      <c r="J836">
        <v>4.3270000000000003E-2</v>
      </c>
      <c r="K836">
        <v>780.14285700000005</v>
      </c>
      <c r="L836">
        <v>4.3339999999999997E-2</v>
      </c>
      <c r="M836" s="13">
        <v>1301.8571400000001</v>
      </c>
    </row>
    <row r="837" spans="1:13" x14ac:dyDescent="0.2">
      <c r="A837">
        <v>835</v>
      </c>
      <c r="B837">
        <v>20050609</v>
      </c>
      <c r="C837" s="13">
        <v>1</v>
      </c>
      <c r="D837" s="9">
        <v>2.9929000000000001E-2</v>
      </c>
      <c r="E837" s="13">
        <v>13</v>
      </c>
      <c r="F837">
        <v>3.1407999999999998E-2</v>
      </c>
      <c r="G837" s="13">
        <v>26</v>
      </c>
      <c r="H837">
        <v>3.7990000000000003E-2</v>
      </c>
      <c r="I837">
        <v>270.42857099999998</v>
      </c>
      <c r="J837">
        <v>4.36E-2</v>
      </c>
      <c r="K837">
        <v>779.14285700000005</v>
      </c>
      <c r="L837">
        <v>4.317E-2</v>
      </c>
      <c r="M837" s="13">
        <v>1300.8571400000001</v>
      </c>
    </row>
    <row r="838" spans="1:13" x14ac:dyDescent="0.2">
      <c r="A838">
        <v>836</v>
      </c>
      <c r="B838">
        <v>20050616</v>
      </c>
      <c r="C838" s="13">
        <v>1</v>
      </c>
      <c r="D838" s="9">
        <v>2.9722999999999999E-2</v>
      </c>
      <c r="E838" s="13">
        <v>13</v>
      </c>
      <c r="F838">
        <v>3.2140000000000002E-2</v>
      </c>
      <c r="G838" s="13">
        <v>26</v>
      </c>
      <c r="H838">
        <v>3.8949999999999999E-2</v>
      </c>
      <c r="I838">
        <v>269.42857099999998</v>
      </c>
      <c r="J838">
        <v>4.4819999999999999E-2</v>
      </c>
      <c r="K838">
        <v>778.14285700000005</v>
      </c>
      <c r="L838">
        <v>4.4540000000000003E-2</v>
      </c>
      <c r="M838" s="13">
        <v>1299.8571400000001</v>
      </c>
    </row>
    <row r="839" spans="1:13" x14ac:dyDescent="0.2">
      <c r="A839">
        <v>837</v>
      </c>
      <c r="B839">
        <v>20050623</v>
      </c>
      <c r="C839" s="13">
        <v>1</v>
      </c>
      <c r="D839" s="9">
        <v>3.0648999999999999E-2</v>
      </c>
      <c r="E839" s="13">
        <v>13</v>
      </c>
      <c r="F839">
        <v>3.2663999999999999E-2</v>
      </c>
      <c r="G839" s="13">
        <v>26</v>
      </c>
      <c r="H839">
        <v>3.7760000000000002E-2</v>
      </c>
      <c r="I839">
        <v>268.42857099999998</v>
      </c>
      <c r="J839">
        <v>4.3520000000000003E-2</v>
      </c>
      <c r="K839">
        <v>777.14285700000005</v>
      </c>
      <c r="L839">
        <v>4.3319999999999997E-2</v>
      </c>
      <c r="M839" s="13">
        <v>1298.8571400000001</v>
      </c>
    </row>
    <row r="840" spans="1:13" x14ac:dyDescent="0.2">
      <c r="A840">
        <v>838</v>
      </c>
      <c r="B840">
        <v>20050630</v>
      </c>
      <c r="C840" s="13">
        <v>1</v>
      </c>
      <c r="D840" s="9">
        <v>3.1267000000000003E-2</v>
      </c>
      <c r="E840" s="13">
        <v>13</v>
      </c>
      <c r="F840">
        <v>3.3397000000000003E-2</v>
      </c>
      <c r="G840" s="13">
        <v>26</v>
      </c>
      <c r="H840">
        <v>3.7719999999999997E-2</v>
      </c>
      <c r="I840">
        <v>267.42857099999998</v>
      </c>
      <c r="J840">
        <v>4.3139999999999998E-2</v>
      </c>
      <c r="K840">
        <v>776.14285700000005</v>
      </c>
      <c r="L840">
        <v>4.2840000000000003E-2</v>
      </c>
      <c r="M840" s="13">
        <v>1297.8571400000001</v>
      </c>
    </row>
    <row r="841" spans="1:13" x14ac:dyDescent="0.2">
      <c r="A841">
        <v>839</v>
      </c>
      <c r="B841">
        <v>20050707</v>
      </c>
      <c r="C841" s="13">
        <v>1</v>
      </c>
      <c r="D841" s="9">
        <v>3.1473000000000001E-2</v>
      </c>
      <c r="E841" s="13">
        <v>13</v>
      </c>
      <c r="F841">
        <v>3.3710999999999998E-2</v>
      </c>
      <c r="G841" s="13">
        <v>26</v>
      </c>
      <c r="H841">
        <v>3.8760000000000003E-2</v>
      </c>
      <c r="I841">
        <v>266.42857099999998</v>
      </c>
      <c r="J841">
        <v>4.4119999999999999E-2</v>
      </c>
      <c r="K841">
        <v>775.14285700000005</v>
      </c>
      <c r="L841">
        <v>4.3619999999999999E-2</v>
      </c>
      <c r="M841" s="13">
        <v>1296.8571400000001</v>
      </c>
    </row>
    <row r="842" spans="1:13" x14ac:dyDescent="0.2">
      <c r="A842">
        <v>840</v>
      </c>
      <c r="B842">
        <v>20050714</v>
      </c>
      <c r="C842" s="13">
        <v>1</v>
      </c>
      <c r="D842" s="9">
        <v>3.2296999999999999E-2</v>
      </c>
      <c r="E842" s="13">
        <v>13</v>
      </c>
      <c r="F842">
        <v>3.4654999999999998E-2</v>
      </c>
      <c r="G842" s="13">
        <v>26</v>
      </c>
      <c r="H842">
        <v>4.0230000000000002E-2</v>
      </c>
      <c r="I842">
        <v>265.42857099999998</v>
      </c>
      <c r="J842">
        <v>4.5260000000000002E-2</v>
      </c>
      <c r="K842">
        <v>774.14285700000005</v>
      </c>
      <c r="L842">
        <v>4.4690000000000001E-2</v>
      </c>
      <c r="M842" s="13">
        <v>1295.8571400000001</v>
      </c>
    </row>
    <row r="843" spans="1:13" x14ac:dyDescent="0.2">
      <c r="A843">
        <v>841</v>
      </c>
      <c r="B843">
        <v>20050721</v>
      </c>
      <c r="C843" s="13">
        <v>1</v>
      </c>
      <c r="D843" s="9">
        <v>3.3430000000000001E-2</v>
      </c>
      <c r="E843" s="13">
        <v>13</v>
      </c>
      <c r="F843">
        <v>3.6020000000000003E-2</v>
      </c>
      <c r="G843" s="13">
        <v>26</v>
      </c>
      <c r="H843">
        <v>4.1320000000000003E-2</v>
      </c>
      <c r="I843">
        <v>264.42857099999998</v>
      </c>
      <c r="J843">
        <v>4.6170000000000003E-2</v>
      </c>
      <c r="K843">
        <v>786.28571399999998</v>
      </c>
      <c r="L843">
        <v>4.5449999999999997E-2</v>
      </c>
      <c r="M843" s="13">
        <v>1294.8571400000001</v>
      </c>
    </row>
    <row r="844" spans="1:13" x14ac:dyDescent="0.2">
      <c r="A844">
        <v>842</v>
      </c>
      <c r="B844">
        <v>20050728</v>
      </c>
      <c r="C844" s="13">
        <v>1</v>
      </c>
      <c r="D844" s="9">
        <v>3.4049000000000003E-2</v>
      </c>
      <c r="E844" s="13">
        <v>13</v>
      </c>
      <c r="F844">
        <v>3.6546000000000002E-2</v>
      </c>
      <c r="G844" s="13">
        <v>26</v>
      </c>
      <c r="H844">
        <v>4.0899999999999999E-2</v>
      </c>
      <c r="I844">
        <v>263.42857099999998</v>
      </c>
      <c r="J844">
        <v>4.5060000000000003E-2</v>
      </c>
      <c r="K844">
        <v>785.28571399999998</v>
      </c>
      <c r="L844">
        <v>4.4359999999999997E-2</v>
      </c>
      <c r="M844" s="13">
        <v>1293.8571400000001</v>
      </c>
    </row>
    <row r="845" spans="1:13" x14ac:dyDescent="0.2">
      <c r="A845">
        <v>843</v>
      </c>
      <c r="B845">
        <v>20050804</v>
      </c>
      <c r="C845" s="13">
        <v>1</v>
      </c>
      <c r="D845" s="9">
        <v>3.4667999999999997E-2</v>
      </c>
      <c r="E845" s="13">
        <v>13</v>
      </c>
      <c r="F845">
        <v>3.7177000000000002E-2</v>
      </c>
      <c r="G845" s="13">
        <v>26</v>
      </c>
      <c r="H845">
        <v>4.1799999999999997E-2</v>
      </c>
      <c r="I845">
        <v>262.42857099999998</v>
      </c>
      <c r="J845">
        <v>4.6339999999999999E-2</v>
      </c>
      <c r="K845">
        <v>784.28571399999998</v>
      </c>
      <c r="L845">
        <v>4.5609999999999998E-2</v>
      </c>
      <c r="M845" s="13">
        <v>1292.8571400000001</v>
      </c>
    </row>
    <row r="846" spans="1:13" x14ac:dyDescent="0.2">
      <c r="A846">
        <v>844</v>
      </c>
      <c r="B846">
        <v>20050811</v>
      </c>
      <c r="C846" s="13">
        <v>1</v>
      </c>
      <c r="D846" s="9">
        <v>3.5081000000000001E-2</v>
      </c>
      <c r="E846" s="13">
        <v>13</v>
      </c>
      <c r="F846">
        <v>3.7808000000000001E-2</v>
      </c>
      <c r="G846" s="13">
        <v>26</v>
      </c>
      <c r="H846">
        <v>4.2119999999999998E-2</v>
      </c>
      <c r="I846">
        <v>261.42857099999998</v>
      </c>
      <c r="J846">
        <v>4.6359999999999998E-2</v>
      </c>
      <c r="K846">
        <v>783.28571399999998</v>
      </c>
      <c r="L846">
        <v>4.5629999999999997E-2</v>
      </c>
      <c r="M846" s="13">
        <v>1291.8571400000001</v>
      </c>
    </row>
    <row r="847" spans="1:13" x14ac:dyDescent="0.2">
      <c r="A847">
        <v>845</v>
      </c>
      <c r="B847">
        <v>20050818</v>
      </c>
      <c r="C847" s="13">
        <v>1</v>
      </c>
      <c r="D847" s="9">
        <v>3.4977000000000001E-2</v>
      </c>
      <c r="E847" s="13">
        <v>13</v>
      </c>
      <c r="F847">
        <v>3.7808000000000001E-2</v>
      </c>
      <c r="G847" s="13">
        <v>26</v>
      </c>
      <c r="H847">
        <v>4.0809999999999999E-2</v>
      </c>
      <c r="I847">
        <v>260.42857099999998</v>
      </c>
      <c r="J847">
        <v>4.5109999999999997E-2</v>
      </c>
      <c r="K847">
        <v>782.28571399999998</v>
      </c>
      <c r="L847">
        <v>4.4499999999999998E-2</v>
      </c>
      <c r="M847" s="13">
        <v>1290.8571400000001</v>
      </c>
    </row>
    <row r="848" spans="1:13" x14ac:dyDescent="0.2">
      <c r="A848">
        <v>846</v>
      </c>
      <c r="B848">
        <v>20050825</v>
      </c>
      <c r="C848" s="13">
        <v>1</v>
      </c>
      <c r="D848" s="9">
        <v>3.5389999999999998E-2</v>
      </c>
      <c r="E848" s="13">
        <v>13.142856999999999</v>
      </c>
      <c r="F848">
        <v>3.8123999999999998E-2</v>
      </c>
      <c r="G848" s="13">
        <v>26</v>
      </c>
      <c r="H848">
        <v>4.0719999999999999E-2</v>
      </c>
      <c r="I848">
        <v>259.42857099999998</v>
      </c>
      <c r="J848">
        <v>4.4479999999999999E-2</v>
      </c>
      <c r="K848">
        <v>781.28571399999998</v>
      </c>
      <c r="L848">
        <v>4.3979999999999998E-2</v>
      </c>
      <c r="M848" s="13">
        <v>1289.8571400000001</v>
      </c>
    </row>
    <row r="849" spans="1:13" x14ac:dyDescent="0.2">
      <c r="A849">
        <v>847</v>
      </c>
      <c r="B849">
        <v>20050901</v>
      </c>
      <c r="C849" s="13">
        <v>1</v>
      </c>
      <c r="D849" s="9">
        <v>3.4771000000000003E-2</v>
      </c>
      <c r="E849" s="13">
        <v>13</v>
      </c>
      <c r="F849">
        <v>3.6229999999999998E-2</v>
      </c>
      <c r="G849" s="13">
        <v>26</v>
      </c>
      <c r="H849">
        <v>3.8530000000000002E-2</v>
      </c>
      <c r="I849">
        <v>258.42857099999998</v>
      </c>
      <c r="J849">
        <v>4.3749999999999997E-2</v>
      </c>
      <c r="K849">
        <v>780.28571399999998</v>
      </c>
      <c r="L849">
        <v>4.342E-2</v>
      </c>
      <c r="M849" s="13">
        <v>1288.8571400000001</v>
      </c>
    </row>
    <row r="850" spans="1:13" x14ac:dyDescent="0.2">
      <c r="A850">
        <v>848</v>
      </c>
      <c r="B850">
        <v>20050908</v>
      </c>
      <c r="C850" s="13">
        <v>1</v>
      </c>
      <c r="D850" s="9">
        <v>3.4771000000000003E-2</v>
      </c>
      <c r="E850" s="13">
        <v>13</v>
      </c>
      <c r="F850">
        <v>3.7282000000000003E-2</v>
      </c>
      <c r="G850" s="13">
        <v>26</v>
      </c>
      <c r="H850">
        <v>3.9649999999999998E-2</v>
      </c>
      <c r="I850">
        <v>257.42857099999998</v>
      </c>
      <c r="J850">
        <v>4.5159999999999999E-2</v>
      </c>
      <c r="K850">
        <v>779.28571399999998</v>
      </c>
      <c r="L850">
        <v>4.4830000000000002E-2</v>
      </c>
      <c r="M850" s="13">
        <v>1287.8571400000001</v>
      </c>
    </row>
    <row r="851" spans="1:13" x14ac:dyDescent="0.2">
      <c r="A851">
        <v>849</v>
      </c>
      <c r="B851">
        <v>20050915</v>
      </c>
      <c r="C851" s="13">
        <v>1</v>
      </c>
      <c r="D851" s="9">
        <v>3.4462E-2</v>
      </c>
      <c r="E851" s="13">
        <v>13</v>
      </c>
      <c r="F851">
        <v>3.7703E-2</v>
      </c>
      <c r="G851" s="13">
        <v>26</v>
      </c>
      <c r="H851">
        <v>4.011E-2</v>
      </c>
      <c r="I851">
        <v>256.42857099999998</v>
      </c>
      <c r="J851">
        <v>4.6100000000000002E-2</v>
      </c>
      <c r="K851">
        <v>778.28571399999998</v>
      </c>
      <c r="L851">
        <v>4.573E-2</v>
      </c>
      <c r="M851" s="13">
        <v>1286.8571400000001</v>
      </c>
    </row>
    <row r="852" spans="1:13" x14ac:dyDescent="0.2">
      <c r="A852">
        <v>850</v>
      </c>
      <c r="B852">
        <v>20050922</v>
      </c>
      <c r="C852" s="13">
        <v>1</v>
      </c>
      <c r="D852" s="9">
        <v>3.4667999999999997E-2</v>
      </c>
      <c r="E852" s="13">
        <v>13</v>
      </c>
      <c r="F852">
        <v>3.8123999999999998E-2</v>
      </c>
      <c r="G852" s="13">
        <v>26</v>
      </c>
      <c r="H852">
        <v>0.04</v>
      </c>
      <c r="I852">
        <v>255.42857100000001</v>
      </c>
      <c r="J852">
        <v>4.5490000000000003E-2</v>
      </c>
      <c r="K852">
        <v>777.28571399999998</v>
      </c>
      <c r="L852">
        <v>4.5159999999999999E-2</v>
      </c>
      <c r="M852" s="13">
        <v>1285.8571400000001</v>
      </c>
    </row>
    <row r="853" spans="1:13" x14ac:dyDescent="0.2">
      <c r="A853">
        <v>851</v>
      </c>
      <c r="B853">
        <v>20050929</v>
      </c>
      <c r="C853" s="13">
        <v>1</v>
      </c>
      <c r="D853" s="9">
        <v>3.5389999999999998E-2</v>
      </c>
      <c r="E853" s="13">
        <v>13</v>
      </c>
      <c r="F853">
        <v>3.8861E-2</v>
      </c>
      <c r="G853" s="13">
        <v>26</v>
      </c>
      <c r="H853">
        <v>4.1529999999999997E-2</v>
      </c>
      <c r="I853">
        <v>254.42857100000001</v>
      </c>
      <c r="J853">
        <v>4.6330000000000003E-2</v>
      </c>
      <c r="K853">
        <v>776.28571399999998</v>
      </c>
      <c r="L853">
        <v>4.5780000000000001E-2</v>
      </c>
      <c r="M853" s="13">
        <v>1284.8571400000001</v>
      </c>
    </row>
    <row r="854" spans="1:13" x14ac:dyDescent="0.2">
      <c r="A854">
        <v>852</v>
      </c>
      <c r="B854">
        <v>20051006</v>
      </c>
      <c r="C854" s="13">
        <v>1</v>
      </c>
      <c r="D854" s="9">
        <v>3.6008999999999999E-2</v>
      </c>
      <c r="E854" s="13">
        <v>13</v>
      </c>
      <c r="F854">
        <v>4.0021000000000001E-2</v>
      </c>
      <c r="G854" s="13">
        <v>26</v>
      </c>
      <c r="H854">
        <v>4.2470000000000001E-2</v>
      </c>
      <c r="I854">
        <v>253.42857100000001</v>
      </c>
      <c r="J854">
        <v>4.6780000000000002E-2</v>
      </c>
      <c r="K854">
        <v>775.28571399999998</v>
      </c>
      <c r="L854">
        <v>4.6179999999999999E-2</v>
      </c>
      <c r="M854" s="13">
        <v>1283.8571400000001</v>
      </c>
    </row>
    <row r="855" spans="1:13" x14ac:dyDescent="0.2">
      <c r="A855">
        <v>853</v>
      </c>
      <c r="B855">
        <v>20051013</v>
      </c>
      <c r="C855" s="13">
        <v>1</v>
      </c>
      <c r="D855" s="9">
        <v>3.7455000000000002E-2</v>
      </c>
      <c r="E855" s="13">
        <v>13</v>
      </c>
      <c r="F855">
        <v>4.0864999999999999E-2</v>
      </c>
      <c r="G855" s="13">
        <v>26</v>
      </c>
      <c r="H855">
        <v>4.3529999999999999E-2</v>
      </c>
      <c r="I855">
        <v>252.42857100000001</v>
      </c>
      <c r="J855">
        <v>4.8140000000000002E-2</v>
      </c>
      <c r="K855">
        <v>774.28571399999998</v>
      </c>
      <c r="L855">
        <v>4.734E-2</v>
      </c>
      <c r="M855" s="13">
        <v>1282.8571400000001</v>
      </c>
    </row>
    <row r="856" spans="1:13" x14ac:dyDescent="0.2">
      <c r="A856">
        <v>854</v>
      </c>
      <c r="B856">
        <v>20051020</v>
      </c>
      <c r="C856" s="13">
        <v>1</v>
      </c>
      <c r="D856" s="9">
        <v>3.8488000000000001E-2</v>
      </c>
      <c r="E856" s="13">
        <v>13</v>
      </c>
      <c r="F856">
        <v>4.1604000000000002E-2</v>
      </c>
      <c r="G856" s="13">
        <v>26</v>
      </c>
      <c r="H856">
        <v>4.3220000000000001E-2</v>
      </c>
      <c r="I856">
        <v>251.42857100000001</v>
      </c>
      <c r="J856">
        <v>4.7980000000000002E-2</v>
      </c>
      <c r="K856">
        <v>773.28571399999998</v>
      </c>
      <c r="L856">
        <v>4.7280000000000003E-2</v>
      </c>
      <c r="M856" s="13">
        <v>1281.8571400000001</v>
      </c>
    </row>
    <row r="857" spans="1:13" x14ac:dyDescent="0.2">
      <c r="A857">
        <v>855</v>
      </c>
      <c r="B857">
        <v>20051027</v>
      </c>
      <c r="C857" s="13">
        <v>1</v>
      </c>
      <c r="D857" s="9">
        <v>3.8797999999999999E-2</v>
      </c>
      <c r="E857" s="13">
        <v>13</v>
      </c>
      <c r="F857">
        <v>4.2027000000000002E-2</v>
      </c>
      <c r="G857" s="13">
        <v>26</v>
      </c>
      <c r="H857">
        <v>4.4760000000000001E-2</v>
      </c>
      <c r="I857">
        <v>250.42857100000001</v>
      </c>
      <c r="J857">
        <v>4.897E-2</v>
      </c>
      <c r="K857">
        <v>772.28571399999998</v>
      </c>
      <c r="L857">
        <v>4.8050000000000002E-2</v>
      </c>
      <c r="M857" s="13">
        <v>1280.8571400000001</v>
      </c>
    </row>
    <row r="858" spans="1:13" x14ac:dyDescent="0.2">
      <c r="A858">
        <v>856</v>
      </c>
      <c r="B858">
        <v>20051103</v>
      </c>
      <c r="C858" s="13">
        <v>1</v>
      </c>
      <c r="D858" s="9">
        <v>3.9418000000000002E-2</v>
      </c>
      <c r="E858" s="13">
        <v>13</v>
      </c>
      <c r="F858">
        <v>4.2660999999999998E-2</v>
      </c>
      <c r="G858" s="13">
        <v>26</v>
      </c>
      <c r="H858">
        <v>4.5659999999999999E-2</v>
      </c>
      <c r="I858">
        <v>249.42857100000001</v>
      </c>
      <c r="J858">
        <v>4.9950000000000001E-2</v>
      </c>
      <c r="K858">
        <v>771.28571399999998</v>
      </c>
      <c r="L858">
        <v>4.8919999999999998E-2</v>
      </c>
      <c r="M858" s="13">
        <v>1279.8571400000001</v>
      </c>
    </row>
    <row r="859" spans="1:13" x14ac:dyDescent="0.2">
      <c r="A859">
        <v>857</v>
      </c>
      <c r="B859">
        <v>20051110</v>
      </c>
      <c r="C859" s="13">
        <v>1</v>
      </c>
      <c r="D859" s="9">
        <v>3.9729E-2</v>
      </c>
      <c r="E859" s="13">
        <v>13</v>
      </c>
      <c r="F859">
        <v>4.2978000000000002E-2</v>
      </c>
      <c r="G859" s="13">
        <v>26</v>
      </c>
      <c r="H859">
        <v>4.4339999999999997E-2</v>
      </c>
      <c r="I859">
        <v>248.42857100000001</v>
      </c>
      <c r="J859">
        <v>4.879E-2</v>
      </c>
      <c r="K859">
        <v>770.28571399999998</v>
      </c>
      <c r="L859">
        <v>4.7829999999999998E-2</v>
      </c>
      <c r="M859" s="13">
        <v>1278.8571400000001</v>
      </c>
    </row>
    <row r="860" spans="1:13" x14ac:dyDescent="0.2">
      <c r="A860">
        <v>858</v>
      </c>
      <c r="B860">
        <v>20051117</v>
      </c>
      <c r="C860" s="13">
        <v>1</v>
      </c>
      <c r="D860" s="9">
        <v>4.0141999999999997E-2</v>
      </c>
      <c r="E860" s="13">
        <v>13</v>
      </c>
      <c r="F860">
        <v>4.2978000000000002E-2</v>
      </c>
      <c r="G860" s="13">
        <v>26</v>
      </c>
      <c r="H860">
        <v>4.3700000000000003E-2</v>
      </c>
      <c r="I860">
        <v>260.57142900000002</v>
      </c>
      <c r="J860">
        <v>4.793E-2</v>
      </c>
      <c r="K860">
        <v>769.28571399999998</v>
      </c>
      <c r="L860">
        <v>4.7030000000000002E-2</v>
      </c>
      <c r="M860" s="13">
        <v>1277.8571400000001</v>
      </c>
    </row>
    <row r="861" spans="1:13" x14ac:dyDescent="0.2">
      <c r="A861">
        <v>859</v>
      </c>
      <c r="B861">
        <v>20051125</v>
      </c>
      <c r="C861" s="13">
        <v>1.142857</v>
      </c>
      <c r="D861" s="9">
        <v>3.9513E-2</v>
      </c>
      <c r="E861" s="13">
        <v>12.857139999999999</v>
      </c>
      <c r="F861">
        <v>4.2757000000000003E-2</v>
      </c>
      <c r="G861" s="13">
        <v>25.857140000000001</v>
      </c>
      <c r="H861">
        <v>4.3150000000000001E-2</v>
      </c>
      <c r="I861">
        <v>259.42857099999998</v>
      </c>
      <c r="J861">
        <v>4.8230000000000002E-2</v>
      </c>
      <c r="K861">
        <v>794.42857100000003</v>
      </c>
      <c r="L861">
        <v>4.7329999999999997E-2</v>
      </c>
      <c r="M861" s="13">
        <v>1276.8571400000001</v>
      </c>
    </row>
    <row r="862" spans="1:13" x14ac:dyDescent="0.2">
      <c r="A862">
        <v>860</v>
      </c>
      <c r="B862">
        <v>20051201</v>
      </c>
      <c r="C862" s="13">
        <v>0.85714299999999999</v>
      </c>
      <c r="D862" s="9">
        <v>3.9729E-2</v>
      </c>
      <c r="E862" s="13">
        <v>13</v>
      </c>
      <c r="F862">
        <v>4.3189999999999999E-2</v>
      </c>
      <c r="G862" s="13">
        <v>26</v>
      </c>
      <c r="H862">
        <v>4.41E-2</v>
      </c>
      <c r="I862">
        <v>258.57142900000002</v>
      </c>
      <c r="J862">
        <v>4.8750000000000002E-2</v>
      </c>
      <c r="K862">
        <v>793.57142899999997</v>
      </c>
      <c r="L862">
        <v>4.7849999999999997E-2</v>
      </c>
      <c r="M862" s="13">
        <v>1275.8571400000001</v>
      </c>
    </row>
    <row r="863" spans="1:13" x14ac:dyDescent="0.2">
      <c r="A863">
        <v>861</v>
      </c>
      <c r="B863">
        <v>20051208</v>
      </c>
      <c r="C863" s="13">
        <v>1</v>
      </c>
      <c r="D863" s="9">
        <v>3.9418000000000002E-2</v>
      </c>
      <c r="E863" s="13">
        <v>13</v>
      </c>
      <c r="F863">
        <v>4.2660999999999998E-2</v>
      </c>
      <c r="G863" s="13">
        <v>26</v>
      </c>
      <c r="H863">
        <v>4.3450000000000003E-2</v>
      </c>
      <c r="I863">
        <v>257.57142900000002</v>
      </c>
      <c r="J863">
        <v>4.8050000000000002E-2</v>
      </c>
      <c r="K863">
        <v>792.57142899999997</v>
      </c>
      <c r="L863">
        <v>4.7230000000000001E-2</v>
      </c>
      <c r="M863" s="13">
        <v>1274.8571400000001</v>
      </c>
    </row>
    <row r="864" spans="1:13" x14ac:dyDescent="0.2">
      <c r="A864">
        <v>862</v>
      </c>
      <c r="B864">
        <v>20051215</v>
      </c>
      <c r="C864" s="13">
        <v>1</v>
      </c>
      <c r="D864" s="9">
        <v>3.9315000000000003E-2</v>
      </c>
      <c r="E864" s="13">
        <v>13</v>
      </c>
      <c r="F864">
        <v>4.3083999999999997E-2</v>
      </c>
      <c r="G864" s="13">
        <v>26</v>
      </c>
      <c r="H864">
        <v>4.3650000000000001E-2</v>
      </c>
      <c r="I864">
        <v>256.57142900000002</v>
      </c>
      <c r="J864">
        <v>4.8000000000000001E-2</v>
      </c>
      <c r="K864">
        <v>791.57142899999997</v>
      </c>
      <c r="L864">
        <v>4.7280000000000003E-2</v>
      </c>
      <c r="M864" s="13">
        <v>1273.8571400000001</v>
      </c>
    </row>
    <row r="865" spans="1:13" x14ac:dyDescent="0.2">
      <c r="A865">
        <v>863</v>
      </c>
      <c r="B865">
        <v>20051222</v>
      </c>
      <c r="C865" s="13">
        <v>1</v>
      </c>
      <c r="D865" s="9">
        <v>3.9831999999999999E-2</v>
      </c>
      <c r="E865" s="13">
        <v>13</v>
      </c>
      <c r="F865">
        <v>4.3189999999999999E-2</v>
      </c>
      <c r="G865" s="13">
        <v>26</v>
      </c>
      <c r="H865">
        <v>4.3499999999999997E-2</v>
      </c>
      <c r="I865">
        <v>255.57142899999999</v>
      </c>
      <c r="J865">
        <v>4.7210000000000002E-2</v>
      </c>
      <c r="K865">
        <v>790.57142899999997</v>
      </c>
      <c r="L865">
        <v>4.648E-2</v>
      </c>
      <c r="M865" s="13">
        <v>1272.8571400000001</v>
      </c>
    </row>
    <row r="866" spans="1:13" x14ac:dyDescent="0.2">
      <c r="A866">
        <v>864</v>
      </c>
      <c r="B866">
        <v>20051229</v>
      </c>
      <c r="C866" s="13">
        <v>1</v>
      </c>
      <c r="D866" s="9">
        <v>4.0141999999999997E-2</v>
      </c>
      <c r="E866" s="13">
        <v>13</v>
      </c>
      <c r="F866">
        <v>4.3401000000000002E-2</v>
      </c>
      <c r="G866" s="13">
        <v>26</v>
      </c>
      <c r="H866">
        <v>4.2999999999999997E-2</v>
      </c>
      <c r="I866">
        <v>254.57142899999999</v>
      </c>
      <c r="J866">
        <v>4.6190000000000002E-2</v>
      </c>
      <c r="K866">
        <v>789.57142899999997</v>
      </c>
      <c r="L866">
        <v>4.539E-2</v>
      </c>
      <c r="M866" s="13">
        <v>1271.8571400000001</v>
      </c>
    </row>
    <row r="867" spans="1:13" x14ac:dyDescent="0.2">
      <c r="A867">
        <v>865</v>
      </c>
      <c r="B867">
        <v>20060105</v>
      </c>
      <c r="C867" s="13">
        <v>1</v>
      </c>
      <c r="D867" s="9">
        <v>4.2005000000000001E-2</v>
      </c>
      <c r="E867" s="13">
        <v>13</v>
      </c>
      <c r="F867">
        <v>4.3719000000000001E-2</v>
      </c>
      <c r="G867" s="13">
        <v>26</v>
      </c>
      <c r="H867">
        <v>4.2549999999999998E-2</v>
      </c>
      <c r="I867">
        <v>253.57142899999999</v>
      </c>
      <c r="J867">
        <v>4.648E-2</v>
      </c>
      <c r="K867">
        <v>788.57142899999997</v>
      </c>
      <c r="L867">
        <v>4.4659999999999998E-2</v>
      </c>
      <c r="M867" s="13">
        <v>1310.2857100000001</v>
      </c>
    </row>
    <row r="868" spans="1:13" x14ac:dyDescent="0.2">
      <c r="A868">
        <v>866</v>
      </c>
      <c r="B868">
        <v>20060112</v>
      </c>
      <c r="C868" s="13">
        <v>1</v>
      </c>
      <c r="D868" s="9">
        <v>4.3247000000000001E-2</v>
      </c>
      <c r="E868" s="13">
        <v>13</v>
      </c>
      <c r="F868">
        <v>4.4353999999999998E-2</v>
      </c>
      <c r="G868" s="13">
        <v>26</v>
      </c>
      <c r="H868">
        <v>4.3200000000000002E-2</v>
      </c>
      <c r="I868">
        <v>252.57142899999999</v>
      </c>
      <c r="J868">
        <v>4.6960000000000002E-2</v>
      </c>
      <c r="K868">
        <v>787.57142899999997</v>
      </c>
      <c r="L868">
        <v>4.5100000000000001E-2</v>
      </c>
      <c r="M868" s="13">
        <v>1309.2857100000001</v>
      </c>
    </row>
    <row r="869" spans="1:13" x14ac:dyDescent="0.2">
      <c r="A869">
        <v>867</v>
      </c>
      <c r="B869">
        <v>20060119</v>
      </c>
      <c r="C869" s="13">
        <v>1</v>
      </c>
      <c r="D869" s="9">
        <v>4.3557999999999999E-2</v>
      </c>
      <c r="E869" s="13">
        <v>13</v>
      </c>
      <c r="F869">
        <v>4.4672000000000003E-2</v>
      </c>
      <c r="G869" s="13">
        <v>26</v>
      </c>
      <c r="H869">
        <v>4.2950000000000002E-2</v>
      </c>
      <c r="I869">
        <v>251.57142899999999</v>
      </c>
      <c r="J869">
        <v>4.6390000000000001E-2</v>
      </c>
      <c r="K869">
        <v>786.57142899999997</v>
      </c>
      <c r="L869">
        <v>4.4929999999999998E-2</v>
      </c>
      <c r="M869" s="13">
        <v>1308.2857100000001</v>
      </c>
    </row>
    <row r="870" spans="1:13" x14ac:dyDescent="0.2">
      <c r="A870">
        <v>868</v>
      </c>
      <c r="B870">
        <v>20060126</v>
      </c>
      <c r="C870" s="13">
        <v>1</v>
      </c>
      <c r="D870" s="9">
        <v>4.4491000000000003E-2</v>
      </c>
      <c r="E870" s="13">
        <v>13</v>
      </c>
      <c r="F870">
        <v>4.5414000000000003E-2</v>
      </c>
      <c r="G870" s="13">
        <v>26</v>
      </c>
      <c r="H870">
        <v>4.41E-2</v>
      </c>
      <c r="I870">
        <v>250.57142899999999</v>
      </c>
      <c r="J870">
        <v>4.7960000000000003E-2</v>
      </c>
      <c r="K870">
        <v>785.57142899999997</v>
      </c>
      <c r="L870">
        <v>4.6440000000000002E-2</v>
      </c>
      <c r="M870" s="13">
        <v>1307.2857100000001</v>
      </c>
    </row>
    <row r="871" spans="1:13" x14ac:dyDescent="0.2">
      <c r="A871">
        <v>869</v>
      </c>
      <c r="B871">
        <v>20060202</v>
      </c>
      <c r="C871" s="13">
        <v>1</v>
      </c>
      <c r="D871" s="9">
        <v>4.4802000000000002E-2</v>
      </c>
      <c r="E871" s="13">
        <v>13</v>
      </c>
      <c r="F871">
        <v>4.6156000000000003E-2</v>
      </c>
      <c r="G871" s="13">
        <v>26</v>
      </c>
      <c r="H871">
        <v>4.48E-2</v>
      </c>
      <c r="I871">
        <v>249.57142899999999</v>
      </c>
      <c r="J871">
        <v>4.7840000000000001E-2</v>
      </c>
      <c r="K871">
        <v>784.57142899999997</v>
      </c>
      <c r="L871">
        <v>4.6350000000000002E-2</v>
      </c>
      <c r="M871" s="13">
        <v>1306.2857100000001</v>
      </c>
    </row>
    <row r="872" spans="1:13" x14ac:dyDescent="0.2">
      <c r="A872">
        <v>870</v>
      </c>
      <c r="B872">
        <v>20060209</v>
      </c>
      <c r="C872" s="13">
        <v>1</v>
      </c>
      <c r="D872" s="9">
        <v>4.5217E-2</v>
      </c>
      <c r="E872" s="13">
        <v>13</v>
      </c>
      <c r="F872">
        <v>4.6686999999999999E-2</v>
      </c>
      <c r="G872" s="13">
        <v>26</v>
      </c>
      <c r="H872">
        <v>4.5499999999999999E-2</v>
      </c>
      <c r="I872">
        <v>248.57142899999999</v>
      </c>
      <c r="J872">
        <v>4.759E-2</v>
      </c>
      <c r="K872">
        <v>783.57142899999997</v>
      </c>
      <c r="L872">
        <v>4.5650000000000003E-2</v>
      </c>
      <c r="M872" s="13">
        <v>1305.2857100000001</v>
      </c>
    </row>
    <row r="873" spans="1:13" x14ac:dyDescent="0.2">
      <c r="A873">
        <v>871</v>
      </c>
      <c r="B873">
        <v>20060216</v>
      </c>
      <c r="C873" s="13">
        <v>1</v>
      </c>
      <c r="D873" s="9">
        <v>4.5527999999999999E-2</v>
      </c>
      <c r="E873" s="13">
        <v>13</v>
      </c>
      <c r="F873">
        <v>4.6899000000000003E-2</v>
      </c>
      <c r="G873" s="13">
        <v>26</v>
      </c>
      <c r="H873">
        <v>4.5949999999999998E-2</v>
      </c>
      <c r="I873">
        <v>247.57142899999999</v>
      </c>
      <c r="J873">
        <v>4.8009999999999997E-2</v>
      </c>
      <c r="K873">
        <v>782.57142899999997</v>
      </c>
      <c r="L873">
        <v>4.6039999999999998E-2</v>
      </c>
      <c r="M873" s="13">
        <v>1304.2857100000001</v>
      </c>
    </row>
    <row r="874" spans="1:13" x14ac:dyDescent="0.2">
      <c r="A874">
        <v>872</v>
      </c>
      <c r="B874">
        <v>20060223</v>
      </c>
      <c r="C874" s="13">
        <v>1</v>
      </c>
      <c r="D874" s="9">
        <v>4.5941999999999997E-2</v>
      </c>
      <c r="E874" s="13">
        <v>13</v>
      </c>
      <c r="F874">
        <v>4.7323999999999998E-2</v>
      </c>
      <c r="G874" s="13">
        <v>26</v>
      </c>
      <c r="H874">
        <v>4.675E-2</v>
      </c>
      <c r="I874">
        <v>246.57142899999999</v>
      </c>
      <c r="J874">
        <v>4.7309999999999998E-2</v>
      </c>
      <c r="K874">
        <v>781.57142899999997</v>
      </c>
      <c r="L874">
        <v>4.5130000000000003E-2</v>
      </c>
      <c r="M874" s="13">
        <v>1303.2857100000001</v>
      </c>
    </row>
    <row r="875" spans="1:13" x14ac:dyDescent="0.2">
      <c r="A875">
        <v>873</v>
      </c>
      <c r="B875">
        <v>20060302</v>
      </c>
      <c r="C875" s="13">
        <v>1</v>
      </c>
      <c r="D875" s="9">
        <v>4.6149999999999997E-2</v>
      </c>
      <c r="E875" s="13">
        <v>13</v>
      </c>
      <c r="F875">
        <v>4.7537000000000003E-2</v>
      </c>
      <c r="G875" s="13">
        <v>26</v>
      </c>
      <c r="H875">
        <v>4.6550000000000001E-2</v>
      </c>
      <c r="I875">
        <v>260.57142900000002</v>
      </c>
      <c r="J875">
        <v>4.8309999999999999E-2</v>
      </c>
      <c r="K875">
        <v>780.57142899999997</v>
      </c>
      <c r="L875">
        <v>4.6129999999999997E-2</v>
      </c>
      <c r="M875" s="13">
        <v>1302.2857100000001</v>
      </c>
    </row>
    <row r="876" spans="1:13" x14ac:dyDescent="0.2">
      <c r="A876">
        <v>874</v>
      </c>
      <c r="B876">
        <v>20060309</v>
      </c>
      <c r="C876" s="13">
        <v>1</v>
      </c>
      <c r="D876" s="9">
        <v>4.5941999999999997E-2</v>
      </c>
      <c r="E876" s="13">
        <v>13</v>
      </c>
      <c r="F876">
        <v>4.7749E-2</v>
      </c>
      <c r="G876" s="13">
        <v>26</v>
      </c>
      <c r="H876">
        <v>4.7199999999999999E-2</v>
      </c>
      <c r="I876">
        <v>259.57142900000002</v>
      </c>
      <c r="J876">
        <v>4.9549999999999997E-2</v>
      </c>
      <c r="K876">
        <v>779.57142899999997</v>
      </c>
      <c r="L876">
        <v>4.7230000000000001E-2</v>
      </c>
      <c r="M876" s="13">
        <v>1301.2857100000001</v>
      </c>
    </row>
    <row r="877" spans="1:13" x14ac:dyDescent="0.2">
      <c r="A877">
        <v>875</v>
      </c>
      <c r="B877">
        <v>20060316</v>
      </c>
      <c r="C877" s="13">
        <v>1</v>
      </c>
      <c r="D877" s="9">
        <v>4.6149999999999997E-2</v>
      </c>
      <c r="E877" s="13">
        <v>13</v>
      </c>
      <c r="F877">
        <v>4.7749E-2</v>
      </c>
      <c r="G877" s="13">
        <v>26</v>
      </c>
      <c r="H877">
        <v>4.5699999999999998E-2</v>
      </c>
      <c r="I877">
        <v>258.57142900000002</v>
      </c>
      <c r="J877">
        <v>4.9099999999999998E-2</v>
      </c>
      <c r="K877">
        <v>778.57142899999997</v>
      </c>
      <c r="L877">
        <v>4.7120000000000002E-2</v>
      </c>
      <c r="M877" s="13">
        <v>1300.2857100000001</v>
      </c>
    </row>
    <row r="878" spans="1:13" x14ac:dyDescent="0.2">
      <c r="A878">
        <v>876</v>
      </c>
      <c r="B878">
        <v>20060323</v>
      </c>
      <c r="C878" s="13">
        <v>1</v>
      </c>
      <c r="D878" s="9">
        <v>4.6669000000000002E-2</v>
      </c>
      <c r="E878" s="13">
        <v>13</v>
      </c>
      <c r="F878">
        <v>4.7749E-2</v>
      </c>
      <c r="G878" s="13">
        <v>26</v>
      </c>
      <c r="H878">
        <v>4.7100000000000003E-2</v>
      </c>
      <c r="I878">
        <v>257.57142900000002</v>
      </c>
      <c r="J878">
        <v>4.981E-2</v>
      </c>
      <c r="K878">
        <v>777.57142899999997</v>
      </c>
      <c r="L878">
        <v>4.786E-2</v>
      </c>
      <c r="M878" s="13">
        <v>1299.2857100000001</v>
      </c>
    </row>
    <row r="879" spans="1:13" x14ac:dyDescent="0.2">
      <c r="A879">
        <v>877</v>
      </c>
      <c r="B879">
        <v>20060330</v>
      </c>
      <c r="C879" s="13">
        <v>1</v>
      </c>
      <c r="D879" s="9">
        <v>4.6149999999999997E-2</v>
      </c>
      <c r="E879" s="13">
        <v>13</v>
      </c>
      <c r="F879">
        <v>4.8386999999999999E-2</v>
      </c>
      <c r="G879" s="13">
        <v>26</v>
      </c>
      <c r="H879">
        <v>4.7899999999999998E-2</v>
      </c>
      <c r="I879">
        <v>256.57142900000002</v>
      </c>
      <c r="J879">
        <v>5.1209999999999999E-2</v>
      </c>
      <c r="K879">
        <v>776.57142899999997</v>
      </c>
      <c r="L879">
        <v>4.9349999999999998E-2</v>
      </c>
      <c r="M879" s="13">
        <v>1298.2857100000001</v>
      </c>
    </row>
    <row r="880" spans="1:13" x14ac:dyDescent="0.2">
      <c r="A880">
        <v>878</v>
      </c>
      <c r="B880">
        <v>20060406</v>
      </c>
      <c r="C880" s="13">
        <v>1</v>
      </c>
      <c r="D880" s="9">
        <v>4.6772000000000001E-2</v>
      </c>
      <c r="E880" s="13">
        <v>13</v>
      </c>
      <c r="F880">
        <v>4.8494000000000002E-2</v>
      </c>
      <c r="G880" s="13">
        <v>26</v>
      </c>
      <c r="H880">
        <v>4.8000000000000001E-2</v>
      </c>
      <c r="I880">
        <v>255.57142899999999</v>
      </c>
      <c r="J880">
        <v>5.1920000000000001E-2</v>
      </c>
      <c r="K880">
        <v>775.57142899999997</v>
      </c>
      <c r="L880">
        <v>5.0169999999999999E-2</v>
      </c>
      <c r="M880" s="13">
        <v>1297.2857100000001</v>
      </c>
    </row>
    <row r="881" spans="1:13" x14ac:dyDescent="0.2">
      <c r="A881">
        <v>879</v>
      </c>
      <c r="B881">
        <v>20060413</v>
      </c>
      <c r="C881" s="13">
        <v>1</v>
      </c>
      <c r="D881" s="9">
        <v>4.6980000000000001E-2</v>
      </c>
      <c r="E881" s="13">
        <v>13</v>
      </c>
      <c r="F881">
        <v>4.9451000000000002E-2</v>
      </c>
      <c r="G881" s="13">
        <v>26</v>
      </c>
      <c r="H881">
        <v>4.9250000000000002E-2</v>
      </c>
      <c r="I881">
        <v>254.57142899999999</v>
      </c>
      <c r="J881">
        <v>5.3440000000000001E-2</v>
      </c>
      <c r="K881">
        <v>774.57142899999997</v>
      </c>
      <c r="L881">
        <v>5.1479999999999998E-2</v>
      </c>
      <c r="M881" s="13">
        <v>1296.2857100000001</v>
      </c>
    </row>
    <row r="882" spans="1:13" x14ac:dyDescent="0.2">
      <c r="A882">
        <v>880</v>
      </c>
      <c r="B882">
        <v>20060420</v>
      </c>
      <c r="C882" s="13">
        <v>1</v>
      </c>
      <c r="D882" s="9">
        <v>4.7291E-2</v>
      </c>
      <c r="E882" s="13">
        <v>13</v>
      </c>
      <c r="F882">
        <v>4.9024999999999999E-2</v>
      </c>
      <c r="G882" s="13">
        <v>26</v>
      </c>
      <c r="H882">
        <v>4.8899999999999999E-2</v>
      </c>
      <c r="I882">
        <v>253.57142899999999</v>
      </c>
      <c r="J882">
        <v>5.3600000000000002E-2</v>
      </c>
      <c r="K882">
        <v>786.28571399999998</v>
      </c>
      <c r="L882">
        <v>5.1880000000000003E-2</v>
      </c>
      <c r="M882" s="13">
        <v>1295.2857100000001</v>
      </c>
    </row>
    <row r="883" spans="1:13" x14ac:dyDescent="0.2">
      <c r="A883">
        <v>881</v>
      </c>
      <c r="B883">
        <v>20060427</v>
      </c>
      <c r="C883" s="13">
        <v>1</v>
      </c>
      <c r="D883" s="9">
        <v>4.7809999999999998E-2</v>
      </c>
      <c r="E883" s="13">
        <v>13</v>
      </c>
      <c r="F883">
        <v>4.9345E-2</v>
      </c>
      <c r="G883" s="13">
        <v>26</v>
      </c>
      <c r="H883">
        <v>4.9149999999999999E-2</v>
      </c>
      <c r="I883">
        <v>252.57142899999999</v>
      </c>
      <c r="J883">
        <v>5.3780000000000001E-2</v>
      </c>
      <c r="K883">
        <v>785.28571399999998</v>
      </c>
      <c r="L883">
        <v>5.2209999999999999E-2</v>
      </c>
      <c r="M883" s="13">
        <v>1294.2857100000001</v>
      </c>
    </row>
    <row r="884" spans="1:13" x14ac:dyDescent="0.2">
      <c r="A884">
        <v>882</v>
      </c>
      <c r="B884">
        <v>20060504</v>
      </c>
      <c r="C884" s="13">
        <v>1</v>
      </c>
      <c r="D884" s="9">
        <v>4.8017999999999998E-2</v>
      </c>
      <c r="E884" s="13">
        <v>13</v>
      </c>
      <c r="F884">
        <v>5.0090000000000003E-2</v>
      </c>
      <c r="G884" s="13">
        <v>26</v>
      </c>
      <c r="H884">
        <v>4.9950000000000001E-2</v>
      </c>
      <c r="I884">
        <v>251.57142899999999</v>
      </c>
      <c r="J884">
        <v>5.4530000000000002E-2</v>
      </c>
      <c r="K884">
        <v>784.28571399999998</v>
      </c>
      <c r="L884">
        <v>5.289E-2</v>
      </c>
      <c r="M884" s="13">
        <v>1293.2857100000001</v>
      </c>
    </row>
    <row r="885" spans="1:13" x14ac:dyDescent="0.2">
      <c r="A885">
        <v>883</v>
      </c>
      <c r="B885">
        <v>20060511</v>
      </c>
      <c r="C885" s="13">
        <v>1</v>
      </c>
      <c r="D885" s="9">
        <v>4.8225999999999998E-2</v>
      </c>
      <c r="E885" s="13">
        <v>13</v>
      </c>
      <c r="F885">
        <v>4.9876999999999998E-2</v>
      </c>
      <c r="G885" s="13">
        <v>26</v>
      </c>
      <c r="H885">
        <v>0.05</v>
      </c>
      <c r="I885">
        <v>250.57142899999999</v>
      </c>
      <c r="J885">
        <v>5.4429999999999999E-2</v>
      </c>
      <c r="K885">
        <v>783.28571399999998</v>
      </c>
      <c r="L885">
        <v>5.28E-2</v>
      </c>
      <c r="M885" s="13">
        <v>1292.2857100000001</v>
      </c>
    </row>
    <row r="886" spans="1:13" x14ac:dyDescent="0.2">
      <c r="A886">
        <v>884</v>
      </c>
      <c r="B886">
        <v>20060518</v>
      </c>
      <c r="C886" s="13">
        <v>1</v>
      </c>
      <c r="D886" s="9">
        <v>4.8329999999999998E-2</v>
      </c>
      <c r="E886" s="13">
        <v>13</v>
      </c>
      <c r="F886">
        <v>4.9771000000000003E-2</v>
      </c>
      <c r="G886" s="13">
        <v>26</v>
      </c>
      <c r="H886">
        <v>4.9050000000000003E-2</v>
      </c>
      <c r="I886">
        <v>249.57142899999999</v>
      </c>
      <c r="J886">
        <v>5.3659999999999999E-2</v>
      </c>
      <c r="K886">
        <v>782.28571399999998</v>
      </c>
      <c r="L886">
        <v>5.2170000000000001E-2</v>
      </c>
      <c r="M886" s="13">
        <v>1291.2857100000001</v>
      </c>
    </row>
    <row r="887" spans="1:13" x14ac:dyDescent="0.2">
      <c r="A887">
        <v>885</v>
      </c>
      <c r="B887">
        <v>20060525</v>
      </c>
      <c r="C887" s="13">
        <v>1</v>
      </c>
      <c r="D887" s="9">
        <v>4.8225999999999998E-2</v>
      </c>
      <c r="E887" s="13">
        <v>13</v>
      </c>
      <c r="F887">
        <v>5.0090000000000003E-2</v>
      </c>
      <c r="G887" s="13">
        <v>26.142856999999999</v>
      </c>
      <c r="H887">
        <v>4.9399999999999999E-2</v>
      </c>
      <c r="I887">
        <v>248.57142899999999</v>
      </c>
      <c r="J887">
        <v>5.3710000000000001E-2</v>
      </c>
      <c r="K887">
        <v>781.28571399999998</v>
      </c>
      <c r="L887">
        <v>5.212E-2</v>
      </c>
      <c r="M887" s="13">
        <v>1290.2857100000001</v>
      </c>
    </row>
    <row r="888" spans="1:13" x14ac:dyDescent="0.2">
      <c r="A888">
        <v>886</v>
      </c>
      <c r="B888">
        <v>20060601</v>
      </c>
      <c r="C888" s="13">
        <v>1</v>
      </c>
      <c r="D888" s="9">
        <v>4.8329999999999998E-2</v>
      </c>
      <c r="E888" s="13">
        <v>13</v>
      </c>
      <c r="F888">
        <v>5.0623000000000001E-2</v>
      </c>
      <c r="G888" s="13">
        <v>26</v>
      </c>
      <c r="H888">
        <v>4.9950000000000001E-2</v>
      </c>
      <c r="I888">
        <v>247.57142899999999</v>
      </c>
      <c r="J888">
        <v>5.4039999999999998E-2</v>
      </c>
      <c r="K888">
        <v>780.28571399999998</v>
      </c>
      <c r="L888">
        <v>5.2310000000000002E-2</v>
      </c>
      <c r="M888" s="13">
        <v>1289.2857100000001</v>
      </c>
    </row>
    <row r="889" spans="1:13" x14ac:dyDescent="0.2">
      <c r="A889">
        <v>887</v>
      </c>
      <c r="B889">
        <v>20060608</v>
      </c>
      <c r="C889" s="13">
        <v>1</v>
      </c>
      <c r="D889" s="9">
        <v>4.8640999999999997E-2</v>
      </c>
      <c r="E889" s="13">
        <v>13</v>
      </c>
      <c r="F889">
        <v>5.0623000000000001E-2</v>
      </c>
      <c r="G889" s="13">
        <v>26</v>
      </c>
      <c r="H889">
        <v>4.9299999999999997E-2</v>
      </c>
      <c r="I889">
        <v>246.57142899999999</v>
      </c>
      <c r="J889">
        <v>5.2609999999999997E-2</v>
      </c>
      <c r="K889">
        <v>779.28571399999998</v>
      </c>
      <c r="L889">
        <v>5.0750000000000003E-2</v>
      </c>
      <c r="M889" s="13">
        <v>1288.2857100000001</v>
      </c>
    </row>
    <row r="890" spans="1:13" x14ac:dyDescent="0.2">
      <c r="A890">
        <v>888</v>
      </c>
      <c r="B890">
        <v>20060615</v>
      </c>
      <c r="C890" s="13">
        <v>1</v>
      </c>
      <c r="D890" s="9">
        <v>4.8432999999999997E-2</v>
      </c>
      <c r="E890" s="13">
        <v>13</v>
      </c>
      <c r="F890">
        <v>5.1582000000000003E-2</v>
      </c>
      <c r="G890" s="13">
        <v>26</v>
      </c>
      <c r="H890">
        <v>5.0500000000000003E-2</v>
      </c>
      <c r="I890">
        <v>245.57142899999999</v>
      </c>
      <c r="J890">
        <v>5.3379999999999997E-2</v>
      </c>
      <c r="K890">
        <v>778.28571399999998</v>
      </c>
      <c r="L890">
        <v>5.1490000000000001E-2</v>
      </c>
      <c r="M890" s="13">
        <v>1287.2857100000001</v>
      </c>
    </row>
    <row r="891" spans="1:13" x14ac:dyDescent="0.2">
      <c r="A891">
        <v>889</v>
      </c>
      <c r="B891">
        <v>20060622</v>
      </c>
      <c r="C891" s="13">
        <v>1</v>
      </c>
      <c r="D891" s="9">
        <v>4.9161000000000003E-2</v>
      </c>
      <c r="E891" s="13">
        <v>13</v>
      </c>
      <c r="F891">
        <v>5.2436000000000003E-2</v>
      </c>
      <c r="G891" s="13">
        <v>26</v>
      </c>
      <c r="H891">
        <v>5.1450000000000003E-2</v>
      </c>
      <c r="I891">
        <v>268.57142900000002</v>
      </c>
      <c r="J891">
        <v>5.45E-2</v>
      </c>
      <c r="K891">
        <v>777.28571399999998</v>
      </c>
      <c r="L891">
        <v>5.2449999999999997E-2</v>
      </c>
      <c r="M891" s="13">
        <v>1286.2857100000001</v>
      </c>
    </row>
    <row r="892" spans="1:13" x14ac:dyDescent="0.2">
      <c r="A892">
        <v>890</v>
      </c>
      <c r="B892">
        <v>20060629</v>
      </c>
      <c r="C892" s="13">
        <v>1</v>
      </c>
      <c r="D892" s="9">
        <v>5.0096000000000002E-2</v>
      </c>
      <c r="E892" s="13">
        <v>13</v>
      </c>
      <c r="F892">
        <v>5.2650000000000002E-2</v>
      </c>
      <c r="G892" s="13">
        <v>26</v>
      </c>
      <c r="H892">
        <v>5.1110000000000003E-2</v>
      </c>
      <c r="I892">
        <v>267.57142900000002</v>
      </c>
      <c r="J892">
        <v>5.4440000000000002E-2</v>
      </c>
      <c r="K892">
        <v>776.28571399999998</v>
      </c>
      <c r="L892">
        <v>5.2490000000000002E-2</v>
      </c>
      <c r="M892" s="13">
        <v>1285.2857100000001</v>
      </c>
    </row>
    <row r="893" spans="1:13" x14ac:dyDescent="0.2">
      <c r="A893">
        <v>891</v>
      </c>
      <c r="B893">
        <v>20060706</v>
      </c>
      <c r="C893" s="13">
        <v>1</v>
      </c>
      <c r="D893" s="9">
        <v>4.9992000000000002E-2</v>
      </c>
      <c r="E893" s="13">
        <v>13</v>
      </c>
      <c r="F893">
        <v>5.3076999999999999E-2</v>
      </c>
      <c r="G893" s="13">
        <v>26</v>
      </c>
      <c r="H893">
        <v>5.0979999999999998E-2</v>
      </c>
      <c r="I893">
        <v>266.57142900000002</v>
      </c>
      <c r="J893">
        <v>5.407E-2</v>
      </c>
      <c r="K893">
        <v>775.28571399999998</v>
      </c>
      <c r="L893">
        <v>5.2150000000000002E-2</v>
      </c>
      <c r="M893" s="13">
        <v>1284.2857100000001</v>
      </c>
    </row>
    <row r="894" spans="1:13" x14ac:dyDescent="0.2">
      <c r="A894">
        <v>892</v>
      </c>
      <c r="B894">
        <v>20060713</v>
      </c>
      <c r="C894" s="13">
        <v>1</v>
      </c>
      <c r="D894" s="9">
        <v>5.0512000000000001E-2</v>
      </c>
      <c r="E894" s="13">
        <v>13</v>
      </c>
      <c r="F894">
        <v>5.2755999999999997E-2</v>
      </c>
      <c r="G894" s="13">
        <v>26</v>
      </c>
      <c r="H894">
        <v>4.9880000000000001E-2</v>
      </c>
      <c r="I894">
        <v>265.57142900000002</v>
      </c>
      <c r="J894">
        <v>5.2929999999999998E-2</v>
      </c>
      <c r="K894">
        <v>774.28571399999998</v>
      </c>
      <c r="L894">
        <v>5.1040000000000002E-2</v>
      </c>
      <c r="M894" s="13">
        <v>1283.2857100000001</v>
      </c>
    </row>
    <row r="895" spans="1:13" x14ac:dyDescent="0.2">
      <c r="A895">
        <v>893</v>
      </c>
      <c r="B895">
        <v>20060720</v>
      </c>
      <c r="C895" s="13">
        <v>1</v>
      </c>
      <c r="D895" s="9">
        <v>5.0823E-2</v>
      </c>
      <c r="E895" s="13">
        <v>13</v>
      </c>
      <c r="F895">
        <v>5.2436000000000003E-2</v>
      </c>
      <c r="G895" s="13">
        <v>26</v>
      </c>
      <c r="H895">
        <v>4.9299999999999997E-2</v>
      </c>
      <c r="I895">
        <v>264.57142900000002</v>
      </c>
      <c r="J895">
        <v>5.2839999999999998E-2</v>
      </c>
      <c r="K895">
        <v>786.42857100000003</v>
      </c>
      <c r="L895">
        <v>5.0779999999999999E-2</v>
      </c>
      <c r="M895" s="13">
        <v>1282.2857100000001</v>
      </c>
    </row>
    <row r="896" spans="1:13" x14ac:dyDescent="0.2">
      <c r="A896">
        <v>894</v>
      </c>
      <c r="B896">
        <v>20060727</v>
      </c>
      <c r="C896" s="13">
        <v>1</v>
      </c>
      <c r="D896" s="9">
        <v>5.1031E-2</v>
      </c>
      <c r="E896" s="13">
        <v>13</v>
      </c>
      <c r="F896">
        <v>5.2009E-2</v>
      </c>
      <c r="G896" s="13">
        <v>26</v>
      </c>
      <c r="H896">
        <v>4.9140000000000003E-2</v>
      </c>
      <c r="I896">
        <v>263.57142900000002</v>
      </c>
      <c r="J896">
        <v>5.2609999999999997E-2</v>
      </c>
      <c r="K896">
        <v>785.42857100000003</v>
      </c>
      <c r="L896">
        <v>5.1150000000000001E-2</v>
      </c>
      <c r="M896" s="13">
        <v>1281.2857100000001</v>
      </c>
    </row>
    <row r="897" spans="1:13" x14ac:dyDescent="0.2">
      <c r="A897">
        <v>895</v>
      </c>
      <c r="B897">
        <v>20060803</v>
      </c>
      <c r="C897" s="13">
        <v>1</v>
      </c>
      <c r="D897" s="9">
        <v>5.1135E-2</v>
      </c>
      <c r="E897" s="13">
        <v>13</v>
      </c>
      <c r="F897">
        <v>5.1901999999999997E-2</v>
      </c>
      <c r="G897" s="13">
        <v>26</v>
      </c>
      <c r="H897">
        <v>4.8349999999999997E-2</v>
      </c>
      <c r="I897">
        <v>262.57142900000002</v>
      </c>
      <c r="J897">
        <v>5.1819999999999998E-2</v>
      </c>
      <c r="K897">
        <v>784.42857100000003</v>
      </c>
      <c r="L897">
        <v>5.0630000000000001E-2</v>
      </c>
      <c r="M897" s="13">
        <v>1280.2857100000001</v>
      </c>
    </row>
    <row r="898" spans="1:13" x14ac:dyDescent="0.2">
      <c r="A898">
        <v>896</v>
      </c>
      <c r="B898">
        <v>20060810</v>
      </c>
      <c r="C898" s="13">
        <v>1</v>
      </c>
      <c r="D898" s="9">
        <v>5.0512000000000001E-2</v>
      </c>
      <c r="E898" s="13">
        <v>13</v>
      </c>
      <c r="F898">
        <v>5.1582000000000003E-2</v>
      </c>
      <c r="G898" s="13">
        <v>26</v>
      </c>
      <c r="H898">
        <v>4.8030000000000003E-2</v>
      </c>
      <c r="I898">
        <v>261.57142900000002</v>
      </c>
      <c r="J898">
        <v>5.2040000000000003E-2</v>
      </c>
      <c r="K898">
        <v>783.42857100000003</v>
      </c>
      <c r="L898">
        <v>5.0959999999999998E-2</v>
      </c>
      <c r="M898" s="13">
        <v>1279.2857100000001</v>
      </c>
    </row>
    <row r="899" spans="1:13" x14ac:dyDescent="0.2">
      <c r="A899">
        <v>897</v>
      </c>
      <c r="B899">
        <v>20060817</v>
      </c>
      <c r="C899" s="13">
        <v>1</v>
      </c>
      <c r="D899" s="9">
        <v>5.0927E-2</v>
      </c>
      <c r="E899" s="13">
        <v>13</v>
      </c>
      <c r="F899">
        <v>5.1796000000000002E-2</v>
      </c>
      <c r="G899" s="13">
        <v>26</v>
      </c>
      <c r="H899">
        <v>4.7460000000000002E-2</v>
      </c>
      <c r="I899">
        <v>260.57142900000002</v>
      </c>
      <c r="J899">
        <v>5.1310000000000001E-2</v>
      </c>
      <c r="K899">
        <v>782.42857100000003</v>
      </c>
      <c r="L899">
        <v>5.0250000000000003E-2</v>
      </c>
      <c r="M899" s="13">
        <v>1278.2857100000001</v>
      </c>
    </row>
    <row r="900" spans="1:13" x14ac:dyDescent="0.2">
      <c r="A900">
        <v>898</v>
      </c>
      <c r="B900">
        <v>20060824</v>
      </c>
      <c r="C900" s="13">
        <v>1</v>
      </c>
      <c r="D900" s="9">
        <v>5.0927E-2</v>
      </c>
      <c r="E900" s="13">
        <v>13.142856999999999</v>
      </c>
      <c r="F900">
        <v>5.1688999999999999E-2</v>
      </c>
      <c r="G900" s="13">
        <v>26</v>
      </c>
      <c r="H900">
        <v>4.6980000000000001E-2</v>
      </c>
      <c r="I900">
        <v>259.57142900000002</v>
      </c>
      <c r="J900">
        <v>5.0689999999999999E-2</v>
      </c>
      <c r="K900">
        <v>781.42857100000003</v>
      </c>
      <c r="L900">
        <v>4.9599999999999998E-2</v>
      </c>
      <c r="M900" s="13">
        <v>1277.2857100000001</v>
      </c>
    </row>
    <row r="901" spans="1:13" x14ac:dyDescent="0.2">
      <c r="A901">
        <v>899</v>
      </c>
      <c r="B901">
        <v>20060831</v>
      </c>
      <c r="C901" s="13">
        <v>1</v>
      </c>
      <c r="D901" s="9">
        <v>5.0512000000000001E-2</v>
      </c>
      <c r="E901" s="13">
        <v>13</v>
      </c>
      <c r="F901">
        <v>5.1156E-2</v>
      </c>
      <c r="G901" s="13">
        <v>26</v>
      </c>
      <c r="H901">
        <v>4.6199999999999998E-2</v>
      </c>
      <c r="I901">
        <v>258.57142900000002</v>
      </c>
      <c r="J901">
        <v>5.0070000000000003E-2</v>
      </c>
      <c r="K901">
        <v>780.42857100000003</v>
      </c>
      <c r="L901">
        <v>4.8989999999999999E-2</v>
      </c>
      <c r="M901" s="13">
        <v>1276.2857100000001</v>
      </c>
    </row>
    <row r="902" spans="1:13" x14ac:dyDescent="0.2">
      <c r="A902">
        <v>900</v>
      </c>
      <c r="B902">
        <v>20060907</v>
      </c>
      <c r="C902" s="13">
        <v>1</v>
      </c>
      <c r="D902" s="9">
        <v>4.9680000000000002E-2</v>
      </c>
      <c r="E902" s="13">
        <v>13</v>
      </c>
      <c r="F902">
        <v>5.1262000000000002E-2</v>
      </c>
      <c r="G902" s="13">
        <v>26</v>
      </c>
      <c r="H902">
        <v>4.6620000000000002E-2</v>
      </c>
      <c r="I902">
        <v>257.57142900000002</v>
      </c>
      <c r="J902">
        <v>5.0639999999999998E-2</v>
      </c>
      <c r="K902">
        <v>779.42857100000003</v>
      </c>
      <c r="L902">
        <v>4.9520000000000002E-2</v>
      </c>
      <c r="M902" s="13">
        <v>1275.2857100000001</v>
      </c>
    </row>
    <row r="903" spans="1:13" x14ac:dyDescent="0.2">
      <c r="A903">
        <v>901</v>
      </c>
      <c r="B903">
        <v>20060914</v>
      </c>
      <c r="C903" s="13">
        <v>1</v>
      </c>
      <c r="D903" s="9">
        <v>4.9472000000000002E-2</v>
      </c>
      <c r="E903" s="13">
        <v>13</v>
      </c>
      <c r="F903">
        <v>5.1156E-2</v>
      </c>
      <c r="G903" s="13">
        <v>26</v>
      </c>
      <c r="H903">
        <v>4.6800000000000001E-2</v>
      </c>
      <c r="I903">
        <v>256.57142900000002</v>
      </c>
      <c r="J903">
        <v>5.0500000000000003E-2</v>
      </c>
      <c r="K903">
        <v>778.42857100000003</v>
      </c>
      <c r="L903">
        <v>4.9320000000000003E-2</v>
      </c>
      <c r="M903" s="13">
        <v>1274.2857100000001</v>
      </c>
    </row>
    <row r="904" spans="1:13" x14ac:dyDescent="0.2">
      <c r="A904">
        <v>902</v>
      </c>
      <c r="B904">
        <v>20060921</v>
      </c>
      <c r="C904" s="13">
        <v>1</v>
      </c>
      <c r="D904" s="9">
        <v>4.9161000000000003E-2</v>
      </c>
      <c r="E904" s="13">
        <v>13</v>
      </c>
      <c r="F904">
        <v>5.0410000000000003E-2</v>
      </c>
      <c r="G904" s="13">
        <v>26</v>
      </c>
      <c r="H904">
        <v>4.5199999999999997E-2</v>
      </c>
      <c r="I904">
        <v>255.57142899999999</v>
      </c>
      <c r="J904">
        <v>4.9079999999999999E-2</v>
      </c>
      <c r="K904">
        <v>777.42857100000003</v>
      </c>
      <c r="L904">
        <v>4.8070000000000002E-2</v>
      </c>
      <c r="M904" s="13">
        <v>1273.2857100000001</v>
      </c>
    </row>
    <row r="905" spans="1:13" x14ac:dyDescent="0.2">
      <c r="A905">
        <v>903</v>
      </c>
      <c r="B905">
        <v>20060928</v>
      </c>
      <c r="C905" s="13">
        <v>1</v>
      </c>
      <c r="D905" s="9">
        <v>4.8744999999999997E-2</v>
      </c>
      <c r="E905" s="13">
        <v>13</v>
      </c>
      <c r="F905">
        <v>5.0090000000000003E-2</v>
      </c>
      <c r="G905" s="13">
        <v>26</v>
      </c>
      <c r="H905">
        <v>4.5100000000000001E-2</v>
      </c>
      <c r="I905">
        <v>254.57142899999999</v>
      </c>
      <c r="J905">
        <v>4.8759999999999998E-2</v>
      </c>
      <c r="K905">
        <v>776.42857100000003</v>
      </c>
      <c r="L905">
        <v>4.7910000000000001E-2</v>
      </c>
      <c r="M905" s="13">
        <v>1272.2857100000001</v>
      </c>
    </row>
    <row r="906" spans="1:13" x14ac:dyDescent="0.2">
      <c r="A906">
        <v>904</v>
      </c>
      <c r="B906">
        <v>20061005</v>
      </c>
      <c r="C906" s="13">
        <v>1</v>
      </c>
      <c r="D906" s="9">
        <v>4.9368000000000002E-2</v>
      </c>
      <c r="E906" s="13">
        <v>13</v>
      </c>
      <c r="F906">
        <v>5.0303E-2</v>
      </c>
      <c r="G906" s="13">
        <v>26</v>
      </c>
      <c r="H906">
        <v>4.4699999999999997E-2</v>
      </c>
      <c r="I906">
        <v>253.57142899999999</v>
      </c>
      <c r="J906">
        <v>4.8840000000000001E-2</v>
      </c>
      <c r="K906">
        <v>775.42857100000003</v>
      </c>
      <c r="L906">
        <v>4.7989999999999998E-2</v>
      </c>
      <c r="M906" s="13">
        <v>1271.2857100000001</v>
      </c>
    </row>
    <row r="907" spans="1:13" x14ac:dyDescent="0.2">
      <c r="A907">
        <v>905</v>
      </c>
      <c r="B907">
        <v>20061012</v>
      </c>
      <c r="C907" s="13">
        <v>1</v>
      </c>
      <c r="D907" s="9">
        <v>5.0615E-2</v>
      </c>
      <c r="E907" s="13">
        <v>13</v>
      </c>
      <c r="F907">
        <v>5.1262000000000002E-2</v>
      </c>
      <c r="G907" s="13">
        <v>26</v>
      </c>
      <c r="H907">
        <v>4.6670000000000003E-2</v>
      </c>
      <c r="I907">
        <v>252.57142899999999</v>
      </c>
      <c r="J907">
        <v>5.0340000000000003E-2</v>
      </c>
      <c r="K907">
        <v>774.42857100000003</v>
      </c>
      <c r="L907">
        <v>4.9459999999999997E-2</v>
      </c>
      <c r="M907" s="13">
        <v>1270.2857100000001</v>
      </c>
    </row>
    <row r="908" spans="1:13" x14ac:dyDescent="0.2">
      <c r="A908">
        <v>906</v>
      </c>
      <c r="B908">
        <v>20061019</v>
      </c>
      <c r="C908" s="13">
        <v>1</v>
      </c>
      <c r="D908" s="9">
        <v>5.1031E-2</v>
      </c>
      <c r="E908" s="13">
        <v>13</v>
      </c>
      <c r="F908">
        <v>5.1582000000000003E-2</v>
      </c>
      <c r="G908" s="13">
        <v>26</v>
      </c>
      <c r="H908">
        <v>4.6800000000000001E-2</v>
      </c>
      <c r="I908">
        <v>251.57142899999999</v>
      </c>
      <c r="J908">
        <v>5.0479999999999997E-2</v>
      </c>
      <c r="K908">
        <v>773.42857100000003</v>
      </c>
      <c r="L908">
        <v>4.9439999999999998E-2</v>
      </c>
      <c r="M908" s="13">
        <v>1269.2857100000001</v>
      </c>
    </row>
    <row r="909" spans="1:13" x14ac:dyDescent="0.2">
      <c r="A909">
        <v>907</v>
      </c>
      <c r="B909">
        <v>20061026</v>
      </c>
      <c r="C909" s="13">
        <v>1</v>
      </c>
      <c r="D909" s="9">
        <v>5.1239E-2</v>
      </c>
      <c r="E909" s="13">
        <v>13</v>
      </c>
      <c r="F909">
        <v>5.1796000000000002E-2</v>
      </c>
      <c r="G909" s="13">
        <v>26</v>
      </c>
      <c r="H909">
        <v>4.6179999999999999E-2</v>
      </c>
      <c r="I909">
        <v>250.57142899999999</v>
      </c>
      <c r="J909">
        <v>4.9779999999999998E-2</v>
      </c>
      <c r="K909">
        <v>772.42857100000003</v>
      </c>
      <c r="L909">
        <v>4.8809999999999999E-2</v>
      </c>
      <c r="M909" s="13">
        <v>1268.2857100000001</v>
      </c>
    </row>
    <row r="910" spans="1:13" x14ac:dyDescent="0.2">
      <c r="A910">
        <v>908</v>
      </c>
      <c r="B910">
        <v>20061102</v>
      </c>
      <c r="C910" s="13">
        <v>1</v>
      </c>
      <c r="D910" s="9">
        <v>5.0719E-2</v>
      </c>
      <c r="E910" s="13">
        <v>13</v>
      </c>
      <c r="F910">
        <v>5.1262000000000002E-2</v>
      </c>
      <c r="G910" s="13">
        <v>26</v>
      </c>
      <c r="H910">
        <v>4.4749999999999998E-2</v>
      </c>
      <c r="I910">
        <v>249.57142899999999</v>
      </c>
      <c r="J910">
        <v>4.854E-2</v>
      </c>
      <c r="K910">
        <v>771.42857100000003</v>
      </c>
      <c r="L910">
        <v>4.761E-2</v>
      </c>
      <c r="M910" s="13">
        <v>1267.2857100000001</v>
      </c>
    </row>
    <row r="911" spans="1:13" x14ac:dyDescent="0.2">
      <c r="A911">
        <v>909</v>
      </c>
      <c r="B911">
        <v>20061109</v>
      </c>
      <c r="C911" s="13">
        <v>1</v>
      </c>
      <c r="D911" s="9">
        <v>5.0927E-2</v>
      </c>
      <c r="E911" s="13">
        <v>13</v>
      </c>
      <c r="F911">
        <v>5.1582000000000003E-2</v>
      </c>
      <c r="G911" s="13">
        <v>26</v>
      </c>
      <c r="H911">
        <v>4.5249999999999999E-2</v>
      </c>
      <c r="I911">
        <v>248.57142899999999</v>
      </c>
      <c r="J911">
        <v>4.8680000000000001E-2</v>
      </c>
      <c r="K911">
        <v>783.57142899999997</v>
      </c>
      <c r="L911">
        <v>4.7690000000000003E-2</v>
      </c>
      <c r="M911" s="13">
        <v>1266.2857100000001</v>
      </c>
    </row>
    <row r="912" spans="1:13" x14ac:dyDescent="0.2">
      <c r="A912">
        <v>910</v>
      </c>
      <c r="B912">
        <v>20061116</v>
      </c>
      <c r="C912" s="13">
        <v>1</v>
      </c>
      <c r="D912" s="9">
        <v>5.0927E-2</v>
      </c>
      <c r="E912" s="13">
        <v>13</v>
      </c>
      <c r="F912">
        <v>5.1688999999999999E-2</v>
      </c>
      <c r="G912" s="13">
        <v>26</v>
      </c>
      <c r="H912">
        <v>4.5949999999999998E-2</v>
      </c>
      <c r="I912">
        <v>247.57142899999999</v>
      </c>
      <c r="J912">
        <v>4.8930000000000001E-2</v>
      </c>
      <c r="K912">
        <v>782.57142899999997</v>
      </c>
      <c r="L912">
        <v>4.7780000000000003E-2</v>
      </c>
      <c r="M912" s="13">
        <v>1265.2857100000001</v>
      </c>
    </row>
    <row r="913" spans="1:13" x14ac:dyDescent="0.2">
      <c r="A913">
        <v>911</v>
      </c>
      <c r="B913">
        <v>20061122</v>
      </c>
      <c r="C913" s="13">
        <v>0.85714299999999999</v>
      </c>
      <c r="D913" s="9">
        <v>5.0519000000000001E-2</v>
      </c>
      <c r="E913" s="13">
        <v>13.142860000000001</v>
      </c>
      <c r="F913">
        <v>5.1483000000000001E-2</v>
      </c>
      <c r="G913" s="13">
        <v>26.142859999999999</v>
      </c>
      <c r="H913">
        <v>4.4850000000000001E-2</v>
      </c>
      <c r="I913">
        <v>246.71428599999999</v>
      </c>
      <c r="J913">
        <v>4.8000000000000001E-2</v>
      </c>
      <c r="K913">
        <v>781.71428600000002</v>
      </c>
      <c r="L913">
        <v>4.6980000000000001E-2</v>
      </c>
      <c r="M913" s="13">
        <v>1264.2857100000001</v>
      </c>
    </row>
    <row r="914" spans="1:13" x14ac:dyDescent="0.2">
      <c r="A914">
        <v>912</v>
      </c>
      <c r="B914">
        <v>20061130</v>
      </c>
      <c r="C914" s="13">
        <v>1.142857</v>
      </c>
      <c r="D914" s="9">
        <v>5.0304000000000001E-2</v>
      </c>
      <c r="E914" s="13">
        <v>13</v>
      </c>
      <c r="F914">
        <v>5.1048999999999997E-2</v>
      </c>
      <c r="G914" s="13">
        <v>26</v>
      </c>
      <c r="H914">
        <v>4.3770000000000003E-2</v>
      </c>
      <c r="I914">
        <v>245.57142899999999</v>
      </c>
      <c r="J914">
        <v>4.7129999999999998E-2</v>
      </c>
      <c r="K914">
        <v>780.57142899999997</v>
      </c>
      <c r="L914">
        <v>4.598E-2</v>
      </c>
      <c r="M914" s="13">
        <v>1263.2857100000001</v>
      </c>
    </row>
    <row r="915" spans="1:13" x14ac:dyDescent="0.2">
      <c r="A915">
        <v>913</v>
      </c>
      <c r="B915">
        <v>20061207</v>
      </c>
      <c r="C915" s="13">
        <v>1</v>
      </c>
      <c r="D915" s="9">
        <v>4.9784000000000002E-2</v>
      </c>
      <c r="E915" s="13">
        <v>13</v>
      </c>
      <c r="F915">
        <v>5.0515999999999998E-2</v>
      </c>
      <c r="G915" s="13">
        <v>26</v>
      </c>
      <c r="H915">
        <v>4.3999999999999997E-2</v>
      </c>
      <c r="I915">
        <v>269.42857099999998</v>
      </c>
      <c r="J915">
        <v>4.7460000000000002E-2</v>
      </c>
      <c r="K915">
        <v>779.57142899999997</v>
      </c>
      <c r="L915">
        <v>4.6489999999999997E-2</v>
      </c>
      <c r="M915" s="13">
        <v>1262.2857100000001</v>
      </c>
    </row>
    <row r="916" spans="1:13" x14ac:dyDescent="0.2">
      <c r="A916">
        <v>914</v>
      </c>
      <c r="B916">
        <v>20061214</v>
      </c>
      <c r="C916" s="13">
        <v>1</v>
      </c>
      <c r="D916" s="9">
        <v>4.9576000000000002E-2</v>
      </c>
      <c r="E916" s="13">
        <v>13</v>
      </c>
      <c r="F916">
        <v>5.0835999999999999E-2</v>
      </c>
      <c r="G916" s="13">
        <v>26</v>
      </c>
      <c r="H916">
        <v>4.5220000000000003E-2</v>
      </c>
      <c r="I916">
        <v>268.42857099999998</v>
      </c>
      <c r="J916">
        <v>4.863E-2</v>
      </c>
      <c r="K916">
        <v>778.57142899999997</v>
      </c>
      <c r="L916">
        <v>4.7699999999999999E-2</v>
      </c>
      <c r="M916" s="13">
        <v>1261.2857100000001</v>
      </c>
    </row>
    <row r="917" spans="1:13" x14ac:dyDescent="0.2">
      <c r="A917">
        <v>915</v>
      </c>
      <c r="B917">
        <v>20061221</v>
      </c>
      <c r="C917" s="13">
        <v>1</v>
      </c>
      <c r="D917" s="9">
        <v>4.9680000000000002E-2</v>
      </c>
      <c r="E917" s="13">
        <v>13</v>
      </c>
      <c r="F917">
        <v>5.0623000000000001E-2</v>
      </c>
      <c r="G917" s="13">
        <v>26</v>
      </c>
      <c r="H917">
        <v>4.4569999999999999E-2</v>
      </c>
      <c r="I917">
        <v>267.42857099999998</v>
      </c>
      <c r="J917">
        <v>4.829E-2</v>
      </c>
      <c r="K917">
        <v>777.57142899999997</v>
      </c>
      <c r="L917">
        <v>4.7309999999999998E-2</v>
      </c>
      <c r="M917" s="13">
        <v>1260.2857100000001</v>
      </c>
    </row>
    <row r="918" spans="1:13" x14ac:dyDescent="0.2">
      <c r="A918">
        <v>916</v>
      </c>
      <c r="B918">
        <v>20061228</v>
      </c>
      <c r="C918" s="13">
        <v>1</v>
      </c>
      <c r="D918" s="9">
        <v>4.9992000000000002E-2</v>
      </c>
      <c r="E918" s="13">
        <v>13</v>
      </c>
      <c r="F918">
        <v>5.1048999999999997E-2</v>
      </c>
      <c r="G918" s="13">
        <v>26</v>
      </c>
      <c r="H918">
        <v>4.6249999999999999E-2</v>
      </c>
      <c r="I918">
        <v>266.42857099999998</v>
      </c>
      <c r="J918">
        <v>4.9579999999999999E-2</v>
      </c>
      <c r="K918">
        <v>776.57142899999997</v>
      </c>
      <c r="L918">
        <v>4.8500000000000001E-2</v>
      </c>
      <c r="M918" s="13">
        <v>1259.2857100000001</v>
      </c>
    </row>
    <row r="919" spans="1:13" x14ac:dyDescent="0.2">
      <c r="A919">
        <v>917</v>
      </c>
      <c r="B919">
        <v>20070104</v>
      </c>
      <c r="C919" s="13">
        <v>1</v>
      </c>
      <c r="D919" s="9">
        <v>5.0408000000000001E-2</v>
      </c>
      <c r="E919" s="13">
        <v>13</v>
      </c>
      <c r="F919">
        <v>5.0729000000000003E-2</v>
      </c>
      <c r="G919" s="13">
        <v>26</v>
      </c>
      <c r="H919">
        <v>4.5449999999999997E-2</v>
      </c>
      <c r="I919">
        <v>265.42857099999998</v>
      </c>
      <c r="J919">
        <v>4.8619999999999997E-2</v>
      </c>
      <c r="K919">
        <v>775.57142899999997</v>
      </c>
      <c r="L919">
        <v>4.743E-2</v>
      </c>
      <c r="M919" s="13">
        <v>1258.2857100000001</v>
      </c>
    </row>
    <row r="920" spans="1:13" x14ac:dyDescent="0.2">
      <c r="A920">
        <v>918</v>
      </c>
      <c r="B920">
        <v>20070111</v>
      </c>
      <c r="C920" s="13">
        <v>1</v>
      </c>
      <c r="D920" s="9">
        <v>5.1135E-2</v>
      </c>
      <c r="E920" s="13">
        <v>13</v>
      </c>
      <c r="F920">
        <v>5.1476000000000001E-2</v>
      </c>
      <c r="G920" s="13">
        <v>26</v>
      </c>
      <c r="H920">
        <v>4.6769999999999999E-2</v>
      </c>
      <c r="I920">
        <v>264.42857099999998</v>
      </c>
      <c r="J920">
        <v>4.9770000000000002E-2</v>
      </c>
      <c r="K920">
        <v>774.57142899999997</v>
      </c>
      <c r="L920">
        <v>4.8460000000000003E-2</v>
      </c>
      <c r="M920" s="13">
        <v>1257.2857100000001</v>
      </c>
    </row>
    <row r="921" spans="1:13" x14ac:dyDescent="0.2">
      <c r="A921">
        <v>919</v>
      </c>
      <c r="B921">
        <v>20070118</v>
      </c>
      <c r="C921" s="13">
        <v>1</v>
      </c>
      <c r="D921" s="9">
        <v>5.1239E-2</v>
      </c>
      <c r="E921" s="13">
        <v>13</v>
      </c>
      <c r="F921">
        <v>5.1582000000000003E-2</v>
      </c>
      <c r="G921" s="13">
        <v>26</v>
      </c>
      <c r="H921">
        <v>4.7E-2</v>
      </c>
      <c r="I921">
        <v>263.42857099999998</v>
      </c>
      <c r="J921">
        <v>4.9930000000000002E-2</v>
      </c>
      <c r="K921">
        <v>773.57142899999997</v>
      </c>
      <c r="L921">
        <v>4.8649999999999999E-2</v>
      </c>
      <c r="M921" s="13">
        <v>1256.2857100000001</v>
      </c>
    </row>
    <row r="922" spans="1:13" x14ac:dyDescent="0.2">
      <c r="A922">
        <v>920</v>
      </c>
      <c r="B922">
        <v>20070125</v>
      </c>
      <c r="C922" s="13">
        <v>1</v>
      </c>
      <c r="D922" s="9">
        <v>5.1447E-2</v>
      </c>
      <c r="E922" s="13">
        <v>13</v>
      </c>
      <c r="F922">
        <v>5.1796000000000002E-2</v>
      </c>
      <c r="G922" s="13">
        <v>26</v>
      </c>
      <c r="H922">
        <v>4.8320000000000002E-2</v>
      </c>
      <c r="I922">
        <v>262.42857099999998</v>
      </c>
      <c r="J922">
        <v>5.117E-2</v>
      </c>
      <c r="K922">
        <v>772.57142899999997</v>
      </c>
      <c r="L922">
        <v>5.0090000000000003E-2</v>
      </c>
      <c r="M922" s="13">
        <v>1255.2857100000001</v>
      </c>
    </row>
    <row r="923" spans="1:13" x14ac:dyDescent="0.2">
      <c r="A923">
        <v>921</v>
      </c>
      <c r="B923">
        <v>20070201</v>
      </c>
      <c r="C923" s="13">
        <v>1</v>
      </c>
      <c r="D923" s="9">
        <v>5.1343E-2</v>
      </c>
      <c r="E923" s="13">
        <v>13</v>
      </c>
      <c r="F923">
        <v>5.1582000000000003E-2</v>
      </c>
      <c r="G923" s="13">
        <v>26</v>
      </c>
      <c r="H923">
        <v>4.8050000000000002E-2</v>
      </c>
      <c r="I923">
        <v>261.42857099999998</v>
      </c>
      <c r="J923">
        <v>5.0799999999999998E-2</v>
      </c>
      <c r="K923">
        <v>771.57142899999997</v>
      </c>
      <c r="L923">
        <v>4.9489999999999999E-2</v>
      </c>
      <c r="M923" s="13">
        <v>1254.2857100000001</v>
      </c>
    </row>
    <row r="924" spans="1:13" x14ac:dyDescent="0.2">
      <c r="A924">
        <v>922</v>
      </c>
      <c r="B924">
        <v>20070208</v>
      </c>
      <c r="C924" s="13">
        <v>1</v>
      </c>
      <c r="D924" s="9">
        <v>5.1655E-2</v>
      </c>
      <c r="E924" s="13">
        <v>13</v>
      </c>
      <c r="F924">
        <v>5.1582000000000003E-2</v>
      </c>
      <c r="G924" s="13">
        <v>26</v>
      </c>
      <c r="H924">
        <v>4.6829999999999997E-2</v>
      </c>
      <c r="I924">
        <v>260.42857099999998</v>
      </c>
      <c r="J924">
        <v>4.9880000000000001E-2</v>
      </c>
      <c r="K924">
        <v>770.57142899999997</v>
      </c>
      <c r="L924">
        <v>4.861E-2</v>
      </c>
      <c r="M924" s="13">
        <v>1253.2857100000001</v>
      </c>
    </row>
    <row r="925" spans="1:13" x14ac:dyDescent="0.2">
      <c r="A925">
        <v>923</v>
      </c>
      <c r="B925">
        <v>20070215</v>
      </c>
      <c r="C925" s="13">
        <v>1</v>
      </c>
      <c r="D925" s="9">
        <v>5.1655E-2</v>
      </c>
      <c r="E925" s="13">
        <v>13</v>
      </c>
      <c r="F925">
        <v>5.1476000000000001E-2</v>
      </c>
      <c r="G925" s="13">
        <v>26</v>
      </c>
      <c r="H925">
        <v>4.6399999999999997E-2</v>
      </c>
      <c r="I925">
        <v>259.42857099999998</v>
      </c>
      <c r="J925">
        <v>4.9579999999999999E-2</v>
      </c>
      <c r="K925">
        <v>769.57142899999997</v>
      </c>
      <c r="L925">
        <v>4.8529999999999997E-2</v>
      </c>
      <c r="M925" s="13">
        <v>1252.2857100000001</v>
      </c>
    </row>
    <row r="926" spans="1:13" x14ac:dyDescent="0.2">
      <c r="A926">
        <v>924</v>
      </c>
      <c r="B926">
        <v>20070222</v>
      </c>
      <c r="C926" s="13">
        <v>1</v>
      </c>
      <c r="D926" s="9">
        <v>5.1862999999999999E-2</v>
      </c>
      <c r="E926" s="13">
        <v>13</v>
      </c>
      <c r="F926">
        <v>5.1688999999999999E-2</v>
      </c>
      <c r="G926" s="13">
        <v>26</v>
      </c>
      <c r="H926">
        <v>4.6780000000000002E-2</v>
      </c>
      <c r="I926">
        <v>258.42857099999998</v>
      </c>
      <c r="J926">
        <v>4.9910000000000003E-2</v>
      </c>
      <c r="K926">
        <v>768.57142899999997</v>
      </c>
      <c r="L926">
        <v>4.8770000000000001E-2</v>
      </c>
      <c r="M926" s="13">
        <v>1251.2857100000001</v>
      </c>
    </row>
    <row r="927" spans="1:13" x14ac:dyDescent="0.2">
      <c r="A927">
        <v>925</v>
      </c>
      <c r="B927">
        <v>20070301</v>
      </c>
      <c r="C927" s="13">
        <v>1</v>
      </c>
      <c r="D927" s="9">
        <v>5.1343E-2</v>
      </c>
      <c r="E927" s="13">
        <v>13</v>
      </c>
      <c r="F927">
        <v>5.0943000000000002E-2</v>
      </c>
      <c r="G927" s="13">
        <v>26</v>
      </c>
      <c r="H927">
        <v>4.4670000000000001E-2</v>
      </c>
      <c r="I927">
        <v>257.42857099999998</v>
      </c>
      <c r="J927">
        <v>4.8329999999999998E-2</v>
      </c>
      <c r="K927">
        <v>767.57142899999997</v>
      </c>
      <c r="L927">
        <v>4.727E-2</v>
      </c>
      <c r="M927" s="13">
        <v>1250.2857100000001</v>
      </c>
    </row>
    <row r="928" spans="1:13" x14ac:dyDescent="0.2">
      <c r="A928">
        <v>926</v>
      </c>
      <c r="B928">
        <v>20070308</v>
      </c>
      <c r="C928" s="13">
        <v>1</v>
      </c>
      <c r="D928" s="9">
        <v>5.0823E-2</v>
      </c>
      <c r="E928" s="13">
        <v>13</v>
      </c>
      <c r="F928">
        <v>5.0729000000000003E-2</v>
      </c>
      <c r="G928" s="13">
        <v>26</v>
      </c>
      <c r="H928">
        <v>4.4130000000000003E-2</v>
      </c>
      <c r="I928">
        <v>256.42857099999998</v>
      </c>
      <c r="J928">
        <v>4.8079999999999998E-2</v>
      </c>
      <c r="K928">
        <v>766.57142899999997</v>
      </c>
      <c r="L928">
        <v>4.7109999999999999E-2</v>
      </c>
      <c r="M928" s="13">
        <v>1249.2857100000001</v>
      </c>
    </row>
    <row r="929" spans="1:13" x14ac:dyDescent="0.2">
      <c r="A929">
        <v>927</v>
      </c>
      <c r="B929">
        <v>20070315</v>
      </c>
      <c r="C929" s="13">
        <v>1</v>
      </c>
      <c r="D929" s="9">
        <v>5.0408000000000001E-2</v>
      </c>
      <c r="E929" s="13">
        <v>13</v>
      </c>
      <c r="F929">
        <v>5.1048999999999997E-2</v>
      </c>
      <c r="G929" s="13">
        <v>26</v>
      </c>
      <c r="H929">
        <v>4.4089999999999997E-2</v>
      </c>
      <c r="I929">
        <v>255.42857100000001</v>
      </c>
      <c r="J929">
        <v>4.8430000000000001E-2</v>
      </c>
      <c r="K929">
        <v>765.57142899999997</v>
      </c>
      <c r="L929">
        <v>4.7480000000000001E-2</v>
      </c>
      <c r="M929" s="13">
        <v>1248.2857100000001</v>
      </c>
    </row>
    <row r="930" spans="1:13" x14ac:dyDescent="0.2">
      <c r="A930">
        <v>928</v>
      </c>
      <c r="B930">
        <v>20070322</v>
      </c>
      <c r="C930" s="13">
        <v>1</v>
      </c>
      <c r="D930" s="9">
        <v>5.0512000000000001E-2</v>
      </c>
      <c r="E930" s="13">
        <v>13</v>
      </c>
      <c r="F930">
        <v>5.0729000000000003E-2</v>
      </c>
      <c r="G930" s="13">
        <v>26</v>
      </c>
      <c r="H930">
        <v>4.428E-2</v>
      </c>
      <c r="I930">
        <v>254.42857100000001</v>
      </c>
      <c r="J930">
        <v>4.9189999999999998E-2</v>
      </c>
      <c r="K930">
        <v>764.57142899999997</v>
      </c>
      <c r="L930">
        <v>4.8340000000000001E-2</v>
      </c>
      <c r="M930" s="13">
        <v>1247.2857100000001</v>
      </c>
    </row>
    <row r="931" spans="1:13" x14ac:dyDescent="0.2">
      <c r="A931">
        <v>929</v>
      </c>
      <c r="B931">
        <v>20070329</v>
      </c>
      <c r="C931" s="13">
        <v>1</v>
      </c>
      <c r="D931" s="9">
        <v>5.0408000000000001E-2</v>
      </c>
      <c r="E931" s="13">
        <v>13</v>
      </c>
      <c r="F931">
        <v>5.0515999999999998E-2</v>
      </c>
      <c r="G931" s="13">
        <v>26</v>
      </c>
      <c r="H931">
        <v>4.48E-2</v>
      </c>
      <c r="I931">
        <v>253.42857100000001</v>
      </c>
      <c r="J931">
        <v>4.9860000000000002E-2</v>
      </c>
      <c r="K931">
        <v>763.57142899999997</v>
      </c>
      <c r="L931">
        <v>4.897E-2</v>
      </c>
      <c r="M931" s="13">
        <v>1246.2857100000001</v>
      </c>
    </row>
    <row r="932" spans="1:13" x14ac:dyDescent="0.2">
      <c r="A932">
        <v>930</v>
      </c>
      <c r="B932">
        <v>20070405</v>
      </c>
      <c r="C932" s="13">
        <v>1</v>
      </c>
      <c r="D932" s="9">
        <v>5.0304000000000001E-2</v>
      </c>
      <c r="E932" s="13">
        <v>13</v>
      </c>
      <c r="F932">
        <v>5.0623000000000001E-2</v>
      </c>
      <c r="G932" s="13">
        <v>26</v>
      </c>
      <c r="H932">
        <v>4.5240000000000002E-2</v>
      </c>
      <c r="I932">
        <v>252.42857100000001</v>
      </c>
      <c r="J932">
        <v>5.0169999999999999E-2</v>
      </c>
      <c r="K932">
        <v>762.57142899999997</v>
      </c>
      <c r="L932">
        <v>4.9200000000000001E-2</v>
      </c>
      <c r="M932" s="13">
        <v>1245.2857100000001</v>
      </c>
    </row>
    <row r="933" spans="1:13" x14ac:dyDescent="0.2">
      <c r="A933">
        <v>931</v>
      </c>
      <c r="B933">
        <v>20070412</v>
      </c>
      <c r="C933" s="13">
        <v>1</v>
      </c>
      <c r="D933" s="9">
        <v>5.0200000000000002E-2</v>
      </c>
      <c r="E933" s="13">
        <v>13</v>
      </c>
      <c r="F933">
        <v>5.0835999999999999E-2</v>
      </c>
      <c r="G933" s="13">
        <v>26</v>
      </c>
      <c r="H933">
        <v>4.6149999999999997E-2</v>
      </c>
      <c r="I933">
        <v>251.42857100000001</v>
      </c>
      <c r="J933">
        <v>5.058E-2</v>
      </c>
      <c r="K933">
        <v>761.57142899999997</v>
      </c>
      <c r="L933">
        <v>4.9599999999999998E-2</v>
      </c>
      <c r="M933" s="13">
        <v>1244.2857100000001</v>
      </c>
    </row>
    <row r="934" spans="1:13" x14ac:dyDescent="0.2">
      <c r="A934">
        <v>932</v>
      </c>
      <c r="B934">
        <v>20070419</v>
      </c>
      <c r="C934" s="13">
        <v>1</v>
      </c>
      <c r="D934" s="9">
        <v>4.9784000000000002E-2</v>
      </c>
      <c r="E934" s="13">
        <v>13</v>
      </c>
      <c r="F934">
        <v>5.0303E-2</v>
      </c>
      <c r="G934" s="13">
        <v>26</v>
      </c>
      <c r="H934">
        <v>4.5220000000000003E-2</v>
      </c>
      <c r="I934">
        <v>250.42857100000001</v>
      </c>
      <c r="J934">
        <v>4.9700000000000001E-2</v>
      </c>
      <c r="K934">
        <v>799.57142899999997</v>
      </c>
      <c r="L934">
        <v>4.8809999999999999E-2</v>
      </c>
      <c r="M934" s="13">
        <v>1243.2857100000001</v>
      </c>
    </row>
    <row r="935" spans="1:13" x14ac:dyDescent="0.2">
      <c r="A935">
        <v>933</v>
      </c>
      <c r="B935">
        <v>20070426</v>
      </c>
      <c r="C935" s="13">
        <v>1</v>
      </c>
      <c r="D935" s="9">
        <v>4.9472000000000002E-2</v>
      </c>
      <c r="E935" s="13">
        <v>13</v>
      </c>
      <c r="F935">
        <v>5.0303E-2</v>
      </c>
      <c r="G935" s="13">
        <v>26</v>
      </c>
      <c r="H935">
        <v>4.5530000000000001E-2</v>
      </c>
      <c r="I935">
        <v>249.42857100000001</v>
      </c>
      <c r="J935">
        <v>5.0270000000000002E-2</v>
      </c>
      <c r="K935">
        <v>798.57142899999997</v>
      </c>
      <c r="L935">
        <v>4.9270000000000001E-2</v>
      </c>
      <c r="M935" s="13">
        <v>1242.2857100000001</v>
      </c>
    </row>
    <row r="936" spans="1:13" x14ac:dyDescent="0.2">
      <c r="A936">
        <v>934</v>
      </c>
      <c r="B936">
        <v>20070503</v>
      </c>
      <c r="C936" s="13">
        <v>1</v>
      </c>
      <c r="D936" s="9">
        <v>4.8848999999999997E-2</v>
      </c>
      <c r="E936" s="13">
        <v>13</v>
      </c>
      <c r="F936">
        <v>5.0196999999999999E-2</v>
      </c>
      <c r="G936" s="13">
        <v>26</v>
      </c>
      <c r="H936">
        <v>4.5510000000000002E-2</v>
      </c>
      <c r="I936">
        <v>248.42857100000001</v>
      </c>
      <c r="J936">
        <v>4.9599999999999998E-2</v>
      </c>
      <c r="K936">
        <v>797.57142899999997</v>
      </c>
      <c r="L936">
        <v>4.8840000000000001E-2</v>
      </c>
      <c r="M936" s="13">
        <v>1241.2857100000001</v>
      </c>
    </row>
    <row r="937" spans="1:13" x14ac:dyDescent="0.2">
      <c r="A937">
        <v>935</v>
      </c>
      <c r="B937">
        <v>20070510</v>
      </c>
      <c r="C937" s="13">
        <v>1</v>
      </c>
      <c r="D937" s="9">
        <v>4.8536999999999997E-2</v>
      </c>
      <c r="E937" s="13">
        <v>13</v>
      </c>
      <c r="F937">
        <v>4.9345E-2</v>
      </c>
      <c r="G937" s="13">
        <v>26</v>
      </c>
      <c r="H937">
        <v>4.5199999999999997E-2</v>
      </c>
      <c r="I937">
        <v>247.42857100000001</v>
      </c>
      <c r="J937">
        <v>4.9480000000000003E-2</v>
      </c>
      <c r="K937">
        <v>796.57142899999997</v>
      </c>
      <c r="L937">
        <v>4.8649999999999999E-2</v>
      </c>
      <c r="M937" s="13">
        <v>1240.2857100000001</v>
      </c>
    </row>
    <row r="938" spans="1:13" x14ac:dyDescent="0.2">
      <c r="A938">
        <v>936</v>
      </c>
      <c r="B938">
        <v>20070517</v>
      </c>
      <c r="C938" s="13">
        <v>1</v>
      </c>
      <c r="D938" s="9">
        <v>4.8017999999999998E-2</v>
      </c>
      <c r="E938" s="13">
        <v>13</v>
      </c>
      <c r="F938">
        <v>4.8918999999999997E-2</v>
      </c>
      <c r="G938" s="13">
        <v>26</v>
      </c>
      <c r="H938">
        <v>4.6530000000000002E-2</v>
      </c>
      <c r="I938">
        <v>246.42857100000001</v>
      </c>
      <c r="J938">
        <v>5.0520000000000002E-2</v>
      </c>
      <c r="K938">
        <v>795.57142899999997</v>
      </c>
      <c r="L938">
        <v>4.9430000000000002E-2</v>
      </c>
      <c r="M938" s="13">
        <v>1239.2857100000001</v>
      </c>
    </row>
    <row r="939" spans="1:13" x14ac:dyDescent="0.2">
      <c r="A939">
        <v>937</v>
      </c>
      <c r="B939">
        <v>20070524</v>
      </c>
      <c r="C939" s="13">
        <v>1</v>
      </c>
      <c r="D939" s="9">
        <v>4.8953000000000003E-2</v>
      </c>
      <c r="E939" s="13">
        <v>13</v>
      </c>
      <c r="F939">
        <v>4.9771000000000003E-2</v>
      </c>
      <c r="G939" s="13">
        <v>26</v>
      </c>
      <c r="H939">
        <v>4.7480000000000001E-2</v>
      </c>
      <c r="I939">
        <v>245.42857100000001</v>
      </c>
      <c r="J939">
        <v>5.135E-2</v>
      </c>
      <c r="K939">
        <v>794.57142899999997</v>
      </c>
      <c r="L939">
        <v>5.0319999999999997E-2</v>
      </c>
      <c r="M939" s="13">
        <v>1238.2857100000001</v>
      </c>
    </row>
    <row r="940" spans="1:13" x14ac:dyDescent="0.2">
      <c r="A940">
        <v>938</v>
      </c>
      <c r="B940">
        <v>20070531</v>
      </c>
      <c r="C940" s="13">
        <v>1</v>
      </c>
      <c r="D940" s="9">
        <v>4.7188000000000001E-2</v>
      </c>
      <c r="E940" s="13">
        <v>13</v>
      </c>
      <c r="F940">
        <v>4.9451000000000002E-2</v>
      </c>
      <c r="G940" s="13">
        <v>26</v>
      </c>
      <c r="H940">
        <v>4.8169999999999998E-2</v>
      </c>
      <c r="I940">
        <v>244.42857100000001</v>
      </c>
      <c r="J940">
        <v>5.1650000000000001E-2</v>
      </c>
      <c r="K940">
        <v>793.57142899999997</v>
      </c>
      <c r="L940">
        <v>5.042E-2</v>
      </c>
      <c r="M940" s="13">
        <v>1237.2857100000001</v>
      </c>
    </row>
    <row r="941" spans="1:13" x14ac:dyDescent="0.2">
      <c r="A941">
        <v>939</v>
      </c>
      <c r="B941">
        <v>20070607</v>
      </c>
      <c r="C941" s="13">
        <v>1</v>
      </c>
      <c r="D941" s="9">
        <v>4.7913999999999998E-2</v>
      </c>
      <c r="E941" s="13">
        <v>13</v>
      </c>
      <c r="F941">
        <v>4.9557999999999998E-2</v>
      </c>
      <c r="G941" s="13">
        <v>26</v>
      </c>
      <c r="H941">
        <v>5.0599999999999999E-2</v>
      </c>
      <c r="I941">
        <v>243.42857100000001</v>
      </c>
      <c r="J941">
        <v>5.3830000000000003E-2</v>
      </c>
      <c r="K941">
        <v>792.57142899999997</v>
      </c>
      <c r="L941">
        <v>5.2569999999999999E-2</v>
      </c>
      <c r="M941" s="13">
        <v>1236.2857100000001</v>
      </c>
    </row>
    <row r="942" spans="1:13" x14ac:dyDescent="0.2">
      <c r="A942">
        <v>940</v>
      </c>
      <c r="B942">
        <v>20070614</v>
      </c>
      <c r="C942" s="13">
        <v>1</v>
      </c>
      <c r="D942" s="9">
        <v>4.6357000000000002E-2</v>
      </c>
      <c r="E942" s="13">
        <v>13</v>
      </c>
      <c r="F942">
        <v>4.9132000000000002E-2</v>
      </c>
      <c r="G942" s="13">
        <v>26</v>
      </c>
      <c r="H942">
        <v>5.1409999999999997E-2</v>
      </c>
      <c r="I942">
        <v>242.42857100000001</v>
      </c>
      <c r="J942">
        <v>5.4519999999999999E-2</v>
      </c>
      <c r="K942">
        <v>791.57142899999997</v>
      </c>
      <c r="L942">
        <v>5.3220000000000003E-2</v>
      </c>
      <c r="M942" s="13">
        <v>1235.2857100000001</v>
      </c>
    </row>
    <row r="943" spans="1:13" x14ac:dyDescent="0.2">
      <c r="A943">
        <v>941</v>
      </c>
      <c r="B943">
        <v>20070621</v>
      </c>
      <c r="C943" s="13">
        <v>1</v>
      </c>
      <c r="D943" s="9">
        <v>4.6876000000000001E-2</v>
      </c>
      <c r="E943" s="13">
        <v>13</v>
      </c>
      <c r="F943">
        <v>4.9451000000000002E-2</v>
      </c>
      <c r="G943" s="13">
        <v>26</v>
      </c>
      <c r="H943">
        <v>5.0540000000000002E-2</v>
      </c>
      <c r="I943">
        <v>241.42857100000001</v>
      </c>
      <c r="J943">
        <v>5.45E-2</v>
      </c>
      <c r="K943">
        <v>790.57142899999997</v>
      </c>
      <c r="L943">
        <v>5.33E-2</v>
      </c>
      <c r="M943" s="13">
        <v>1234.2857100000001</v>
      </c>
    </row>
    <row r="944" spans="1:13" x14ac:dyDescent="0.2">
      <c r="A944">
        <v>942</v>
      </c>
      <c r="B944">
        <v>20070628</v>
      </c>
      <c r="C944" s="13">
        <v>1</v>
      </c>
      <c r="D944" s="9">
        <v>4.7602999999999999E-2</v>
      </c>
      <c r="E944" s="13">
        <v>13</v>
      </c>
      <c r="F944">
        <v>4.9345E-2</v>
      </c>
      <c r="G944" s="13">
        <v>26</v>
      </c>
      <c r="H944">
        <v>4.9639999999999997E-2</v>
      </c>
      <c r="I944">
        <v>240.42857100000001</v>
      </c>
      <c r="J944">
        <v>5.3589999999999999E-2</v>
      </c>
      <c r="K944">
        <v>789.57142899999997</v>
      </c>
      <c r="L944">
        <v>5.2449999999999997E-2</v>
      </c>
      <c r="M944" s="13">
        <v>1233.2857100000001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PCA RelativeValue</vt:lpstr>
      <vt:lpstr>Data</vt:lpstr>
      <vt:lpstr>Data!extbnds</vt:lpstr>
    </vt:vector>
  </TitlesOfParts>
  <Company>University of Arizona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Lamoureux</dc:creator>
  <cp:lastModifiedBy>Brian Fagan</cp:lastModifiedBy>
  <dcterms:created xsi:type="dcterms:W3CDTF">2008-11-07T17:55:14Z</dcterms:created>
  <dcterms:modified xsi:type="dcterms:W3CDTF">2018-08-29T13:00:31Z</dcterms:modified>
</cp:coreProperties>
</file>