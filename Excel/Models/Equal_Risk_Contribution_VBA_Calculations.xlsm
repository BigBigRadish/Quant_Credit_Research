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Excel\Models\"/>
    </mc:Choice>
  </mc:AlternateContent>
  <bookViews>
    <workbookView xWindow="120" yWindow="60" windowWidth="28620" windowHeight="14445"/>
  </bookViews>
  <sheets>
    <sheet name="ERC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K8" i="2" l="1"/>
  <c r="J8" i="2"/>
  <c r="F18" i="2"/>
  <c r="E18" i="2"/>
  <c r="D18" i="2"/>
  <c r="C18" i="2"/>
  <c r="B18" i="2"/>
  <c r="G11" i="2" l="1" a="1"/>
  <c r="G13" i="2" s="1"/>
  <c r="P5" i="2" l="1"/>
  <c r="N5" i="2"/>
  <c r="G11" i="2"/>
  <c r="R3" i="2" s="1"/>
  <c r="G15" i="2"/>
  <c r="P7" i="2" s="1"/>
  <c r="G14" i="2"/>
  <c r="R6" i="2" s="1"/>
  <c r="G12" i="2"/>
  <c r="Q6" i="2"/>
  <c r="P6" i="2"/>
  <c r="O4" i="2"/>
  <c r="Q5" i="2"/>
  <c r="R7" i="2"/>
  <c r="O7" i="2"/>
  <c r="O5" i="2"/>
  <c r="N7" i="2"/>
  <c r="R4" i="2"/>
  <c r="R5" i="2"/>
  <c r="P4" i="2"/>
  <c r="Q7" i="2"/>
  <c r="O6" i="2"/>
  <c r="Q4" i="2"/>
  <c r="N6" i="2"/>
  <c r="N4" i="2"/>
  <c r="Q3" i="2" l="1"/>
  <c r="P3" i="2"/>
  <c r="N3" i="2"/>
  <c r="O3" i="2"/>
  <c r="J3" i="2" a="1"/>
  <c r="J3" i="2" l="1"/>
  <c r="J4" i="2"/>
  <c r="J5" i="2"/>
  <c r="J6" i="2"/>
  <c r="J9" i="2" s="1" a="1"/>
  <c r="J9" i="2" s="1"/>
  <c r="K3" i="2" s="1" a="1"/>
  <c r="J7" i="2"/>
  <c r="K3" i="2" l="1"/>
  <c r="K7" i="2"/>
  <c r="K6" i="2"/>
  <c r="K5" i="2"/>
  <c r="K4" i="2"/>
</calcChain>
</file>

<file path=xl/sharedStrings.xml><?xml version="1.0" encoding="utf-8"?>
<sst xmlns="http://schemas.openxmlformats.org/spreadsheetml/2006/main" count="46" uniqueCount="15">
  <si>
    <t>MultiFact</t>
  </si>
  <si>
    <t>Low Beta</t>
  </si>
  <si>
    <t>Momentum</t>
  </si>
  <si>
    <t>Quality</t>
  </si>
  <si>
    <t>Low Size</t>
  </si>
  <si>
    <t>Value</t>
  </si>
  <si>
    <t>σ</t>
  </si>
  <si>
    <t>ERC CCD</t>
  </si>
  <si>
    <r>
      <rPr>
        <b/>
        <sz val="11"/>
        <color indexed="9"/>
        <rFont val="Calibri"/>
        <family val="2"/>
      </rPr>
      <t>σ</t>
    </r>
    <r>
      <rPr>
        <b/>
        <sz val="8"/>
        <color indexed="9"/>
        <rFont val="Calibri"/>
        <family val="2"/>
      </rPr>
      <t>i</t>
    </r>
  </si>
  <si>
    <t>Contrib.</t>
  </si>
  <si>
    <t>Weights</t>
  </si>
  <si>
    <t>Covariance Matrix</t>
  </si>
  <si>
    <t>Total Check</t>
  </si>
  <si>
    <t>σ PTF</t>
  </si>
  <si>
    <t>Risk Parity Portfolio using Cyclical Coordinate Descent Algorithm to Solve for Convex Optimization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</si>
</sst>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.0"/>
  </numFmts>
  <fonts count="18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0"/>
      <name val="Arial"/>
      <family val="2"/>
    </font>
    <font>
      <b/>
      <sz val="10"/>
      <color indexed="9"/>
      <name val="Calibri"/>
      <family val="2"/>
    </font>
    <font>
      <b/>
      <sz val="8"/>
      <color indexed="9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0" fontId="8" fillId="2" borderId="0" xfId="0" applyNumberFormat="1" applyFont="1" applyFill="1" applyAlignment="1">
      <alignment horizontal="center"/>
    </xf>
    <xf numFmtId="10" fontId="0" fillId="2" borderId="0" xfId="0" applyNumberFormat="1" applyFill="1"/>
    <xf numFmtId="14" fontId="0" fillId="2" borderId="0" xfId="0" applyNumberFormat="1" applyFill="1"/>
    <xf numFmtId="9" fontId="9" fillId="2" borderId="1" xfId="0" applyNumberFormat="1" applyFont="1" applyFill="1" applyBorder="1" applyAlignment="1">
      <alignment horizontal="center"/>
    </xf>
    <xf numFmtId="9" fontId="9" fillId="2" borderId="2" xfId="0" applyNumberFormat="1" applyFon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0" xfId="0" applyFont="1" applyFill="1"/>
    <xf numFmtId="0" fontId="10" fillId="2" borderId="0" xfId="0" applyFont="1" applyFill="1" applyAlignment="1">
      <alignment horizontal="center"/>
    </xf>
    <xf numFmtId="0" fontId="6" fillId="2" borderId="0" xfId="0" applyFont="1" applyFill="1"/>
    <xf numFmtId="176" fontId="11" fillId="2" borderId="0" xfId="0" applyNumberFormat="1" applyFont="1" applyFill="1" applyBorder="1" applyAlignment="1">
      <alignment horizontal="center"/>
    </xf>
    <xf numFmtId="176" fontId="11" fillId="2" borderId="3" xfId="0" applyNumberFormat="1" applyFont="1" applyFill="1" applyBorder="1" applyAlignment="1">
      <alignment horizontal="center"/>
    </xf>
    <xf numFmtId="176" fontId="0" fillId="2" borderId="0" xfId="0" applyNumberFormat="1" applyFill="1" applyBorder="1" applyAlignment="1">
      <alignment horizontal="center"/>
    </xf>
    <xf numFmtId="176" fontId="0" fillId="2" borderId="4" xfId="0" applyNumberFormat="1" applyFill="1" applyBorder="1" applyAlignment="1">
      <alignment horizontal="center"/>
    </xf>
    <xf numFmtId="176" fontId="11" fillId="2" borderId="5" xfId="0" applyNumberFormat="1" applyFont="1" applyFill="1" applyBorder="1" applyAlignment="1">
      <alignment horizontal="center"/>
    </xf>
    <xf numFmtId="176" fontId="11" fillId="2" borderId="6" xfId="0" applyNumberFormat="1" applyFont="1" applyFill="1" applyBorder="1" applyAlignment="1">
      <alignment horizontal="center"/>
    </xf>
    <xf numFmtId="176" fontId="11" fillId="2" borderId="7" xfId="0" applyNumberFormat="1" applyFont="1" applyFill="1" applyBorder="1" applyAlignment="1">
      <alignment horizontal="center"/>
    </xf>
    <xf numFmtId="176" fontId="11" fillId="2" borderId="8" xfId="0" applyNumberFormat="1" applyFont="1" applyFill="1" applyBorder="1" applyAlignment="1">
      <alignment horizontal="center"/>
    </xf>
    <xf numFmtId="176" fontId="0" fillId="2" borderId="9" xfId="0" applyNumberFormat="1" applyFill="1" applyBorder="1" applyAlignment="1">
      <alignment horizontal="center"/>
    </xf>
    <xf numFmtId="176" fontId="0" fillId="2" borderId="10" xfId="0" applyNumberFormat="1" applyFill="1" applyBorder="1" applyAlignment="1">
      <alignment horizontal="center"/>
    </xf>
    <xf numFmtId="0" fontId="10" fillId="2" borderId="0" xfId="0" applyFont="1" applyFill="1"/>
    <xf numFmtId="10" fontId="8" fillId="2" borderId="11" xfId="0" applyNumberFormat="1" applyFont="1" applyFill="1" applyBorder="1" applyAlignment="1">
      <alignment horizontal="center"/>
    </xf>
    <xf numFmtId="10" fontId="8" fillId="2" borderId="12" xfId="0" applyNumberFormat="1" applyFont="1" applyFill="1" applyBorder="1" applyAlignment="1">
      <alignment horizontal="center"/>
    </xf>
    <xf numFmtId="10" fontId="8" fillId="2" borderId="13" xfId="0" applyNumberFormat="1" applyFont="1" applyFill="1" applyBorder="1" applyAlignment="1">
      <alignment horizontal="center"/>
    </xf>
    <xf numFmtId="10" fontId="8" fillId="2" borderId="14" xfId="0" applyNumberFormat="1" applyFont="1" applyFill="1" applyBorder="1" applyAlignment="1">
      <alignment horizontal="center"/>
    </xf>
    <xf numFmtId="10" fontId="8" fillId="2" borderId="1" xfId="0" applyNumberFormat="1" applyFont="1" applyFill="1" applyBorder="1" applyAlignment="1">
      <alignment horizontal="center"/>
    </xf>
    <xf numFmtId="10" fontId="8" fillId="2" borderId="2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1" fillId="3" borderId="9" xfId="2" applyFont="1" applyFill="1" applyBorder="1" applyAlignment="1">
      <alignment horizontal="center" wrapText="1"/>
    </xf>
    <xf numFmtId="9" fontId="3" fillId="3" borderId="3" xfId="2" applyFont="1" applyFill="1" applyBorder="1" applyAlignment="1">
      <alignment horizontal="center" wrapText="1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10" fontId="8" fillId="2" borderId="0" xfId="0" applyNumberFormat="1" applyFont="1" applyFill="1" applyBorder="1" applyAlignment="1">
      <alignment horizontal="center"/>
    </xf>
    <xf numFmtId="10" fontId="0" fillId="2" borderId="0" xfId="0" applyNumberFormat="1" applyFill="1" applyBorder="1"/>
    <xf numFmtId="176" fontId="15" fillId="2" borderId="4" xfId="0" applyNumberFormat="1" applyFont="1" applyFill="1" applyBorder="1" applyAlignment="1">
      <alignment horizontal="center"/>
    </xf>
    <xf numFmtId="9" fontId="1" fillId="3" borderId="8" xfId="2" applyFont="1" applyFill="1" applyBorder="1" applyAlignment="1">
      <alignment horizontal="center" wrapText="1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14" fontId="16" fillId="4" borderId="0" xfId="0" applyNumberFormat="1" applyFont="1" applyFill="1"/>
    <xf numFmtId="10" fontId="12" fillId="2" borderId="6" xfId="1" applyNumberFormat="1" applyFont="1" applyFill="1" applyBorder="1" applyAlignment="1">
      <alignment horizontal="center"/>
    </xf>
    <xf numFmtId="10" fontId="12" fillId="2" borderId="7" xfId="1" applyNumberFormat="1" applyFont="1" applyFill="1" applyBorder="1" applyAlignment="1">
      <alignment horizontal="center"/>
    </xf>
    <xf numFmtId="10" fontId="12" fillId="2" borderId="8" xfId="1" applyNumberFormat="1" applyFont="1" applyFill="1" applyBorder="1" applyAlignment="1">
      <alignment horizontal="center"/>
    </xf>
    <xf numFmtId="10" fontId="13" fillId="2" borderId="9" xfId="1" applyNumberFormat="1" applyFont="1" applyFill="1" applyBorder="1" applyAlignment="1">
      <alignment horizontal="center"/>
    </xf>
    <xf numFmtId="10" fontId="12" fillId="2" borderId="0" xfId="1" applyNumberFormat="1" applyFont="1" applyFill="1" applyBorder="1" applyAlignment="1">
      <alignment horizontal="center"/>
    </xf>
    <xf numFmtId="10" fontId="12" fillId="2" borderId="3" xfId="1" applyNumberFormat="1" applyFont="1" applyFill="1" applyBorder="1" applyAlignment="1">
      <alignment horizontal="center"/>
    </xf>
    <xf numFmtId="10" fontId="13" fillId="2" borderId="0" xfId="1" applyNumberFormat="1" applyFont="1" applyFill="1" applyBorder="1" applyAlignment="1">
      <alignment horizontal="center"/>
    </xf>
    <xf numFmtId="10" fontId="13" fillId="2" borderId="10" xfId="1" applyNumberFormat="1" applyFont="1" applyFill="1" applyBorder="1" applyAlignment="1">
      <alignment horizontal="center"/>
    </xf>
    <xf numFmtId="10" fontId="13" fillId="2" borderId="4" xfId="1" applyNumberFormat="1" applyFont="1" applyFill="1" applyBorder="1" applyAlignment="1">
      <alignment horizontal="center"/>
    </xf>
    <xf numFmtId="10" fontId="14" fillId="2" borderId="4" xfId="1" applyNumberFormat="1" applyFont="1" applyFill="1" applyBorder="1" applyAlignment="1">
      <alignment horizontal="center"/>
    </xf>
    <xf numFmtId="10" fontId="12" fillId="2" borderId="5" xfId="1" applyNumberFormat="1" applyFont="1" applyFill="1" applyBorder="1" applyAlignment="1">
      <alignment horizontal="center"/>
    </xf>
    <xf numFmtId="10" fontId="16" fillId="4" borderId="0" xfId="1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7" fillId="2" borderId="0" xfId="0" applyFont="1" applyFill="1" applyAlignment="1"/>
  </cellXfs>
  <cellStyles count="3">
    <cellStyle name="Normal" xfId="0" builtinId="0"/>
    <cellStyle name="Percent" xfId="1" builtinId="5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ERC!$G$10</c:f>
              <c:strCache>
                <c:ptCount val="1"/>
                <c:pt idx="0">
                  <c:v>σ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ERC!$I$3:$I$8</c:f>
              <c:strCache>
                <c:ptCount val="6"/>
                <c:pt idx="0">
                  <c:v>Low Beta</c:v>
                </c:pt>
                <c:pt idx="1">
                  <c:v>Momentum</c:v>
                </c:pt>
                <c:pt idx="2">
                  <c:v>Quality</c:v>
                </c:pt>
                <c:pt idx="3">
                  <c:v>Low Size</c:v>
                </c:pt>
                <c:pt idx="4">
                  <c:v>Value</c:v>
                </c:pt>
                <c:pt idx="5">
                  <c:v>Total Check</c:v>
                </c:pt>
              </c:strCache>
            </c:strRef>
          </c:cat>
          <c:val>
            <c:numRef>
              <c:f>ERC!$G$11:$G$15</c:f>
              <c:numCache>
                <c:formatCode>0.00%</c:formatCode>
                <c:ptCount val="5"/>
                <c:pt idx="0">
                  <c:v>7.8563593501941847E-3</c:v>
                </c:pt>
                <c:pt idx="1">
                  <c:v>9.4658851192927305E-3</c:v>
                </c:pt>
                <c:pt idx="2">
                  <c:v>1.0312021658854337E-2</c:v>
                </c:pt>
                <c:pt idx="3">
                  <c:v>1.1082399377715305E-2</c:v>
                </c:pt>
                <c:pt idx="4">
                  <c:v>1.650086822450985E-2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A-4E73-AB24-480D0CBB1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3"/>
        <c:overlap val="-23"/>
        <c:axId val="749702120"/>
        <c:axId val="1"/>
      </c:barChart>
      <c:catAx>
        <c:axId val="74970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3.0000000000000009E-3"/>
        </c:scaling>
        <c:delete val="0"/>
        <c:axPos val="l"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749702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ERC!$J$2</c:f>
              <c:strCache>
                <c:ptCount val="1"/>
                <c:pt idx="0">
                  <c:v>Weights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ERC!$I$3:$I$7</c:f>
              <c:strCache>
                <c:ptCount val="5"/>
                <c:pt idx="0">
                  <c:v>Low Beta</c:v>
                </c:pt>
                <c:pt idx="1">
                  <c:v>Momentum</c:v>
                </c:pt>
                <c:pt idx="2">
                  <c:v>Quality</c:v>
                </c:pt>
                <c:pt idx="3">
                  <c:v>Low Size</c:v>
                </c:pt>
                <c:pt idx="4">
                  <c:v>Value</c:v>
                </c:pt>
              </c:strCache>
            </c:strRef>
          </c:cat>
          <c:val>
            <c:numRef>
              <c:f>ERC!$J$3:$J$7</c:f>
              <c:numCache>
                <c:formatCode>0%</c:formatCode>
                <c:ptCount val="5"/>
                <c:pt idx="0">
                  <c:v>0.2471200034695458</c:v>
                </c:pt>
                <c:pt idx="1">
                  <c:v>0.22597726939119217</c:v>
                </c:pt>
                <c:pt idx="2">
                  <c:v>0.20470434621267028</c:v>
                </c:pt>
                <c:pt idx="3">
                  <c:v>0.16894223503121999</c:v>
                </c:pt>
                <c:pt idx="4">
                  <c:v>0.15325614589537168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6-4C2D-8F40-779CC0C24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9704416"/>
        <c:axId val="1"/>
      </c:barChart>
      <c:catAx>
        <c:axId val="74970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749704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9</xdr:row>
      <xdr:rowOff>171450</xdr:rowOff>
    </xdr:from>
    <xdr:to>
      <xdr:col>13</xdr:col>
      <xdr:colOff>209550</xdr:colOff>
      <xdr:row>22</xdr:row>
      <xdr:rowOff>95250</xdr:rowOff>
    </xdr:to>
    <xdr:graphicFrame macro="">
      <xdr:nvGraphicFramePr>
        <xdr:cNvPr id="1339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219075</xdr:colOff>
      <xdr:row>9</xdr:row>
      <xdr:rowOff>180975</xdr:rowOff>
    </xdr:from>
    <xdr:to>
      <xdr:col>19</xdr:col>
      <xdr:colOff>104775</xdr:colOff>
      <xdr:row>22</xdr:row>
      <xdr:rowOff>104775</xdr:rowOff>
    </xdr:to>
    <xdr:graphicFrame macro="">
      <xdr:nvGraphicFramePr>
        <xdr:cNvPr id="133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20"/>
  <sheetViews>
    <sheetView tabSelected="1" workbookViewId="0">
      <selection activeCell="A2" sqref="A2"/>
    </sheetView>
  </sheetViews>
  <sheetFormatPr defaultRowHeight="15" x14ac:dyDescent="0.25"/>
  <cols>
    <col min="1" max="1" width="10.7109375" style="2" customWidth="1"/>
    <col min="2" max="3" width="10.28515625" style="2" customWidth="1"/>
    <col min="4" max="4" width="11.5703125" style="2" bestFit="1" customWidth="1"/>
    <col min="5" max="6" width="10.28515625" style="2" customWidth="1"/>
    <col min="7" max="7" width="10.7109375" style="1" bestFit="1" customWidth="1"/>
    <col min="8" max="8" width="9.140625" style="1"/>
    <col min="9" max="9" width="11.5703125" style="1" bestFit="1" customWidth="1"/>
    <col min="10" max="10" width="19.85546875" style="1" customWidth="1"/>
    <col min="11" max="12" width="12" style="1" bestFit="1" customWidth="1"/>
    <col min="13" max="13" width="9.140625" style="1"/>
    <col min="14" max="14" width="12" style="1" bestFit="1" customWidth="1"/>
    <col min="15" max="15" width="9.140625" style="1"/>
    <col min="16" max="16" width="11.5703125" style="1" bestFit="1" customWidth="1"/>
    <col min="17" max="16384" width="9.140625" style="1"/>
  </cols>
  <sheetData>
    <row r="1" spans="1:18" x14ac:dyDescent="0.25">
      <c r="A1" s="56" t="s">
        <v>14</v>
      </c>
      <c r="J1" s="31" t="s">
        <v>7</v>
      </c>
      <c r="K1" s="39" t="s">
        <v>9</v>
      </c>
      <c r="M1" s="55" t="s">
        <v>11</v>
      </c>
      <c r="N1" s="55"/>
      <c r="O1" s="55"/>
      <c r="P1" s="55"/>
      <c r="Q1" s="55"/>
      <c r="R1" s="55"/>
    </row>
    <row r="2" spans="1:18" x14ac:dyDescent="0.25">
      <c r="H2" s="3"/>
      <c r="I2" s="11"/>
      <c r="J2" s="32" t="s">
        <v>10</v>
      </c>
      <c r="K2" s="33" t="s">
        <v>8</v>
      </c>
      <c r="L2" s="4"/>
      <c r="M2" s="13" t="s">
        <v>0</v>
      </c>
      <c r="N2" s="10" t="s">
        <v>3</v>
      </c>
      <c r="O2" s="10" t="s">
        <v>1</v>
      </c>
      <c r="P2" s="10" t="s">
        <v>2</v>
      </c>
      <c r="Q2" s="10" t="s">
        <v>4</v>
      </c>
      <c r="R2" s="10" t="s">
        <v>5</v>
      </c>
    </row>
    <row r="3" spans="1:18" x14ac:dyDescent="0.25">
      <c r="H3" s="3"/>
      <c r="I3" s="10" t="s">
        <v>1</v>
      </c>
      <c r="J3" s="6">
        <f t="array" ref="J3:J7">ERC_CCD(N3:R7)</f>
        <v>0.2471200034695458</v>
      </c>
      <c r="K3" s="8">
        <f t="array" ref="K3:K7">J3:J7*MMULT(N3:R7,J3:J7)/$J$9</f>
        <v>1.1584296914739637E-3</v>
      </c>
      <c r="L3" s="4"/>
      <c r="M3" s="11" t="s">
        <v>1</v>
      </c>
      <c r="N3" s="43">
        <f t="shared" ref="N3:R7" si="0">B11*B$18*$G11</f>
        <v>6.1722382239383594E-5</v>
      </c>
      <c r="O3" s="44">
        <f t="shared" si="0"/>
        <v>4.4620437038891665E-5</v>
      </c>
      <c r="P3" s="44">
        <f t="shared" si="0"/>
        <v>4.0507473889472609E-5</v>
      </c>
      <c r="Q3" s="44">
        <f t="shared" si="0"/>
        <v>8.7067311973699852E-6</v>
      </c>
      <c r="R3" s="45">
        <f t="shared" si="0"/>
        <v>-5.1854700144780038E-5</v>
      </c>
    </row>
    <row r="4" spans="1:18" x14ac:dyDescent="0.25">
      <c r="H4" s="3"/>
      <c r="I4" s="10" t="s">
        <v>2</v>
      </c>
      <c r="J4" s="6">
        <v>0.22597726939119217</v>
      </c>
      <c r="K4" s="8">
        <v>1.1584297724488071E-3</v>
      </c>
      <c r="L4" s="4"/>
      <c r="M4" s="11" t="s">
        <v>2</v>
      </c>
      <c r="N4" s="46">
        <f t="shared" si="0"/>
        <v>4.4620437038891665E-5</v>
      </c>
      <c r="O4" s="47">
        <f t="shared" si="0"/>
        <v>8.9602981091647553E-5</v>
      </c>
      <c r="P4" s="47">
        <f t="shared" si="0"/>
        <v>3.9044964948149448E-5</v>
      </c>
      <c r="Q4" s="47">
        <f t="shared" si="0"/>
        <v>0</v>
      </c>
      <c r="R4" s="48">
        <f t="shared" si="0"/>
        <v>-6.247812919271922E-5</v>
      </c>
    </row>
    <row r="5" spans="1:18" x14ac:dyDescent="0.25">
      <c r="H5" s="3"/>
      <c r="I5" s="10" t="s">
        <v>3</v>
      </c>
      <c r="J5" s="6">
        <v>0.20470434621267028</v>
      </c>
      <c r="K5" s="8">
        <v>1.1584297950462048E-3</v>
      </c>
      <c r="L5" s="4"/>
      <c r="M5" s="11" t="s">
        <v>3</v>
      </c>
      <c r="N5" s="46">
        <f t="shared" si="0"/>
        <v>4.0507473889472609E-5</v>
      </c>
      <c r="O5" s="49">
        <f t="shared" si="0"/>
        <v>3.9044964948149441E-5</v>
      </c>
      <c r="P5" s="47">
        <f t="shared" si="0"/>
        <v>1.0633779069268095E-4</v>
      </c>
      <c r="Q5" s="47">
        <f t="shared" si="0"/>
        <v>0</v>
      </c>
      <c r="R5" s="48">
        <f t="shared" si="0"/>
        <v>-5.1047193156314058E-5</v>
      </c>
    </row>
    <row r="6" spans="1:18" x14ac:dyDescent="0.25">
      <c r="H6" s="3"/>
      <c r="I6" s="10" t="s">
        <v>4</v>
      </c>
      <c r="J6" s="6">
        <v>0.16894223503121999</v>
      </c>
      <c r="K6" s="8">
        <v>1.1584297673132554E-3</v>
      </c>
      <c r="L6" s="4"/>
      <c r="M6" s="11" t="s">
        <v>4</v>
      </c>
      <c r="N6" s="46">
        <f t="shared" si="0"/>
        <v>8.7067311973699852E-6</v>
      </c>
      <c r="O6" s="49">
        <f t="shared" si="0"/>
        <v>0</v>
      </c>
      <c r="P6" s="49">
        <f t="shared" si="0"/>
        <v>0</v>
      </c>
      <c r="Q6" s="47">
        <f t="shared" si="0"/>
        <v>1.2281957596718457E-4</v>
      </c>
      <c r="R6" s="48">
        <f t="shared" si="0"/>
        <v>1.0972152704584212E-4</v>
      </c>
    </row>
    <row r="7" spans="1:18" x14ac:dyDescent="0.25">
      <c r="H7" s="3"/>
      <c r="I7" s="10" t="s">
        <v>5</v>
      </c>
      <c r="J7" s="7">
        <v>0.15325614589537168</v>
      </c>
      <c r="K7" s="9">
        <v>1.1584297567056299E-3</v>
      </c>
      <c r="L7" s="4"/>
      <c r="M7" s="11" t="s">
        <v>5</v>
      </c>
      <c r="N7" s="50">
        <f t="shared" si="0"/>
        <v>-5.1854700144780032E-5</v>
      </c>
      <c r="O7" s="51">
        <f t="shared" si="0"/>
        <v>-6.247812919271922E-5</v>
      </c>
      <c r="P7" s="51">
        <f t="shared" si="0"/>
        <v>5.1047193156314058E-5</v>
      </c>
      <c r="Q7" s="52">
        <f t="shared" si="0"/>
        <v>1.0972152704584212E-4</v>
      </c>
      <c r="R7" s="53">
        <f t="shared" si="0"/>
        <v>2.7227865216263887E-4</v>
      </c>
    </row>
    <row r="8" spans="1:18" s="34" customFormat="1" x14ac:dyDescent="0.25">
      <c r="A8" s="35"/>
      <c r="B8" s="35"/>
      <c r="C8" s="35"/>
      <c r="D8" s="35"/>
      <c r="E8" s="35"/>
      <c r="F8" s="35"/>
      <c r="H8" s="36"/>
      <c r="I8" s="10" t="s">
        <v>12</v>
      </c>
      <c r="J8" s="3" t="str">
        <f>IF(SUM(J3:J7)=1,"OK","CHECK")</f>
        <v>OK</v>
      </c>
      <c r="K8" s="3" t="str">
        <f>IF(SUM(K3:K7)=J9,"OK","CHECK")</f>
        <v>OK</v>
      </c>
      <c r="L8" s="37"/>
      <c r="M8" s="37"/>
    </row>
    <row r="9" spans="1:18" x14ac:dyDescent="0.25">
      <c r="I9" s="12" t="s">
        <v>13</v>
      </c>
      <c r="J9" s="3">
        <f t="array" ref="J9">SQRT(MMULT(TRANSPOSE(J3:J7),MMULT($N$3:$R$7,J3:J7)))</f>
        <v>5.7921487829878599E-3</v>
      </c>
      <c r="K9" s="3"/>
    </row>
    <row r="10" spans="1:18" x14ac:dyDescent="0.25">
      <c r="B10" s="10" t="s">
        <v>3</v>
      </c>
      <c r="C10" s="10" t="s">
        <v>1</v>
      </c>
      <c r="D10" s="10" t="s">
        <v>2</v>
      </c>
      <c r="E10" s="10" t="s">
        <v>4</v>
      </c>
      <c r="F10" s="10" t="s">
        <v>5</v>
      </c>
      <c r="G10" s="12" t="s">
        <v>6</v>
      </c>
    </row>
    <row r="11" spans="1:18" x14ac:dyDescent="0.25">
      <c r="A11" s="11" t="s">
        <v>1</v>
      </c>
      <c r="B11" s="19">
        <v>1</v>
      </c>
      <c r="C11" s="20">
        <v>0.6</v>
      </c>
      <c r="D11" s="20">
        <v>0.5</v>
      </c>
      <c r="E11" s="20">
        <v>0.1</v>
      </c>
      <c r="F11" s="21">
        <v>-0.4</v>
      </c>
      <c r="G11" s="28">
        <f t="array" ref="G11:G15">TRANSPOSE(B18:F18)</f>
        <v>7.8563593501941847E-3</v>
      </c>
    </row>
    <row r="12" spans="1:18" x14ac:dyDescent="0.25">
      <c r="A12" s="11" t="s">
        <v>2</v>
      </c>
      <c r="B12" s="22">
        <v>0.6</v>
      </c>
      <c r="C12" s="14">
        <v>1</v>
      </c>
      <c r="D12" s="14">
        <v>0.4</v>
      </c>
      <c r="E12" s="14">
        <v>0</v>
      </c>
      <c r="F12" s="15">
        <v>-0.4</v>
      </c>
      <c r="G12" s="29">
        <v>9.4658851192927305E-3</v>
      </c>
    </row>
    <row r="13" spans="1:18" x14ac:dyDescent="0.25">
      <c r="A13" s="11" t="s">
        <v>3</v>
      </c>
      <c r="B13" s="22">
        <v>0.5</v>
      </c>
      <c r="C13" s="16">
        <v>0.4</v>
      </c>
      <c r="D13" s="14">
        <v>1</v>
      </c>
      <c r="E13" s="14">
        <v>0</v>
      </c>
      <c r="F13" s="15">
        <v>-0.3</v>
      </c>
      <c r="G13" s="29">
        <v>1.0312021658854337E-2</v>
      </c>
    </row>
    <row r="14" spans="1:18" x14ac:dyDescent="0.25">
      <c r="A14" s="11" t="s">
        <v>4</v>
      </c>
      <c r="B14" s="22">
        <v>0.1</v>
      </c>
      <c r="C14" s="16">
        <v>0</v>
      </c>
      <c r="D14" s="16">
        <v>0</v>
      </c>
      <c r="E14" s="14">
        <v>1</v>
      </c>
      <c r="F14" s="15">
        <v>0.6</v>
      </c>
      <c r="G14" s="29">
        <v>1.1082399377715305E-2</v>
      </c>
    </row>
    <row r="15" spans="1:18" x14ac:dyDescent="0.25">
      <c r="A15" s="11" t="s">
        <v>5</v>
      </c>
      <c r="B15" s="23">
        <v>-0.4</v>
      </c>
      <c r="C15" s="17">
        <v>-0.4</v>
      </c>
      <c r="D15" s="17">
        <v>0.3</v>
      </c>
      <c r="E15" s="38">
        <v>0.6</v>
      </c>
      <c r="F15" s="18">
        <v>1</v>
      </c>
      <c r="G15" s="30">
        <v>1.650086822450985E-2</v>
      </c>
    </row>
    <row r="16" spans="1:18" x14ac:dyDescent="0.25">
      <c r="A16" s="11"/>
      <c r="B16" s="16"/>
      <c r="C16" s="16"/>
      <c r="D16" s="16"/>
      <c r="E16" s="16"/>
      <c r="F16" s="16"/>
    </row>
    <row r="17" spans="1:6" x14ac:dyDescent="0.25">
      <c r="A17" s="10"/>
      <c r="B17" s="10" t="s">
        <v>1</v>
      </c>
      <c r="C17" s="10" t="s">
        <v>2</v>
      </c>
      <c r="D17" s="10" t="s">
        <v>3</v>
      </c>
      <c r="E17" s="10" t="s">
        <v>4</v>
      </c>
      <c r="F17" s="10" t="s">
        <v>5</v>
      </c>
    </row>
    <row r="18" spans="1:6" x14ac:dyDescent="0.25">
      <c r="A18" s="24" t="s">
        <v>6</v>
      </c>
      <c r="B18" s="25">
        <f>STDEV(B22:B489)</f>
        <v>7.8563593501941847E-3</v>
      </c>
      <c r="C18" s="26">
        <f>STDEV(C22:C489)</f>
        <v>9.4658851192927305E-3</v>
      </c>
      <c r="D18" s="26">
        <f>STDEV(D22:D489)</f>
        <v>1.0312021658854337E-2</v>
      </c>
      <c r="E18" s="26">
        <f>STDEV(E22:E489)</f>
        <v>1.1082399377715305E-2</v>
      </c>
      <c r="F18" s="27">
        <f>STDEV(F22:F489)</f>
        <v>1.650086822450985E-2</v>
      </c>
    </row>
    <row r="20" spans="1:6" x14ac:dyDescent="0.25">
      <c r="A20" s="40"/>
      <c r="B20" s="41" t="s">
        <v>3</v>
      </c>
      <c r="C20" s="41" t="s">
        <v>1</v>
      </c>
      <c r="D20" s="41" t="s">
        <v>2</v>
      </c>
      <c r="E20" s="41" t="s">
        <v>4</v>
      </c>
      <c r="F20" s="41" t="s">
        <v>5</v>
      </c>
    </row>
    <row r="21" spans="1:6" x14ac:dyDescent="0.25">
      <c r="A21" s="42">
        <v>40578</v>
      </c>
      <c r="B21" s="41"/>
      <c r="C21" s="41"/>
      <c r="D21" s="41"/>
      <c r="E21" s="41"/>
      <c r="F21" s="41"/>
    </row>
    <row r="22" spans="1:6" x14ac:dyDescent="0.25">
      <c r="A22" s="42">
        <v>40585</v>
      </c>
      <c r="B22" s="54">
        <v>3.5803480440741442E-3</v>
      </c>
      <c r="C22" s="54">
        <v>-5.9942963592483078E-3</v>
      </c>
      <c r="D22" s="54">
        <v>1.5806199613574545E-2</v>
      </c>
      <c r="E22" s="54">
        <v>-5.5407831520626338E-3</v>
      </c>
      <c r="F22" s="54">
        <v>-7.3714960532040852E-3</v>
      </c>
    </row>
    <row r="23" spans="1:6" x14ac:dyDescent="0.25">
      <c r="A23" s="42">
        <v>40592</v>
      </c>
      <c r="B23" s="54">
        <v>-1.6811852670104654E-2</v>
      </c>
      <c r="C23" s="54">
        <v>-2.724958456206128E-4</v>
      </c>
      <c r="D23" s="54">
        <v>-1.7116302384959536E-2</v>
      </c>
      <c r="E23" s="54">
        <v>-9.2895216650383805E-3</v>
      </c>
      <c r="F23" s="54">
        <v>1.4938372369689645E-2</v>
      </c>
    </row>
    <row r="24" spans="1:6" x14ac:dyDescent="0.25">
      <c r="A24" s="42">
        <v>40599</v>
      </c>
      <c r="B24" s="54">
        <v>5.4586584816348482E-3</v>
      </c>
      <c r="C24" s="54">
        <v>1.4465660323553231E-2</v>
      </c>
      <c r="D24" s="54">
        <v>3.2639343949353306E-3</v>
      </c>
      <c r="E24" s="54">
        <v>6.9328108105944919E-3</v>
      </c>
      <c r="F24" s="54">
        <v>-3.5909623141633373E-3</v>
      </c>
    </row>
    <row r="25" spans="1:6" x14ac:dyDescent="0.25">
      <c r="A25" s="42">
        <v>40606</v>
      </c>
      <c r="B25" s="54">
        <v>1.2806288383556907E-2</v>
      </c>
      <c r="C25" s="54">
        <v>2.1136272931980393E-2</v>
      </c>
      <c r="D25" s="54">
        <v>1.9675089096486964E-3</v>
      </c>
      <c r="E25" s="54">
        <v>1.0581962748220652E-2</v>
      </c>
      <c r="F25" s="54">
        <v>-9.5879324626765294E-3</v>
      </c>
    </row>
    <row r="26" spans="1:6" x14ac:dyDescent="0.25">
      <c r="A26" s="42">
        <v>40613</v>
      </c>
      <c r="B26" s="54">
        <v>-6.4974494032894459E-3</v>
      </c>
      <c r="C26" s="54">
        <v>3.9071249196753755E-4</v>
      </c>
      <c r="D26" s="54">
        <v>-4.5330033716142193E-3</v>
      </c>
      <c r="E26" s="54">
        <v>-4.9532904809179712E-4</v>
      </c>
      <c r="F26" s="54">
        <v>6.0403819179916107E-3</v>
      </c>
    </row>
    <row r="27" spans="1:6" x14ac:dyDescent="0.25">
      <c r="A27" s="42">
        <v>40620</v>
      </c>
      <c r="B27" s="54">
        <v>9.1756721907040317E-3</v>
      </c>
      <c r="C27" s="54">
        <v>4.481234426783387E-3</v>
      </c>
      <c r="D27" s="54">
        <v>3.0881485318992041E-3</v>
      </c>
      <c r="E27" s="54">
        <v>2.2446650183747363E-2</v>
      </c>
      <c r="F27" s="54">
        <v>5.5145741512752089E-3</v>
      </c>
    </row>
    <row r="28" spans="1:6" x14ac:dyDescent="0.25">
      <c r="A28" s="42">
        <v>40627</v>
      </c>
      <c r="B28" s="54">
        <v>-7.4719629172996793E-3</v>
      </c>
      <c r="C28" s="54">
        <v>-3.2043763542102255E-3</v>
      </c>
      <c r="D28" s="54">
        <v>3.2441274826191524E-3</v>
      </c>
      <c r="E28" s="54">
        <v>-7.833188368613353E-3</v>
      </c>
      <c r="F28" s="54">
        <v>-1.4654016812932991E-2</v>
      </c>
    </row>
    <row r="29" spans="1:6" x14ac:dyDescent="0.25">
      <c r="A29" s="42">
        <v>40634</v>
      </c>
      <c r="B29" s="54">
        <v>7.1342668763272332E-3</v>
      </c>
      <c r="C29" s="54">
        <v>3.2187684956035412E-3</v>
      </c>
      <c r="D29" s="54">
        <v>1.4722683937325787E-2</v>
      </c>
      <c r="E29" s="54">
        <v>1.2347069784497844E-2</v>
      </c>
      <c r="F29" s="54">
        <v>-1.1142354866665816E-2</v>
      </c>
    </row>
    <row r="30" spans="1:6" x14ac:dyDescent="0.25">
      <c r="A30" s="42">
        <v>40641</v>
      </c>
      <c r="B30" s="54">
        <v>-5.5883850377989042E-3</v>
      </c>
      <c r="C30" s="54">
        <v>-3.5254279999956672E-3</v>
      </c>
      <c r="D30" s="54">
        <v>-1.0541604991241016E-2</v>
      </c>
      <c r="E30" s="54">
        <v>-6.8090955700392808E-3</v>
      </c>
      <c r="F30" s="54">
        <v>5.8458244007311144E-3</v>
      </c>
    </row>
    <row r="31" spans="1:6" x14ac:dyDescent="0.25">
      <c r="A31" s="42">
        <v>40648</v>
      </c>
      <c r="B31" s="54">
        <v>-3.6594184973904875E-3</v>
      </c>
      <c r="C31" s="54">
        <v>6.2223480607822568E-3</v>
      </c>
      <c r="D31" s="54">
        <v>6.0270120933281213E-4</v>
      </c>
      <c r="E31" s="54">
        <v>-6.7004910392689521E-3</v>
      </c>
      <c r="F31" s="54">
        <v>-1.0168660882221792E-2</v>
      </c>
    </row>
    <row r="32" spans="1:6" x14ac:dyDescent="0.25">
      <c r="A32" s="42">
        <v>40655</v>
      </c>
      <c r="B32" s="54">
        <v>7.2654323057652626E-3</v>
      </c>
      <c r="C32" s="54">
        <v>-4.2261123573099635E-3</v>
      </c>
      <c r="D32" s="54">
        <v>1.7861791419116591E-2</v>
      </c>
      <c r="E32" s="54">
        <v>-7.0524194354018022E-3</v>
      </c>
      <c r="F32" s="54">
        <v>-1.5181562378297153E-2</v>
      </c>
    </row>
    <row r="33" spans="1:6" x14ac:dyDescent="0.25">
      <c r="A33" s="42">
        <v>40662</v>
      </c>
      <c r="B33" s="54">
        <v>-1.2516479690153126E-2</v>
      </c>
      <c r="C33" s="54">
        <v>-1.8213069911576785E-3</v>
      </c>
      <c r="D33" s="54">
        <v>1.041804563619575E-4</v>
      </c>
      <c r="E33" s="54">
        <v>4.4143037047541522E-3</v>
      </c>
      <c r="F33" s="54">
        <v>9.1943305912358664E-3</v>
      </c>
    </row>
    <row r="34" spans="1:6" x14ac:dyDescent="0.25">
      <c r="A34" s="42">
        <v>40669</v>
      </c>
      <c r="B34" s="54">
        <v>5.4304053615626957E-3</v>
      </c>
      <c r="C34" s="54">
        <v>4.285786074849085E-3</v>
      </c>
      <c r="D34" s="54">
        <v>-4.8656863177057863E-3</v>
      </c>
      <c r="E34" s="54">
        <v>-7.0439333422411821E-3</v>
      </c>
      <c r="F34" s="54">
        <v>7.724414728874085E-3</v>
      </c>
    </row>
    <row r="35" spans="1:6" x14ac:dyDescent="0.25">
      <c r="A35" s="42">
        <v>40676</v>
      </c>
      <c r="B35" s="54">
        <v>1.4558356294268271E-2</v>
      </c>
      <c r="C35" s="54">
        <v>8.2929794030316417E-3</v>
      </c>
      <c r="D35" s="54">
        <v>1.2607040457554342E-2</v>
      </c>
      <c r="E35" s="54">
        <v>8.8550810349007358E-3</v>
      </c>
      <c r="F35" s="54">
        <v>6.1088829615096873E-4</v>
      </c>
    </row>
    <row r="36" spans="1:6" x14ac:dyDescent="0.25">
      <c r="A36" s="42">
        <v>40683</v>
      </c>
      <c r="B36" s="54">
        <v>-3.6428858115509222E-3</v>
      </c>
      <c r="C36" s="54">
        <v>5.4244552000215496E-4</v>
      </c>
      <c r="D36" s="54">
        <v>-7.8217443951398291E-3</v>
      </c>
      <c r="E36" s="54">
        <v>-9.9104196798815991E-3</v>
      </c>
      <c r="F36" s="54">
        <v>-1.9963391237153738E-2</v>
      </c>
    </row>
    <row r="37" spans="1:6" x14ac:dyDescent="0.25">
      <c r="A37" s="42">
        <v>40690</v>
      </c>
      <c r="B37" s="54">
        <v>4.1762001472431809E-3</v>
      </c>
      <c r="C37" s="54">
        <v>3.8164803040072748E-3</v>
      </c>
      <c r="D37" s="54">
        <v>3.2912321018945256E-3</v>
      </c>
      <c r="E37" s="54">
        <v>-1.4353319978021695E-2</v>
      </c>
      <c r="F37" s="54">
        <v>-1.9090930267865791E-2</v>
      </c>
    </row>
    <row r="38" spans="1:6" x14ac:dyDescent="0.25">
      <c r="A38" s="42">
        <v>40697</v>
      </c>
      <c r="B38" s="54">
        <v>-3.5333089421407671E-4</v>
      </c>
      <c r="C38" s="54">
        <v>1.3401237042386827E-2</v>
      </c>
      <c r="D38" s="54">
        <v>9.6633785401762928E-3</v>
      </c>
      <c r="E38" s="54">
        <v>-6.1390590773369169E-5</v>
      </c>
      <c r="F38" s="54">
        <v>-1.4672146076278869E-3</v>
      </c>
    </row>
    <row r="39" spans="1:6" x14ac:dyDescent="0.25">
      <c r="A39" s="42">
        <v>40704</v>
      </c>
      <c r="B39" s="54">
        <v>4.1521928781496076E-3</v>
      </c>
      <c r="C39" s="54">
        <v>9.3146985738398191E-3</v>
      </c>
      <c r="D39" s="54">
        <v>-2.0770249046264677E-4</v>
      </c>
      <c r="E39" s="54">
        <v>-1.9393083574312686E-2</v>
      </c>
      <c r="F39" s="54">
        <v>-2.9306359614684863E-2</v>
      </c>
    </row>
    <row r="40" spans="1:6" x14ac:dyDescent="0.25">
      <c r="A40" s="42">
        <v>40711</v>
      </c>
      <c r="B40" s="54">
        <v>-1.3556616617850015E-2</v>
      </c>
      <c r="C40" s="54">
        <v>-9.9220790338929721E-3</v>
      </c>
      <c r="D40" s="54">
        <v>-1.063774251830818E-2</v>
      </c>
      <c r="E40" s="54">
        <v>-9.9782384818952741E-3</v>
      </c>
      <c r="F40" s="54">
        <v>-1.9112968020391641E-3</v>
      </c>
    </row>
    <row r="41" spans="1:6" x14ac:dyDescent="0.25">
      <c r="A41" s="42">
        <v>40718</v>
      </c>
      <c r="B41" s="54">
        <v>-1.1802507648983607E-4</v>
      </c>
      <c r="C41" s="54">
        <v>2.508104945312839E-3</v>
      </c>
      <c r="D41" s="54">
        <v>7.9365335532769477E-3</v>
      </c>
      <c r="E41" s="54">
        <v>-2.1118356971492447E-2</v>
      </c>
      <c r="F41" s="54">
        <v>-2.4395143281170317E-2</v>
      </c>
    </row>
    <row r="42" spans="1:6" x14ac:dyDescent="0.25">
      <c r="A42" s="42">
        <v>40725</v>
      </c>
      <c r="B42" s="54">
        <v>-7.4773532305967283E-3</v>
      </c>
      <c r="C42" s="54">
        <v>-1.6171625681130397E-2</v>
      </c>
      <c r="D42" s="54">
        <v>5.858821615458254E-3</v>
      </c>
      <c r="E42" s="54">
        <v>2.566957604965614E-3</v>
      </c>
      <c r="F42" s="54">
        <v>1.4159365699311754E-2</v>
      </c>
    </row>
    <row r="43" spans="1:6" x14ac:dyDescent="0.25">
      <c r="A43" s="42">
        <v>40732</v>
      </c>
      <c r="B43" s="54">
        <v>1.3179741231139741E-2</v>
      </c>
      <c r="C43" s="54">
        <v>1.138581402852723E-3</v>
      </c>
      <c r="D43" s="54">
        <v>1.1658712620084111E-2</v>
      </c>
      <c r="E43" s="54">
        <v>-1.0890906454115501E-2</v>
      </c>
      <c r="F43" s="54">
        <v>-4.7421855430108129E-2</v>
      </c>
    </row>
    <row r="44" spans="1:6" x14ac:dyDescent="0.25">
      <c r="A44" s="42">
        <v>40739</v>
      </c>
      <c r="B44" s="54">
        <v>9.9851980153470299E-3</v>
      </c>
      <c r="C44" s="54">
        <v>6.015576865203931E-3</v>
      </c>
      <c r="D44" s="54">
        <v>2.0359539843772811E-3</v>
      </c>
      <c r="E44" s="54">
        <v>-1.1111196379763322E-2</v>
      </c>
      <c r="F44" s="54">
        <v>-2.2117686321913466E-2</v>
      </c>
    </row>
    <row r="45" spans="1:6" x14ac:dyDescent="0.25">
      <c r="A45" s="42">
        <v>40746</v>
      </c>
      <c r="B45" s="54">
        <v>-3.5267982069908665E-3</v>
      </c>
      <c r="C45" s="54">
        <v>-1.2737946176659687E-2</v>
      </c>
      <c r="D45" s="54">
        <v>-3.6172928974997909E-3</v>
      </c>
      <c r="E45" s="54">
        <v>1.7366752073397551E-2</v>
      </c>
      <c r="F45" s="54">
        <v>3.0547925700528555E-2</v>
      </c>
    </row>
    <row r="46" spans="1:6" x14ac:dyDescent="0.25">
      <c r="A46" s="42">
        <v>40753</v>
      </c>
      <c r="B46" s="54">
        <v>5.3397822237385428E-3</v>
      </c>
      <c r="C46" s="54">
        <v>4.786643264814483E-3</v>
      </c>
      <c r="D46" s="54">
        <v>-1.1630895026337407E-2</v>
      </c>
      <c r="E46" s="54">
        <v>-1.5325315341724433E-2</v>
      </c>
      <c r="F46" s="54">
        <v>-3.5540062767200231E-2</v>
      </c>
    </row>
    <row r="47" spans="1:6" x14ac:dyDescent="0.25">
      <c r="A47" s="42">
        <v>40760</v>
      </c>
      <c r="B47" s="54">
        <v>-2.7146006564313652E-3</v>
      </c>
      <c r="C47" s="54">
        <v>7.944076055798388E-3</v>
      </c>
      <c r="D47" s="54">
        <v>-3.0378253308390613E-2</v>
      </c>
      <c r="E47" s="54">
        <v>-3.338223155661324E-2</v>
      </c>
      <c r="F47" s="54">
        <v>-2.9462178245327375E-2</v>
      </c>
    </row>
    <row r="48" spans="1:6" x14ac:dyDescent="0.25">
      <c r="A48" s="42">
        <v>40767</v>
      </c>
      <c r="B48" s="54">
        <v>1.4406193982180349E-2</v>
      </c>
      <c r="C48" s="54">
        <v>1.4683711084589546E-2</v>
      </c>
      <c r="D48" s="54">
        <v>2.1367997239589598E-2</v>
      </c>
      <c r="E48" s="54">
        <v>1.9480407978313186E-2</v>
      </c>
      <c r="F48" s="54">
        <v>7.9331095836895349E-3</v>
      </c>
    </row>
    <row r="49" spans="1:6" x14ac:dyDescent="0.25">
      <c r="A49" s="42">
        <v>40774</v>
      </c>
      <c r="B49" s="54">
        <v>1.0845578532611477E-2</v>
      </c>
      <c r="C49" s="54">
        <v>1.8293367980882547E-2</v>
      </c>
      <c r="D49" s="54">
        <v>-1.0974764854095875E-2</v>
      </c>
      <c r="E49" s="54">
        <v>-8.6497117023087711E-3</v>
      </c>
      <c r="F49" s="54">
        <v>-2.5358700748439156E-2</v>
      </c>
    </row>
    <row r="50" spans="1:6" x14ac:dyDescent="0.25">
      <c r="A50" s="42">
        <v>40781</v>
      </c>
      <c r="B50" s="54">
        <v>6.5782153937996579E-3</v>
      </c>
      <c r="C50" s="54">
        <v>1.2181544432738889E-3</v>
      </c>
      <c r="D50" s="54">
        <v>-8.744461451444252E-4</v>
      </c>
      <c r="E50" s="54">
        <v>-1.8647457356788522E-3</v>
      </c>
      <c r="F50" s="54">
        <v>-3.0530488613789153E-4</v>
      </c>
    </row>
    <row r="51" spans="1:6" x14ac:dyDescent="0.25">
      <c r="A51" s="42">
        <v>40788</v>
      </c>
      <c r="B51" s="54">
        <v>2.0836107942578064E-2</v>
      </c>
      <c r="C51" s="54">
        <v>1.0668622264699001E-2</v>
      </c>
      <c r="D51" s="54">
        <v>8.9748453255968919E-3</v>
      </c>
      <c r="E51" s="54">
        <v>2.5923083598107244E-3</v>
      </c>
      <c r="F51" s="54">
        <v>-7.992359596104226E-3</v>
      </c>
    </row>
    <row r="52" spans="1:6" x14ac:dyDescent="0.25">
      <c r="A52" s="42">
        <v>40795</v>
      </c>
      <c r="B52" s="54">
        <v>3.6982092662375288E-2</v>
      </c>
      <c r="C52" s="54">
        <v>2.8004365787313468E-2</v>
      </c>
      <c r="D52" s="54">
        <v>2.921144101154749E-2</v>
      </c>
      <c r="E52" s="54">
        <v>-1.3713786713464904E-2</v>
      </c>
      <c r="F52" s="54">
        <v>-5.2722329617123087E-2</v>
      </c>
    </row>
    <row r="53" spans="1:6" x14ac:dyDescent="0.25">
      <c r="A53" s="42">
        <v>40802</v>
      </c>
      <c r="B53" s="54">
        <v>-1.8545641286201509E-2</v>
      </c>
      <c r="C53" s="54">
        <v>-3.0890812786472988E-2</v>
      </c>
      <c r="D53" s="54">
        <v>-1.6619436241122942E-2</v>
      </c>
      <c r="E53" s="54">
        <v>8.6258322675449861E-3</v>
      </c>
      <c r="F53" s="54">
        <v>2.7102878279320786E-2</v>
      </c>
    </row>
    <row r="54" spans="1:6" x14ac:dyDescent="0.25">
      <c r="A54" s="42">
        <v>40809</v>
      </c>
      <c r="B54" s="54">
        <v>-1.4173159242480193E-2</v>
      </c>
      <c r="C54" s="54">
        <v>7.9973844598884014E-3</v>
      </c>
      <c r="D54" s="54">
        <v>-1.1347733085193656E-2</v>
      </c>
      <c r="E54" s="54">
        <v>-2.9952178217114045E-2</v>
      </c>
      <c r="F54" s="54">
        <v>-2.6319018520188697E-2</v>
      </c>
    </row>
    <row r="55" spans="1:6" x14ac:dyDescent="0.25">
      <c r="A55" s="42">
        <v>40816</v>
      </c>
      <c r="B55" s="54">
        <v>-1.9288087500791917E-2</v>
      </c>
      <c r="C55" s="54">
        <v>-2.3838388600051719E-2</v>
      </c>
      <c r="D55" s="54">
        <v>-2.9855737379535396E-2</v>
      </c>
      <c r="E55" s="54">
        <v>-1.3445317963326708E-2</v>
      </c>
      <c r="F55" s="54">
        <v>2.6589921537884864E-2</v>
      </c>
    </row>
    <row r="56" spans="1:6" x14ac:dyDescent="0.25">
      <c r="A56" s="42">
        <v>40823</v>
      </c>
      <c r="B56" s="54">
        <v>-7.1301622660848718E-3</v>
      </c>
      <c r="C56" s="54">
        <v>-1.8713362701866743E-2</v>
      </c>
      <c r="D56" s="54">
        <v>-7.5593477044202384E-3</v>
      </c>
      <c r="E56" s="54">
        <v>-7.8073547182773151E-3</v>
      </c>
      <c r="F56" s="54">
        <v>-7.6309348368996943E-3</v>
      </c>
    </row>
    <row r="57" spans="1:6" x14ac:dyDescent="0.25">
      <c r="A57" s="42">
        <v>40830</v>
      </c>
      <c r="B57" s="54">
        <v>-3.8897171260805496E-3</v>
      </c>
      <c r="C57" s="54">
        <v>-5.617461315902128E-3</v>
      </c>
      <c r="D57" s="54">
        <v>6.7123304529765893E-3</v>
      </c>
      <c r="E57" s="54">
        <v>2.6098246088975596E-2</v>
      </c>
      <c r="F57" s="54">
        <v>1.1197844522428779E-2</v>
      </c>
    </row>
    <row r="58" spans="1:6" x14ac:dyDescent="0.25">
      <c r="A58" s="42">
        <v>40837</v>
      </c>
      <c r="B58" s="54">
        <v>-1.9692347019002465E-3</v>
      </c>
      <c r="C58" s="54">
        <v>2.5346671562498369E-3</v>
      </c>
      <c r="D58" s="54">
        <v>-7.9772525331519573E-3</v>
      </c>
      <c r="E58" s="54">
        <v>-5.180360402712858E-3</v>
      </c>
      <c r="F58" s="54">
        <v>-3.2183901217215705E-2</v>
      </c>
    </row>
    <row r="59" spans="1:6" x14ac:dyDescent="0.25">
      <c r="A59" s="42">
        <v>40844</v>
      </c>
      <c r="B59" s="54">
        <v>-9.1851192653624736E-4</v>
      </c>
      <c r="C59" s="54">
        <v>-1.3750612179737498E-2</v>
      </c>
      <c r="D59" s="54">
        <v>-5.8448988009418557E-3</v>
      </c>
      <c r="E59" s="54">
        <v>3.666742772195497E-2</v>
      </c>
      <c r="F59" s="54">
        <v>3.6714479764933472E-2</v>
      </c>
    </row>
    <row r="60" spans="1:6" x14ac:dyDescent="0.25">
      <c r="A60" s="42">
        <v>40851</v>
      </c>
      <c r="B60" s="54">
        <v>2.0333478543558381E-2</v>
      </c>
      <c r="C60" s="54">
        <v>2.547031003306488E-2</v>
      </c>
      <c r="D60" s="54">
        <v>2.7632219181943252E-2</v>
      </c>
      <c r="E60" s="54">
        <v>-3.0388433087622735E-2</v>
      </c>
      <c r="F60" s="54">
        <v>-5.5558289873671174E-2</v>
      </c>
    </row>
    <row r="61" spans="1:6" x14ac:dyDescent="0.25">
      <c r="A61" s="42">
        <v>40858</v>
      </c>
      <c r="B61" s="54">
        <v>-6.276766718829041E-3</v>
      </c>
      <c r="C61" s="54">
        <v>-9.2857991683626961E-3</v>
      </c>
      <c r="D61" s="54">
        <v>3.2082182135564352E-3</v>
      </c>
      <c r="E61" s="54">
        <v>-9.3505085429370638E-3</v>
      </c>
      <c r="F61" s="54">
        <v>-1.9255857134343302E-2</v>
      </c>
    </row>
    <row r="62" spans="1:6" x14ac:dyDescent="0.25">
      <c r="A62" s="42">
        <v>40865</v>
      </c>
      <c r="B62" s="54">
        <v>-3.8749245587718084E-3</v>
      </c>
      <c r="C62" s="54">
        <v>5.6422640591258233E-3</v>
      </c>
      <c r="D62" s="54">
        <v>-1.168753479178164E-2</v>
      </c>
      <c r="E62" s="54">
        <v>-2.2222772135712887E-2</v>
      </c>
      <c r="F62" s="54">
        <v>-3.5654689256987004E-2</v>
      </c>
    </row>
    <row r="63" spans="1:6" x14ac:dyDescent="0.25">
      <c r="A63" s="42">
        <v>40872</v>
      </c>
      <c r="B63" s="54">
        <v>9.9626596080314433E-3</v>
      </c>
      <c r="C63" s="54">
        <v>1.224937781143709E-2</v>
      </c>
      <c r="D63" s="54">
        <v>9.8009757807556719E-3</v>
      </c>
      <c r="E63" s="54">
        <v>-1.1443321045271126E-2</v>
      </c>
      <c r="F63" s="54">
        <v>-2.6169228752769169E-2</v>
      </c>
    </row>
    <row r="64" spans="1:6" x14ac:dyDescent="0.25">
      <c r="A64" s="42">
        <v>40879</v>
      </c>
      <c r="B64" s="54">
        <v>-1.0715099955188823E-2</v>
      </c>
      <c r="C64" s="54">
        <v>-2.8351951457652902E-2</v>
      </c>
      <c r="D64" s="54">
        <v>-5.1621829479653325E-3</v>
      </c>
      <c r="E64" s="54">
        <v>1.2341172884217544E-2</v>
      </c>
      <c r="F64" s="54">
        <v>5.0880180437781419E-2</v>
      </c>
    </row>
    <row r="65" spans="1:6" x14ac:dyDescent="0.25">
      <c r="A65" s="42">
        <v>40886</v>
      </c>
      <c r="B65" s="54">
        <v>-1.0686576368790335E-2</v>
      </c>
      <c r="C65" s="54">
        <v>-8.7293172506954786E-3</v>
      </c>
      <c r="D65" s="54">
        <v>-4.0862378949725331E-3</v>
      </c>
      <c r="E65" s="54">
        <v>-2.5259588012482515E-2</v>
      </c>
      <c r="F65" s="54">
        <v>-1.4108876337945442E-2</v>
      </c>
    </row>
    <row r="66" spans="1:6" x14ac:dyDescent="0.25">
      <c r="A66" s="42">
        <v>40893</v>
      </c>
      <c r="B66" s="54">
        <v>7.8027966594745868E-3</v>
      </c>
      <c r="C66" s="54">
        <v>1.472876149503799E-2</v>
      </c>
      <c r="D66" s="54">
        <v>1.3513933195532624E-2</v>
      </c>
      <c r="E66" s="54">
        <v>-1.4302301084469282E-2</v>
      </c>
      <c r="F66" s="54">
        <v>-3.5067384690266823E-2</v>
      </c>
    </row>
    <row r="67" spans="1:6" x14ac:dyDescent="0.25">
      <c r="A67" s="42">
        <v>40900</v>
      </c>
      <c r="B67" s="54">
        <v>8.3788614454904931E-5</v>
      </c>
      <c r="C67" s="54">
        <v>-3.453875855779609E-3</v>
      </c>
      <c r="D67" s="54">
        <v>3.402993287517031E-3</v>
      </c>
      <c r="E67" s="54">
        <v>1.0905777506156511E-2</v>
      </c>
      <c r="F67" s="54">
        <v>9.7811772427702781E-3</v>
      </c>
    </row>
    <row r="68" spans="1:6" x14ac:dyDescent="0.25">
      <c r="A68" s="42">
        <v>40907</v>
      </c>
      <c r="B68" s="54">
        <v>-1.1482886373328505E-3</v>
      </c>
      <c r="C68" s="54">
        <v>-6.0671414934843071E-4</v>
      </c>
      <c r="D68" s="54">
        <v>-2.1406684048641544E-4</v>
      </c>
      <c r="E68" s="54">
        <v>-5.1708078956080872E-3</v>
      </c>
      <c r="F68" s="54">
        <v>-1.2416446180689267E-2</v>
      </c>
    </row>
    <row r="69" spans="1:6" x14ac:dyDescent="0.25">
      <c r="A69" s="42">
        <v>40914</v>
      </c>
      <c r="B69" s="54">
        <v>6.4031440921303862E-3</v>
      </c>
      <c r="C69" s="54">
        <v>-4.2213616756561212E-3</v>
      </c>
      <c r="D69" s="54">
        <v>-6.9234886872571177E-3</v>
      </c>
      <c r="E69" s="54">
        <v>3.9493494656441808E-3</v>
      </c>
      <c r="F69" s="54">
        <v>-2.0566593772394115E-2</v>
      </c>
    </row>
    <row r="70" spans="1:6" x14ac:dyDescent="0.25">
      <c r="A70" s="42">
        <v>40921</v>
      </c>
      <c r="B70" s="54">
        <v>7.4143388988781034E-3</v>
      </c>
      <c r="C70" s="54">
        <v>2.3205657832425786E-5</v>
      </c>
      <c r="D70" s="54">
        <v>-5.2045781883196529E-3</v>
      </c>
      <c r="E70" s="54">
        <v>1.5725040351985076E-2</v>
      </c>
      <c r="F70" s="54">
        <v>3.8154215399621494E-2</v>
      </c>
    </row>
    <row r="71" spans="1:6" x14ac:dyDescent="0.25">
      <c r="A71" s="42">
        <v>40928</v>
      </c>
      <c r="B71" s="54">
        <v>-1.2211019488619801E-2</v>
      </c>
      <c r="C71" s="54">
        <v>-1.7575627757683732E-2</v>
      </c>
      <c r="D71" s="54">
        <v>-3.0273470743887421E-2</v>
      </c>
      <c r="E71" s="54">
        <v>1.2957558226167176E-2</v>
      </c>
      <c r="F71" s="54">
        <v>5.6463265914263872E-2</v>
      </c>
    </row>
    <row r="72" spans="1:6" x14ac:dyDescent="0.25">
      <c r="A72" s="42">
        <v>40935</v>
      </c>
      <c r="B72" s="54">
        <v>6.4171093887182007E-3</v>
      </c>
      <c r="C72" s="54">
        <v>3.5689993709715484E-3</v>
      </c>
      <c r="D72" s="54">
        <v>-2.4709629313102166E-4</v>
      </c>
      <c r="E72" s="54">
        <v>1.7640226752805299E-2</v>
      </c>
      <c r="F72" s="54">
        <v>3.488684161623512E-2</v>
      </c>
    </row>
    <row r="73" spans="1:6" x14ac:dyDescent="0.25">
      <c r="A73" s="42">
        <v>40942</v>
      </c>
      <c r="B73" s="54">
        <v>7.8236728946112777E-3</v>
      </c>
      <c r="C73" s="54">
        <v>-3.4592603363872154E-3</v>
      </c>
      <c r="D73" s="54">
        <v>3.1196226890819467E-3</v>
      </c>
      <c r="E73" s="54">
        <v>3.030058425934623E-4</v>
      </c>
      <c r="F73" s="54">
        <v>1.1002904013889925E-2</v>
      </c>
    </row>
    <row r="74" spans="1:6" x14ac:dyDescent="0.25">
      <c r="A74" s="42">
        <v>40949</v>
      </c>
      <c r="B74" s="54">
        <v>3.7090717654393313E-3</v>
      </c>
      <c r="C74" s="54">
        <v>-3.273830438628722E-3</v>
      </c>
      <c r="D74" s="54">
        <v>-5.7278717323608896E-3</v>
      </c>
      <c r="E74" s="54">
        <v>-5.9603871958943122E-3</v>
      </c>
      <c r="F74" s="54">
        <v>7.7433574460934462E-3</v>
      </c>
    </row>
    <row r="75" spans="1:6" x14ac:dyDescent="0.25">
      <c r="A75" s="42">
        <v>40956</v>
      </c>
      <c r="B75" s="54">
        <v>-4.3255312596239825E-3</v>
      </c>
      <c r="C75" s="54">
        <v>-7.2393267235042469E-3</v>
      </c>
      <c r="D75" s="54">
        <v>-3.9842780070540318E-3</v>
      </c>
      <c r="E75" s="54">
        <v>2.413432922751646E-3</v>
      </c>
      <c r="F75" s="54">
        <v>-5.5244150959143923E-5</v>
      </c>
    </row>
    <row r="76" spans="1:6" x14ac:dyDescent="0.25">
      <c r="A76" s="42">
        <v>40963</v>
      </c>
      <c r="B76" s="54">
        <v>6.2141285471314367E-3</v>
      </c>
      <c r="C76" s="54">
        <v>6.3525671759109281E-3</v>
      </c>
      <c r="D76" s="54">
        <v>2.0642523879529362E-3</v>
      </c>
      <c r="E76" s="54">
        <v>9.4897178282293826E-4</v>
      </c>
      <c r="F76" s="54">
        <v>5.4234748232940833E-3</v>
      </c>
    </row>
    <row r="77" spans="1:6" x14ac:dyDescent="0.25">
      <c r="A77" s="42">
        <v>40970</v>
      </c>
      <c r="B77" s="54">
        <v>7.3783254455062064E-5</v>
      </c>
      <c r="C77" s="54">
        <v>5.4257153047159168E-3</v>
      </c>
      <c r="D77" s="54">
        <v>2.6756360354165398E-3</v>
      </c>
      <c r="E77" s="54">
        <v>4.7140491807018403E-3</v>
      </c>
      <c r="F77" s="54">
        <v>9.0070193621356598E-3</v>
      </c>
    </row>
    <row r="78" spans="1:6" x14ac:dyDescent="0.25">
      <c r="A78" s="42">
        <v>40977</v>
      </c>
      <c r="B78" s="54">
        <v>7.6799241915210814E-3</v>
      </c>
      <c r="C78" s="54">
        <v>5.9779296858188946E-3</v>
      </c>
      <c r="D78" s="54">
        <v>6.5608676590407367E-3</v>
      </c>
      <c r="E78" s="54">
        <v>-1.1596502218074289E-2</v>
      </c>
      <c r="F78" s="54">
        <v>-1.5145304690389549E-2</v>
      </c>
    </row>
    <row r="79" spans="1:6" x14ac:dyDescent="0.25">
      <c r="A79" s="42">
        <v>40984</v>
      </c>
      <c r="B79" s="54">
        <v>-1.9628718272811208E-2</v>
      </c>
      <c r="C79" s="54">
        <v>-1.9315018752876112E-2</v>
      </c>
      <c r="D79" s="54">
        <v>8.7190119104407771E-4</v>
      </c>
      <c r="E79" s="54">
        <v>3.6905840183021343E-3</v>
      </c>
      <c r="F79" s="54">
        <v>9.8931616912210085E-3</v>
      </c>
    </row>
    <row r="80" spans="1:6" x14ac:dyDescent="0.25">
      <c r="A80" s="42">
        <v>40991</v>
      </c>
      <c r="B80" s="54">
        <v>3.8971497199585814E-3</v>
      </c>
      <c r="C80" s="54">
        <v>1.1047268300576563E-2</v>
      </c>
      <c r="D80" s="54">
        <v>5.5748911900118658E-3</v>
      </c>
      <c r="E80" s="54">
        <v>4.1493096968145959E-3</v>
      </c>
      <c r="F80" s="54">
        <v>-3.2395501919387781E-3</v>
      </c>
    </row>
    <row r="81" spans="1:6" x14ac:dyDescent="0.25">
      <c r="A81" s="42">
        <v>40998</v>
      </c>
      <c r="B81" s="54">
        <v>1.7327484079948108E-2</v>
      </c>
      <c r="C81" s="54">
        <v>1.1526656900016641E-2</v>
      </c>
      <c r="D81" s="54">
        <v>1.1516542575679467E-2</v>
      </c>
      <c r="E81" s="54">
        <v>7.452626420841213E-3</v>
      </c>
      <c r="F81" s="54">
        <v>-2.1261243761989124E-2</v>
      </c>
    </row>
    <row r="82" spans="1:6" x14ac:dyDescent="0.25">
      <c r="A82" s="42">
        <v>41005</v>
      </c>
      <c r="B82" s="54">
        <v>8.7477537682666417E-3</v>
      </c>
      <c r="C82" s="54">
        <v>6.1380459388614694E-3</v>
      </c>
      <c r="D82" s="54">
        <v>1.0645778853800358E-2</v>
      </c>
      <c r="E82" s="54">
        <v>-1.7852741833113472E-2</v>
      </c>
      <c r="F82" s="54">
        <v>-4.1864944394701231E-2</v>
      </c>
    </row>
    <row r="83" spans="1:6" x14ac:dyDescent="0.25">
      <c r="A83" s="42">
        <v>41012</v>
      </c>
      <c r="B83" s="54">
        <v>1.9385812500646527E-2</v>
      </c>
      <c r="C83" s="54">
        <v>1.3947347350968919E-2</v>
      </c>
      <c r="D83" s="54">
        <v>1.5955391893282433E-2</v>
      </c>
      <c r="E83" s="54">
        <v>-4.3275870281770379E-3</v>
      </c>
      <c r="F83" s="54">
        <v>-2.4155131299512411E-2</v>
      </c>
    </row>
    <row r="84" spans="1:6" x14ac:dyDescent="0.25">
      <c r="A84" s="42">
        <v>41019</v>
      </c>
      <c r="B84" s="54">
        <v>9.9337238332246613E-3</v>
      </c>
      <c r="C84" s="54">
        <v>-4.9641206896311463E-3</v>
      </c>
      <c r="D84" s="54">
        <v>3.6241366550988641E-3</v>
      </c>
      <c r="E84" s="54">
        <v>-1.4483932711867986E-2</v>
      </c>
      <c r="F84" s="54">
        <v>-3.1626675685473837E-2</v>
      </c>
    </row>
    <row r="85" spans="1:6" x14ac:dyDescent="0.25">
      <c r="A85" s="42">
        <v>41026</v>
      </c>
      <c r="B85" s="54">
        <v>-1.2867734580487955E-2</v>
      </c>
      <c r="C85" s="54">
        <v>-2.388656754651608E-3</v>
      </c>
      <c r="D85" s="54">
        <v>-5.8252403094809502E-3</v>
      </c>
      <c r="E85" s="54">
        <v>7.690395091528579E-4</v>
      </c>
      <c r="F85" s="54">
        <v>2.0630412129745368E-2</v>
      </c>
    </row>
    <row r="86" spans="1:6" x14ac:dyDescent="0.25">
      <c r="A86" s="42">
        <v>41033</v>
      </c>
      <c r="B86" s="54">
        <v>6.7291073536862589E-3</v>
      </c>
      <c r="C86" s="54">
        <v>1.1846494865178969E-2</v>
      </c>
      <c r="D86" s="54">
        <v>1.5282822484352088E-2</v>
      </c>
      <c r="E86" s="54">
        <v>-1.8474534665694042E-2</v>
      </c>
      <c r="F86" s="54">
        <v>-3.1280439606906629E-2</v>
      </c>
    </row>
    <row r="87" spans="1:6" x14ac:dyDescent="0.25">
      <c r="A87" s="42">
        <v>41040</v>
      </c>
      <c r="B87" s="54">
        <v>-9.4892971334462617E-3</v>
      </c>
      <c r="C87" s="54">
        <v>-6.5966259369006908E-3</v>
      </c>
      <c r="D87" s="54">
        <v>-1.3602929771449057E-3</v>
      </c>
      <c r="E87" s="54">
        <v>5.4470881779751235E-3</v>
      </c>
      <c r="F87" s="54">
        <v>3.1174785923102633E-3</v>
      </c>
    </row>
    <row r="88" spans="1:6" x14ac:dyDescent="0.25">
      <c r="A88" s="42">
        <v>41047</v>
      </c>
      <c r="B88" s="54">
        <v>3.3842059091170329E-3</v>
      </c>
      <c r="C88" s="54">
        <v>1.3231371691272531E-2</v>
      </c>
      <c r="D88" s="54">
        <v>8.032845212747608E-3</v>
      </c>
      <c r="E88" s="54">
        <v>-2.2113773270618586E-2</v>
      </c>
      <c r="F88" s="54">
        <v>-3.7445193110581365E-2</v>
      </c>
    </row>
    <row r="89" spans="1:6" x14ac:dyDescent="0.25">
      <c r="A89" s="42">
        <v>41054</v>
      </c>
      <c r="B89" s="54">
        <v>1.2437185621583247E-4</v>
      </c>
      <c r="C89" s="54">
        <v>-5.8883127716502504E-3</v>
      </c>
      <c r="D89" s="54">
        <v>5.8347349459333397E-3</v>
      </c>
      <c r="E89" s="54">
        <v>-3.6539838857823081E-3</v>
      </c>
      <c r="F89" s="54">
        <v>-4.7177700622416108E-3</v>
      </c>
    </row>
    <row r="90" spans="1:6" x14ac:dyDescent="0.25">
      <c r="A90" s="42">
        <v>41061</v>
      </c>
      <c r="B90" s="54">
        <v>3.7411853252893312E-3</v>
      </c>
      <c r="C90" s="54">
        <v>4.147336446937544E-3</v>
      </c>
      <c r="D90" s="54">
        <v>6.4240900076097951E-3</v>
      </c>
      <c r="E90" s="54">
        <v>-1.3778188631742627E-2</v>
      </c>
      <c r="F90" s="54">
        <v>-2.1669076626383732E-2</v>
      </c>
    </row>
    <row r="91" spans="1:6" x14ac:dyDescent="0.25">
      <c r="A91" s="42">
        <v>41068</v>
      </c>
      <c r="B91" s="54">
        <v>8.1345037962643474E-4</v>
      </c>
      <c r="C91" s="54">
        <v>-5.534496392587851E-3</v>
      </c>
      <c r="D91" s="54">
        <v>-2.3121267831951453E-3</v>
      </c>
      <c r="E91" s="54">
        <v>3.7595365931337721E-3</v>
      </c>
      <c r="F91" s="54">
        <v>2.2852080337058656E-2</v>
      </c>
    </row>
    <row r="92" spans="1:6" x14ac:dyDescent="0.25">
      <c r="A92" s="42">
        <v>41075</v>
      </c>
      <c r="B92" s="54">
        <v>-7.0445856064371704E-4</v>
      </c>
      <c r="C92" s="54">
        <v>-6.7388025748309488E-3</v>
      </c>
      <c r="D92" s="54">
        <v>-9.5577822197383533E-3</v>
      </c>
      <c r="E92" s="54">
        <v>-1.9325119299903104E-2</v>
      </c>
      <c r="F92" s="54">
        <v>-1.5511761634160792E-2</v>
      </c>
    </row>
    <row r="93" spans="1:6" x14ac:dyDescent="0.25">
      <c r="A93" s="42">
        <v>41082</v>
      </c>
      <c r="B93" s="54">
        <v>-1.5076225243524366E-3</v>
      </c>
      <c r="C93" s="54">
        <v>1.0874515708303445E-3</v>
      </c>
      <c r="D93" s="54">
        <v>3.0029814300220892E-3</v>
      </c>
      <c r="E93" s="54">
        <v>1.3400559169423509E-2</v>
      </c>
      <c r="F93" s="54">
        <v>2.6972758734066682E-2</v>
      </c>
    </row>
    <row r="94" spans="1:6" x14ac:dyDescent="0.25">
      <c r="A94" s="42">
        <v>41089</v>
      </c>
      <c r="B94" s="54">
        <v>3.6629634444147463E-3</v>
      </c>
      <c r="C94" s="54">
        <v>-1.294987188787311E-2</v>
      </c>
      <c r="D94" s="54">
        <v>1.6101355079749524E-3</v>
      </c>
      <c r="E94" s="54">
        <v>-3.6451835124389209E-3</v>
      </c>
      <c r="F94" s="54">
        <v>-4.7798601681903197E-3</v>
      </c>
    </row>
    <row r="95" spans="1:6" x14ac:dyDescent="0.25">
      <c r="A95" s="42">
        <v>41096</v>
      </c>
      <c r="B95" s="54">
        <v>8.8142400557538192E-3</v>
      </c>
      <c r="C95" s="54">
        <v>1.3339357821890996E-3</v>
      </c>
      <c r="D95" s="54">
        <v>1.0788124852544989E-2</v>
      </c>
      <c r="E95" s="54">
        <v>-1.2472294155500219E-2</v>
      </c>
      <c r="F95" s="54">
        <v>-4.0555672270852217E-2</v>
      </c>
    </row>
    <row r="96" spans="1:6" x14ac:dyDescent="0.25">
      <c r="A96" s="42">
        <v>41103</v>
      </c>
      <c r="B96" s="54">
        <v>1.9367791205771034E-4</v>
      </c>
      <c r="C96" s="54">
        <v>-5.4905646237328742E-3</v>
      </c>
      <c r="D96" s="54">
        <v>4.2343213457973761E-4</v>
      </c>
      <c r="E96" s="54">
        <v>-1.0154156993124497E-2</v>
      </c>
      <c r="F96" s="54">
        <v>-1.4747932589472601E-2</v>
      </c>
    </row>
    <row r="97" spans="1:6" x14ac:dyDescent="0.25">
      <c r="A97" s="42">
        <v>41110</v>
      </c>
      <c r="B97" s="54">
        <v>6.9346206437150837E-3</v>
      </c>
      <c r="C97" s="54">
        <v>4.5752656298059247E-3</v>
      </c>
      <c r="D97" s="54">
        <v>1.5237759782371407E-2</v>
      </c>
      <c r="E97" s="54">
        <v>-6.6328365563100844E-3</v>
      </c>
      <c r="F97" s="54">
        <v>-3.8490978168325807E-2</v>
      </c>
    </row>
    <row r="98" spans="1:6" x14ac:dyDescent="0.25">
      <c r="A98" s="42">
        <v>41117</v>
      </c>
      <c r="B98" s="54">
        <v>-4.5933804089097752E-3</v>
      </c>
      <c r="C98" s="54">
        <v>-8.307565248362625E-3</v>
      </c>
      <c r="D98" s="54">
        <v>-5.3766241797621461E-3</v>
      </c>
      <c r="E98" s="54">
        <v>-8.2901760570824878E-3</v>
      </c>
      <c r="F98" s="54">
        <v>2.0626858860773867E-2</v>
      </c>
    </row>
    <row r="99" spans="1:6" x14ac:dyDescent="0.25">
      <c r="A99" s="42">
        <v>41124</v>
      </c>
      <c r="B99" s="54">
        <v>-1.3048791006622373E-3</v>
      </c>
      <c r="C99" s="54">
        <v>-5.1198037219954973E-3</v>
      </c>
      <c r="D99" s="54">
        <v>-1.5765445645738785E-2</v>
      </c>
      <c r="E99" s="54">
        <v>-2.0643716161669268E-2</v>
      </c>
      <c r="F99" s="54">
        <v>2.1905043688643655E-3</v>
      </c>
    </row>
    <row r="100" spans="1:6" x14ac:dyDescent="0.25">
      <c r="A100" s="42">
        <v>41131</v>
      </c>
      <c r="B100" s="54">
        <v>3.312195703322196E-3</v>
      </c>
      <c r="C100" s="54">
        <v>1.3687882150887898E-3</v>
      </c>
      <c r="D100" s="54">
        <v>-1.3487729189220143E-2</v>
      </c>
      <c r="E100" s="54">
        <v>6.9597880743017537E-3</v>
      </c>
      <c r="F100" s="54">
        <v>2.8435917662222643E-2</v>
      </c>
    </row>
    <row r="101" spans="1:6" x14ac:dyDescent="0.25">
      <c r="A101" s="42">
        <v>41138</v>
      </c>
      <c r="B101" s="54">
        <v>-3.3120370890864503E-3</v>
      </c>
      <c r="C101" s="54">
        <v>4.977652866126947E-3</v>
      </c>
      <c r="D101" s="54">
        <v>1.223291165635354E-3</v>
      </c>
      <c r="E101" s="54">
        <v>2.3350992560877026E-2</v>
      </c>
      <c r="F101" s="54">
        <v>4.9154954635828529E-2</v>
      </c>
    </row>
    <row r="102" spans="1:6" x14ac:dyDescent="0.25">
      <c r="A102" s="42">
        <v>41145</v>
      </c>
      <c r="B102" s="54">
        <v>1.755604502511221E-3</v>
      </c>
      <c r="C102" s="54">
        <v>4.4352500242011983E-3</v>
      </c>
      <c r="D102" s="54">
        <v>4.3107556340082898E-4</v>
      </c>
      <c r="E102" s="54">
        <v>-1.3680651018188494E-2</v>
      </c>
      <c r="F102" s="54">
        <v>-6.901902182396058E-3</v>
      </c>
    </row>
    <row r="103" spans="1:6" x14ac:dyDescent="0.25">
      <c r="A103" s="42">
        <v>41152</v>
      </c>
      <c r="B103" s="54">
        <v>-2.6613643779240803E-3</v>
      </c>
      <c r="C103" s="54">
        <v>1.1582980699303858E-2</v>
      </c>
      <c r="D103" s="54">
        <v>9.5596996562491432E-3</v>
      </c>
      <c r="E103" s="54">
        <v>-1.1464734978383628E-4</v>
      </c>
      <c r="F103" s="54">
        <v>1.7864400194821939E-2</v>
      </c>
    </row>
    <row r="104" spans="1:6" x14ac:dyDescent="0.25">
      <c r="A104" s="42">
        <v>41159</v>
      </c>
      <c r="B104" s="54">
        <v>-1.5932591391663031E-3</v>
      </c>
      <c r="C104" s="54">
        <v>-1.8788229245129573E-2</v>
      </c>
      <c r="D104" s="54">
        <v>-5.7415894568448866E-3</v>
      </c>
      <c r="E104" s="54">
        <v>2.043717624018071E-2</v>
      </c>
      <c r="F104" s="54">
        <v>5.8446811172234492E-2</v>
      </c>
    </row>
    <row r="105" spans="1:6" x14ac:dyDescent="0.25">
      <c r="A105" s="42">
        <v>41166</v>
      </c>
      <c r="B105" s="54">
        <v>7.4907513099442546E-4</v>
      </c>
      <c r="C105" s="54">
        <v>-9.8822106757623374E-3</v>
      </c>
      <c r="D105" s="54">
        <v>2.4335850596215458E-3</v>
      </c>
      <c r="E105" s="54">
        <v>2.8884249428727804E-2</v>
      </c>
      <c r="F105" s="54">
        <v>3.4275682307858935E-2</v>
      </c>
    </row>
    <row r="106" spans="1:6" x14ac:dyDescent="0.25">
      <c r="A106" s="42">
        <v>41173</v>
      </c>
      <c r="B106" s="54">
        <v>7.7360856281623036E-3</v>
      </c>
      <c r="C106" s="54">
        <v>1.3693863046208454E-2</v>
      </c>
      <c r="D106" s="54">
        <v>1.9687378678907574E-3</v>
      </c>
      <c r="E106" s="54">
        <v>-1.8404700310739375E-2</v>
      </c>
      <c r="F106" s="54">
        <v>-1.7825775936548438E-2</v>
      </c>
    </row>
    <row r="107" spans="1:6" x14ac:dyDescent="0.25">
      <c r="A107" s="42">
        <v>41180</v>
      </c>
      <c r="B107" s="54">
        <v>1.5866463618697813E-2</v>
      </c>
      <c r="C107" s="54">
        <v>1.8975970838383871E-2</v>
      </c>
      <c r="D107" s="54">
        <v>1.3726895564039387E-2</v>
      </c>
      <c r="E107" s="54">
        <v>-6.0648500470991129E-3</v>
      </c>
      <c r="F107" s="54">
        <v>-3.8513631783982705E-2</v>
      </c>
    </row>
    <row r="108" spans="1:6" x14ac:dyDescent="0.25">
      <c r="A108" s="42">
        <v>41187</v>
      </c>
      <c r="B108" s="54">
        <v>-4.0585816770368766E-3</v>
      </c>
      <c r="C108" s="54">
        <v>-8.527912289873818E-3</v>
      </c>
      <c r="D108" s="54">
        <v>2.7569385815418013E-3</v>
      </c>
      <c r="E108" s="54">
        <v>-4.3619591709667116E-3</v>
      </c>
      <c r="F108" s="54">
        <v>1.5485583979667039E-2</v>
      </c>
    </row>
    <row r="109" spans="1:6" x14ac:dyDescent="0.25">
      <c r="A109" s="42">
        <v>41194</v>
      </c>
      <c r="B109" s="54">
        <v>-4.5246323609535732E-3</v>
      </c>
      <c r="C109" s="54">
        <v>-2.6713556928871229E-3</v>
      </c>
      <c r="D109" s="54">
        <v>-6.9354057987734974E-3</v>
      </c>
      <c r="E109" s="54">
        <v>-5.1267172053518495E-3</v>
      </c>
      <c r="F109" s="54">
        <v>-1.1183368006688066E-2</v>
      </c>
    </row>
    <row r="110" spans="1:6" x14ac:dyDescent="0.25">
      <c r="A110" s="42">
        <v>41201</v>
      </c>
      <c r="B110" s="54">
        <v>-1.1975965894775342E-2</v>
      </c>
      <c r="C110" s="54">
        <v>-1.5270732813724486E-2</v>
      </c>
      <c r="D110" s="54">
        <v>-4.383026724593897E-3</v>
      </c>
      <c r="E110" s="54">
        <v>-7.7620532030604483E-3</v>
      </c>
      <c r="F110" s="54">
        <v>2.0114586288370484E-2</v>
      </c>
    </row>
    <row r="111" spans="1:6" x14ac:dyDescent="0.25">
      <c r="A111" s="42">
        <v>41208</v>
      </c>
      <c r="B111" s="54">
        <v>5.7668096119627421E-3</v>
      </c>
      <c r="C111" s="54">
        <v>9.1312276505426393E-3</v>
      </c>
      <c r="D111" s="54">
        <v>8.7985999072690557E-3</v>
      </c>
      <c r="E111" s="54">
        <v>-4.449456420861253E-3</v>
      </c>
      <c r="F111" s="54">
        <v>-8.7051178937376239E-3</v>
      </c>
    </row>
    <row r="112" spans="1:6" x14ac:dyDescent="0.25">
      <c r="A112" s="42">
        <v>41215</v>
      </c>
      <c r="B112" s="54">
        <v>-3.3575500366023192E-3</v>
      </c>
      <c r="C112" s="54">
        <v>-6.0609534290181344E-3</v>
      </c>
      <c r="D112" s="54">
        <v>2.020766447130562E-4</v>
      </c>
      <c r="E112" s="54">
        <v>-2.0670957923816236E-3</v>
      </c>
      <c r="F112" s="54">
        <v>-1.0564077440406772E-2</v>
      </c>
    </row>
    <row r="113" spans="1:6" x14ac:dyDescent="0.25">
      <c r="A113" s="42">
        <v>41222</v>
      </c>
      <c r="B113" s="54">
        <v>4.238410739840659E-3</v>
      </c>
      <c r="C113" s="54">
        <v>5.2011861695293593E-3</v>
      </c>
      <c r="D113" s="54">
        <v>-1.5788293614970028E-3</v>
      </c>
      <c r="E113" s="54">
        <v>-1.3236687298135319E-2</v>
      </c>
      <c r="F113" s="54">
        <v>-1.7685349725936161E-2</v>
      </c>
    </row>
    <row r="114" spans="1:6" x14ac:dyDescent="0.25">
      <c r="A114" s="42">
        <v>41229</v>
      </c>
      <c r="B114" s="54">
        <v>4.5188380952240204E-3</v>
      </c>
      <c r="C114" s="54">
        <v>1.2108933390176047E-2</v>
      </c>
      <c r="D114" s="54">
        <v>8.0505589362313001E-3</v>
      </c>
      <c r="E114" s="54">
        <v>-1.5139526898616307E-2</v>
      </c>
      <c r="F114" s="54">
        <v>-7.9826504936788556E-3</v>
      </c>
    </row>
    <row r="115" spans="1:6" x14ac:dyDescent="0.25">
      <c r="A115" s="42">
        <v>41236</v>
      </c>
      <c r="B115" s="54">
        <v>-5.4272012281515458E-3</v>
      </c>
      <c r="C115" s="54">
        <v>-6.1025941629235803E-3</v>
      </c>
      <c r="D115" s="54">
        <v>7.4277681847201293E-4</v>
      </c>
      <c r="E115" s="54">
        <v>8.7067618535323632E-3</v>
      </c>
      <c r="F115" s="54">
        <v>8.267071500621892E-3</v>
      </c>
    </row>
    <row r="116" spans="1:6" x14ac:dyDescent="0.25">
      <c r="A116" s="42">
        <v>41243</v>
      </c>
      <c r="B116" s="54">
        <v>3.9222522641950697E-3</v>
      </c>
      <c r="C116" s="54">
        <v>3.5806513119163164E-3</v>
      </c>
      <c r="D116" s="54">
        <v>-1.2763070367407536E-3</v>
      </c>
      <c r="E116" s="54">
        <v>1.1565992444237061E-2</v>
      </c>
      <c r="F116" s="54">
        <v>-9.3719952697246534E-4</v>
      </c>
    </row>
    <row r="117" spans="1:6" x14ac:dyDescent="0.25">
      <c r="A117" s="42">
        <v>41250</v>
      </c>
      <c r="B117" s="54">
        <v>-7.0750634084495445E-3</v>
      </c>
      <c r="C117" s="54">
        <v>-8.0865858392986656E-3</v>
      </c>
      <c r="D117" s="54">
        <v>2.427576213667626E-3</v>
      </c>
      <c r="E117" s="54">
        <v>6.9042795505622756E-3</v>
      </c>
      <c r="F117" s="54">
        <v>6.7231756538792542E-3</v>
      </c>
    </row>
    <row r="118" spans="1:6" x14ac:dyDescent="0.25">
      <c r="A118" s="42">
        <v>41257</v>
      </c>
      <c r="B118" s="54">
        <v>-1.2707586064673926E-2</v>
      </c>
      <c r="C118" s="54">
        <v>-3.0980436316729865E-3</v>
      </c>
      <c r="D118" s="54">
        <v>-2.350065189163919E-3</v>
      </c>
      <c r="E118" s="54">
        <v>2.3216155390751503E-2</v>
      </c>
      <c r="F118" s="54">
        <v>1.6389432804106763E-2</v>
      </c>
    </row>
    <row r="119" spans="1:6" x14ac:dyDescent="0.25">
      <c r="A119" s="42">
        <v>41264</v>
      </c>
      <c r="B119" s="54">
        <v>-3.9833460412075361E-3</v>
      </c>
      <c r="C119" s="54">
        <v>-1.1980212074611529E-3</v>
      </c>
      <c r="D119" s="54">
        <v>1.4505044682164847E-3</v>
      </c>
      <c r="E119" s="54">
        <v>1.5179716126515697E-2</v>
      </c>
      <c r="F119" s="54">
        <v>1.6621821858578079E-2</v>
      </c>
    </row>
    <row r="120" spans="1:6" x14ac:dyDescent="0.25">
      <c r="A120" s="42">
        <v>41271</v>
      </c>
      <c r="B120" s="54">
        <v>-9.936538489214719E-4</v>
      </c>
      <c r="C120" s="54">
        <v>1.0168629109380545E-3</v>
      </c>
      <c r="D120" s="54">
        <v>3.9516319624107732E-3</v>
      </c>
      <c r="E120" s="54">
        <v>-1.1374456397269528E-3</v>
      </c>
      <c r="F120" s="54">
        <v>-7.1675719806361116E-3</v>
      </c>
    </row>
    <row r="121" spans="1:6" x14ac:dyDescent="0.25">
      <c r="A121" s="42">
        <v>41278</v>
      </c>
      <c r="B121" s="54">
        <v>-9.8047255175059966E-4</v>
      </c>
      <c r="C121" s="54">
        <v>-1.376267091189165E-2</v>
      </c>
      <c r="D121" s="54">
        <v>-3.959240153221355E-3</v>
      </c>
      <c r="E121" s="54">
        <v>7.0921136610591073E-3</v>
      </c>
      <c r="F121" s="54">
        <v>2.7801650962480329E-2</v>
      </c>
    </row>
    <row r="122" spans="1:6" x14ac:dyDescent="0.25">
      <c r="A122" s="42">
        <v>41285</v>
      </c>
      <c r="B122" s="54">
        <v>-7.3876444585986301E-3</v>
      </c>
      <c r="C122" s="54">
        <v>-1.0566960163608918E-2</v>
      </c>
      <c r="D122" s="54">
        <v>-1.7503759477488501E-3</v>
      </c>
      <c r="E122" s="54">
        <v>-6.6519108948217553E-3</v>
      </c>
      <c r="F122" s="54">
        <v>3.8264605674257934E-2</v>
      </c>
    </row>
    <row r="123" spans="1:6" x14ac:dyDescent="0.25">
      <c r="A123" s="42">
        <v>41292</v>
      </c>
      <c r="B123" s="54">
        <v>6.3861394704822771E-4</v>
      </c>
      <c r="C123" s="54">
        <v>-1.9838701549670379E-3</v>
      </c>
      <c r="D123" s="54">
        <v>-5.1444546509039624E-3</v>
      </c>
      <c r="E123" s="54">
        <v>6.2327886760260576E-4</v>
      </c>
      <c r="F123" s="54">
        <v>7.41833011308346E-3</v>
      </c>
    </row>
    <row r="124" spans="1:6" x14ac:dyDescent="0.25">
      <c r="A124" s="42">
        <v>41299</v>
      </c>
      <c r="B124" s="54">
        <v>3.2341447226242881E-3</v>
      </c>
      <c r="C124" s="54">
        <v>2.7253956128836521E-3</v>
      </c>
      <c r="D124" s="54">
        <v>2.6737919714303615E-3</v>
      </c>
      <c r="E124" s="54">
        <v>-1.0163396194640129E-5</v>
      </c>
      <c r="F124" s="54">
        <v>-1.1124687554246449E-2</v>
      </c>
    </row>
    <row r="125" spans="1:6" x14ac:dyDescent="0.25">
      <c r="A125" s="42">
        <v>41306</v>
      </c>
      <c r="B125" s="54">
        <v>-4.981507929885054E-3</v>
      </c>
      <c r="C125" s="54">
        <v>1.2303578840765161E-2</v>
      </c>
      <c r="D125" s="54">
        <v>4.7384120762472559E-3</v>
      </c>
      <c r="E125" s="54">
        <v>-8.498218312011474E-3</v>
      </c>
      <c r="F125" s="54">
        <v>-1.4628040962737843E-2</v>
      </c>
    </row>
    <row r="126" spans="1:6" x14ac:dyDescent="0.25">
      <c r="A126" s="42">
        <v>41313</v>
      </c>
      <c r="B126" s="54">
        <v>2.3742745327621773E-2</v>
      </c>
      <c r="C126" s="54">
        <v>7.4079442047161326E-3</v>
      </c>
      <c r="D126" s="54">
        <v>1.0851047032120364E-2</v>
      </c>
      <c r="E126" s="54">
        <v>7.8509864015829933E-4</v>
      </c>
      <c r="F126" s="54">
        <v>-1.7869778448108664E-2</v>
      </c>
    </row>
    <row r="127" spans="1:6" x14ac:dyDescent="0.25">
      <c r="A127" s="42">
        <v>41320</v>
      </c>
      <c r="B127" s="54">
        <v>-1.7800277386703645E-4</v>
      </c>
      <c r="C127" s="54">
        <v>1.4592565626803111E-2</v>
      </c>
      <c r="D127" s="54">
        <v>5.3112653368585505E-3</v>
      </c>
      <c r="E127" s="54">
        <v>-1.0818600513777032E-2</v>
      </c>
      <c r="F127" s="54">
        <v>-7.0156293416582249E-3</v>
      </c>
    </row>
    <row r="128" spans="1:6" x14ac:dyDescent="0.25">
      <c r="A128" s="42">
        <v>41327</v>
      </c>
      <c r="B128" s="54">
        <v>4.4882255708351693E-3</v>
      </c>
      <c r="C128" s="54">
        <v>9.1180898384701781E-3</v>
      </c>
      <c r="D128" s="54">
        <v>5.5724868955890905E-3</v>
      </c>
      <c r="E128" s="54">
        <v>-7.3418159438497499E-3</v>
      </c>
      <c r="F128" s="54">
        <v>-1.0108181851987474E-2</v>
      </c>
    </row>
    <row r="129" spans="1:6" x14ac:dyDescent="0.25">
      <c r="A129" s="42">
        <v>41334</v>
      </c>
      <c r="B129" s="54">
        <v>-1.7504743881595619E-3</v>
      </c>
      <c r="C129" s="54">
        <v>1.0302265765942398E-3</v>
      </c>
      <c r="D129" s="54">
        <v>4.4188521550037052E-4</v>
      </c>
      <c r="E129" s="54">
        <v>-6.144256149706262E-3</v>
      </c>
      <c r="F129" s="54">
        <v>-2.0804993287190099E-2</v>
      </c>
    </row>
    <row r="130" spans="1:6" x14ac:dyDescent="0.25">
      <c r="A130" s="42">
        <v>41341</v>
      </c>
      <c r="B130" s="54">
        <v>-1.1560336963871265E-2</v>
      </c>
      <c r="C130" s="54">
        <v>-1.6419724016567772E-2</v>
      </c>
      <c r="D130" s="54">
        <v>-1.4568609699967316E-2</v>
      </c>
      <c r="E130" s="54">
        <v>-4.6937996527329773E-4</v>
      </c>
      <c r="F130" s="54">
        <v>7.6931511360049942E-3</v>
      </c>
    </row>
    <row r="131" spans="1:6" x14ac:dyDescent="0.25">
      <c r="A131" s="42">
        <v>41348</v>
      </c>
      <c r="B131" s="54">
        <v>3.4740910343880049E-3</v>
      </c>
      <c r="C131" s="54">
        <v>-6.3915749175016412E-3</v>
      </c>
      <c r="D131" s="54">
        <v>-4.912994404460358E-3</v>
      </c>
      <c r="E131" s="54">
        <v>-8.2219313916807035E-3</v>
      </c>
      <c r="F131" s="54">
        <v>-1.3484064255250394E-2</v>
      </c>
    </row>
    <row r="132" spans="1:6" x14ac:dyDescent="0.25">
      <c r="A132" s="42">
        <v>41355</v>
      </c>
      <c r="B132" s="54">
        <v>3.7469472208900845E-3</v>
      </c>
      <c r="C132" s="54">
        <v>1.2773646054743959E-2</v>
      </c>
      <c r="D132" s="54">
        <v>3.9961826482448615E-3</v>
      </c>
      <c r="E132" s="54">
        <v>-9.2153516534903002E-3</v>
      </c>
      <c r="F132" s="54">
        <v>-1.0003532049512209E-2</v>
      </c>
    </row>
    <row r="133" spans="1:6" x14ac:dyDescent="0.25">
      <c r="A133" s="42">
        <v>41362</v>
      </c>
      <c r="B133" s="54">
        <v>1.2556617126468383E-2</v>
      </c>
      <c r="C133" s="54">
        <v>1.1328516588465565E-2</v>
      </c>
      <c r="D133" s="54">
        <v>9.5557083971344881E-3</v>
      </c>
      <c r="E133" s="54">
        <v>-1.9546989253519387E-2</v>
      </c>
      <c r="F133" s="54">
        <v>-4.3441648083799023E-2</v>
      </c>
    </row>
    <row r="134" spans="1:6" x14ac:dyDescent="0.25">
      <c r="A134" s="42">
        <v>41369</v>
      </c>
      <c r="B134" s="54">
        <v>-6.4308261123813271E-3</v>
      </c>
      <c r="C134" s="54">
        <v>8.830012640427376E-3</v>
      </c>
      <c r="D134" s="54">
        <v>-1.0359324450303853E-2</v>
      </c>
      <c r="E134" s="54">
        <v>7.3096274235964209E-3</v>
      </c>
      <c r="F134" s="54">
        <v>1.2925612602900372E-2</v>
      </c>
    </row>
    <row r="135" spans="1:6" x14ac:dyDescent="0.25">
      <c r="A135" s="42">
        <v>41376</v>
      </c>
      <c r="B135" s="54">
        <v>1.3150899415799167E-3</v>
      </c>
      <c r="C135" s="54">
        <v>2.8681613770240588E-3</v>
      </c>
      <c r="D135" s="54">
        <v>1.2408556366262369E-2</v>
      </c>
      <c r="E135" s="54">
        <v>4.5106306749851388E-3</v>
      </c>
      <c r="F135" s="54">
        <v>1.5686577887043196E-2</v>
      </c>
    </row>
    <row r="136" spans="1:6" x14ac:dyDescent="0.25">
      <c r="A136" s="42">
        <v>41383</v>
      </c>
      <c r="B136" s="54">
        <v>-1.818945724789689E-4</v>
      </c>
      <c r="C136" s="54">
        <v>7.825516687005929E-3</v>
      </c>
      <c r="D136" s="54">
        <v>3.6055851800587124E-3</v>
      </c>
      <c r="E136" s="54">
        <v>-1.0596290162175226E-2</v>
      </c>
      <c r="F136" s="54">
        <v>2.7935835854088209E-3</v>
      </c>
    </row>
    <row r="137" spans="1:6" x14ac:dyDescent="0.25">
      <c r="A137" s="42">
        <v>41390</v>
      </c>
      <c r="B137" s="54">
        <v>-6.5244530837869075E-3</v>
      </c>
      <c r="C137" s="54">
        <v>-2.3044572296561538E-2</v>
      </c>
      <c r="D137" s="54">
        <v>2.4723475416295049E-3</v>
      </c>
      <c r="E137" s="54">
        <v>-4.0407087637863714E-3</v>
      </c>
      <c r="F137" s="54">
        <v>1.0592119558965329E-3</v>
      </c>
    </row>
    <row r="138" spans="1:6" x14ac:dyDescent="0.25">
      <c r="A138" s="42">
        <v>41397</v>
      </c>
      <c r="B138" s="54">
        <v>-8.9878725058822884E-3</v>
      </c>
      <c r="C138" s="54">
        <v>-1.0917800989743265E-2</v>
      </c>
      <c r="D138" s="54">
        <v>6.6548727313764378E-3</v>
      </c>
      <c r="E138" s="54">
        <v>3.6962252974680698E-2</v>
      </c>
      <c r="F138" s="54">
        <v>6.2977020063823996E-2</v>
      </c>
    </row>
    <row r="139" spans="1:6" x14ac:dyDescent="0.25">
      <c r="A139" s="42">
        <v>41404</v>
      </c>
      <c r="B139" s="54">
        <v>-5.7097440322728676E-3</v>
      </c>
      <c r="C139" s="54">
        <v>-2.6653349306242635E-3</v>
      </c>
      <c r="D139" s="54">
        <v>1.0021910868059924E-2</v>
      </c>
      <c r="E139" s="54">
        <v>-3.181649525111574E-3</v>
      </c>
      <c r="F139" s="54">
        <v>5.2413147007255301E-3</v>
      </c>
    </row>
    <row r="140" spans="1:6" x14ac:dyDescent="0.25">
      <c r="A140" s="42">
        <v>41411</v>
      </c>
      <c r="B140" s="54">
        <v>-6.702105885373566E-3</v>
      </c>
      <c r="C140" s="54">
        <v>-1.0343309791412736E-2</v>
      </c>
      <c r="D140" s="54">
        <v>1.5559044338768757E-3</v>
      </c>
      <c r="E140" s="54">
        <v>-1.1072185163241155E-2</v>
      </c>
      <c r="F140" s="54">
        <v>-7.1930461349944963E-3</v>
      </c>
    </row>
    <row r="141" spans="1:6" x14ac:dyDescent="0.25">
      <c r="A141" s="42">
        <v>41418</v>
      </c>
      <c r="B141" s="54">
        <v>3.2223911420643514E-3</v>
      </c>
      <c r="C141" s="54">
        <v>3.828217595379213E-3</v>
      </c>
      <c r="D141" s="54">
        <v>-4.9081312420212742E-3</v>
      </c>
      <c r="E141" s="54">
        <v>-1.9903786555870662E-2</v>
      </c>
      <c r="F141" s="54">
        <v>-2.2807614494283479E-2</v>
      </c>
    </row>
    <row r="142" spans="1:6" x14ac:dyDescent="0.25">
      <c r="A142" s="42">
        <v>41425</v>
      </c>
      <c r="B142" s="54">
        <v>2.641005309010791E-3</v>
      </c>
      <c r="C142" s="54">
        <v>2.3835723013858612E-3</v>
      </c>
      <c r="D142" s="54">
        <v>1.1139295428189699E-3</v>
      </c>
      <c r="E142" s="54">
        <v>7.1132427034092949E-3</v>
      </c>
      <c r="F142" s="54">
        <v>1.4638675434967108E-2</v>
      </c>
    </row>
    <row r="143" spans="1:6" x14ac:dyDescent="0.25">
      <c r="A143" s="42">
        <v>41432</v>
      </c>
      <c r="B143" s="54">
        <v>2.2870040275002612E-4</v>
      </c>
      <c r="C143" s="54">
        <v>4.5331468453577717E-3</v>
      </c>
      <c r="D143" s="54">
        <v>3.1448936035576303E-3</v>
      </c>
      <c r="E143" s="54">
        <v>-1.6566854818429455E-3</v>
      </c>
      <c r="F143" s="54">
        <v>-1.1530028997061792E-2</v>
      </c>
    </row>
    <row r="144" spans="1:6" x14ac:dyDescent="0.25">
      <c r="A144" s="42">
        <v>41439</v>
      </c>
      <c r="B144" s="54">
        <v>1.2377889066870984E-2</v>
      </c>
      <c r="C144" s="54">
        <v>1.0068994886856419E-2</v>
      </c>
      <c r="D144" s="54">
        <v>5.3310959906660571E-3</v>
      </c>
      <c r="E144" s="54">
        <v>1.8388336796930638E-3</v>
      </c>
      <c r="F144" s="54">
        <v>-1.3710323853506123E-2</v>
      </c>
    </row>
    <row r="145" spans="1:6" x14ac:dyDescent="0.25">
      <c r="A145" s="42">
        <v>41446</v>
      </c>
      <c r="B145" s="54">
        <v>7.905770495392761E-3</v>
      </c>
      <c r="C145" s="54">
        <v>1.6875665579345056E-2</v>
      </c>
      <c r="D145" s="54">
        <v>5.3533651770674151E-3</v>
      </c>
      <c r="E145" s="54">
        <v>-9.1077817269968886E-4</v>
      </c>
      <c r="F145" s="54">
        <v>2.3667375047811134E-3</v>
      </c>
    </row>
    <row r="146" spans="1:6" x14ac:dyDescent="0.25">
      <c r="A146" s="42">
        <v>41453</v>
      </c>
      <c r="B146" s="54">
        <v>-4.1774103794223194E-3</v>
      </c>
      <c r="C146" s="54">
        <v>-3.9221107138569522E-3</v>
      </c>
      <c r="D146" s="54">
        <v>-1.4869917520656806E-3</v>
      </c>
      <c r="E146" s="54">
        <v>-1.7515120259967931E-2</v>
      </c>
      <c r="F146" s="54">
        <v>-1.911833330172874E-2</v>
      </c>
    </row>
    <row r="147" spans="1:6" x14ac:dyDescent="0.25">
      <c r="A147" s="42">
        <v>41460</v>
      </c>
      <c r="B147" s="54">
        <v>9.1969555657742674E-3</v>
      </c>
      <c r="C147" s="54">
        <v>-7.0343967831858478E-3</v>
      </c>
      <c r="D147" s="54">
        <v>1.3201061367284828E-2</v>
      </c>
      <c r="E147" s="54">
        <v>-1.1393532240542292E-3</v>
      </c>
      <c r="F147" s="54">
        <v>3.1204046191475321E-3</v>
      </c>
    </row>
    <row r="148" spans="1:6" x14ac:dyDescent="0.25">
      <c r="A148" s="42">
        <v>41467</v>
      </c>
      <c r="B148" s="54">
        <v>1.5092633025746149E-3</v>
      </c>
      <c r="C148" s="54">
        <v>-6.1454710173811655E-3</v>
      </c>
      <c r="D148" s="54">
        <v>-4.1558953508249452E-3</v>
      </c>
      <c r="E148" s="54">
        <v>3.1260878500263267E-3</v>
      </c>
      <c r="F148" s="54">
        <v>-9.6072812654475204E-3</v>
      </c>
    </row>
    <row r="149" spans="1:6" x14ac:dyDescent="0.25">
      <c r="A149" s="42">
        <v>41474</v>
      </c>
      <c r="B149" s="54">
        <v>-1.596031250398422E-3</v>
      </c>
      <c r="C149" s="54">
        <v>-8.4732607265445292E-3</v>
      </c>
      <c r="D149" s="54">
        <v>5.2767761360845711E-3</v>
      </c>
      <c r="E149" s="54">
        <v>6.1597158410553465E-3</v>
      </c>
      <c r="F149" s="54">
        <v>8.4651864994891302E-3</v>
      </c>
    </row>
    <row r="150" spans="1:6" x14ac:dyDescent="0.25">
      <c r="A150" s="42">
        <v>41481</v>
      </c>
      <c r="B150" s="54">
        <v>-1.3344010382699167E-2</v>
      </c>
      <c r="C150" s="54">
        <v>-5.405461404042966E-3</v>
      </c>
      <c r="D150" s="54">
        <v>-1.1971440287732227E-2</v>
      </c>
      <c r="E150" s="54">
        <v>8.1961487886195172E-3</v>
      </c>
      <c r="F150" s="54">
        <v>3.3271739561204772E-2</v>
      </c>
    </row>
    <row r="151" spans="1:6" x14ac:dyDescent="0.25">
      <c r="A151" s="42">
        <v>41488</v>
      </c>
      <c r="B151" s="54">
        <v>-5.779865311317689E-3</v>
      </c>
      <c r="C151" s="54">
        <v>-6.4249597281778037E-3</v>
      </c>
      <c r="D151" s="54">
        <v>1.5900310665945661E-2</v>
      </c>
      <c r="E151" s="54">
        <v>1.6083279689427243E-3</v>
      </c>
      <c r="F151" s="54">
        <v>-2.4423698097535418E-3</v>
      </c>
    </row>
    <row r="152" spans="1:6" x14ac:dyDescent="0.25">
      <c r="A152" s="42">
        <v>41495</v>
      </c>
      <c r="B152" s="54">
        <v>3.136046967863404E-3</v>
      </c>
      <c r="C152" s="54">
        <v>1.0826078322645483E-3</v>
      </c>
      <c r="D152" s="54">
        <v>1.902277099372629E-4</v>
      </c>
      <c r="E152" s="54">
        <v>1.3238063196742589E-2</v>
      </c>
      <c r="F152" s="54">
        <v>3.0056537293951413E-2</v>
      </c>
    </row>
    <row r="153" spans="1:6" x14ac:dyDescent="0.25">
      <c r="A153" s="42">
        <v>41502</v>
      </c>
      <c r="B153" s="54">
        <v>2.2719452308410659E-3</v>
      </c>
      <c r="C153" s="54">
        <v>-2.6891760819034438E-3</v>
      </c>
      <c r="D153" s="54">
        <v>-1.1266275386159874E-2</v>
      </c>
      <c r="E153" s="54">
        <v>5.5112417821099324E-3</v>
      </c>
      <c r="F153" s="54">
        <v>2.2704735679962562E-2</v>
      </c>
    </row>
    <row r="154" spans="1:6" x14ac:dyDescent="0.25">
      <c r="A154" s="42">
        <v>41509</v>
      </c>
      <c r="B154" s="54">
        <v>7.3827983059060465E-3</v>
      </c>
      <c r="C154" s="54">
        <v>4.76059374666149E-3</v>
      </c>
      <c r="D154" s="54">
        <v>7.1638924786838754E-3</v>
      </c>
      <c r="E154" s="54">
        <v>7.6687341183163671E-3</v>
      </c>
      <c r="F154" s="54">
        <v>-7.7420317521833537E-3</v>
      </c>
    </row>
    <row r="155" spans="1:6" x14ac:dyDescent="0.25">
      <c r="A155" s="42">
        <v>41516</v>
      </c>
      <c r="B155" s="54">
        <v>1.2524733870957205E-2</v>
      </c>
      <c r="C155" s="54">
        <v>6.2328133603366531E-3</v>
      </c>
      <c r="D155" s="54">
        <v>-8.478797334969479E-3</v>
      </c>
      <c r="E155" s="54">
        <v>9.8358197981063267E-4</v>
      </c>
      <c r="F155" s="54">
        <v>-1.5489001302399164E-2</v>
      </c>
    </row>
    <row r="156" spans="1:6" x14ac:dyDescent="0.25">
      <c r="A156" s="42">
        <v>41523</v>
      </c>
      <c r="B156" s="54">
        <v>-3.7708821301030149E-4</v>
      </c>
      <c r="C156" s="54">
        <v>-2.175356898269909E-2</v>
      </c>
      <c r="D156" s="54">
        <v>-1.663461179115977E-3</v>
      </c>
      <c r="E156" s="54">
        <v>6.4087380368595959E-3</v>
      </c>
      <c r="F156" s="54">
        <v>6.1406182099186246E-3</v>
      </c>
    </row>
    <row r="157" spans="1:6" x14ac:dyDescent="0.25">
      <c r="A157" s="42">
        <v>41530</v>
      </c>
      <c r="B157" s="54">
        <v>-4.197219713631295E-3</v>
      </c>
      <c r="C157" s="54">
        <v>-7.6166331480758132E-3</v>
      </c>
      <c r="D157" s="54">
        <v>4.2690382589449793E-3</v>
      </c>
      <c r="E157" s="54">
        <v>1.1462530330277554E-2</v>
      </c>
      <c r="F157" s="54">
        <v>1.9435905260844599E-2</v>
      </c>
    </row>
    <row r="158" spans="1:6" x14ac:dyDescent="0.25">
      <c r="A158" s="42">
        <v>41537</v>
      </c>
      <c r="B158" s="54">
        <v>-8.0380224185971905E-4</v>
      </c>
      <c r="C158" s="54">
        <v>-7.7761698700089532E-3</v>
      </c>
      <c r="D158" s="54">
        <v>-4.4200984712503555E-3</v>
      </c>
      <c r="E158" s="54">
        <v>-4.9236781676436081E-3</v>
      </c>
      <c r="F158" s="54">
        <v>-7.0384810111101537E-3</v>
      </c>
    </row>
    <row r="159" spans="1:6" x14ac:dyDescent="0.25">
      <c r="A159" s="42">
        <v>41544</v>
      </c>
      <c r="B159" s="54">
        <v>7.3072902600834766E-5</v>
      </c>
      <c r="C159" s="54">
        <v>1.3819352613235747E-3</v>
      </c>
      <c r="D159" s="54">
        <v>4.1705226871529E-3</v>
      </c>
      <c r="E159" s="54">
        <v>-7.0500126742645275E-3</v>
      </c>
      <c r="F159" s="54">
        <v>-5.4545220775716885E-3</v>
      </c>
    </row>
    <row r="160" spans="1:6" x14ac:dyDescent="0.25">
      <c r="A160" s="42">
        <v>41551</v>
      </c>
      <c r="B160" s="54">
        <v>-1.1905695073874623E-2</v>
      </c>
      <c r="C160" s="54">
        <v>-3.2311842435661653E-3</v>
      </c>
      <c r="D160" s="54">
        <v>1.0639372531506153E-2</v>
      </c>
      <c r="E160" s="54">
        <v>2.2644464232924877E-3</v>
      </c>
      <c r="F160" s="54">
        <v>2.4445592534985794E-2</v>
      </c>
    </row>
    <row r="161" spans="1:6" x14ac:dyDescent="0.25">
      <c r="A161" s="42">
        <v>41558</v>
      </c>
      <c r="B161" s="54">
        <v>-8.3368463598639808E-3</v>
      </c>
      <c r="C161" s="54">
        <v>-7.4249956881028423E-3</v>
      </c>
      <c r="D161" s="54">
        <v>1.8495265990092769E-4</v>
      </c>
      <c r="E161" s="54">
        <v>1.49443997635057E-3</v>
      </c>
      <c r="F161" s="54">
        <v>2.4044353181260858E-2</v>
      </c>
    </row>
    <row r="162" spans="1:6" x14ac:dyDescent="0.25">
      <c r="A162" s="42">
        <v>41565</v>
      </c>
      <c r="B162" s="54">
        <v>1.1673992423453239E-3</v>
      </c>
      <c r="C162" s="54">
        <v>8.0042721830553276E-4</v>
      </c>
      <c r="D162" s="54">
        <v>1.1295447635708777E-2</v>
      </c>
      <c r="E162" s="54">
        <v>-1.710372058593812E-3</v>
      </c>
      <c r="F162" s="54">
        <v>5.9641666877079391E-3</v>
      </c>
    </row>
    <row r="163" spans="1:6" x14ac:dyDescent="0.25">
      <c r="A163" s="42">
        <v>41572</v>
      </c>
      <c r="B163" s="54">
        <v>8.0136155236516515E-3</v>
      </c>
      <c r="C163" s="54">
        <v>7.2251426949283548E-3</v>
      </c>
      <c r="D163" s="54">
        <v>-8.3198547680541912E-3</v>
      </c>
      <c r="E163" s="54">
        <v>-2.9984754722889306E-4</v>
      </c>
      <c r="F163" s="54">
        <v>-1.8721474581133712E-2</v>
      </c>
    </row>
    <row r="164" spans="1:6" x14ac:dyDescent="0.25">
      <c r="A164" s="42">
        <v>41579</v>
      </c>
      <c r="B164" s="54">
        <v>4.8140016387712148E-3</v>
      </c>
      <c r="C164" s="54">
        <v>2.1701724149441048E-3</v>
      </c>
      <c r="D164" s="54">
        <v>5.3257300628855031E-3</v>
      </c>
      <c r="E164" s="54">
        <v>-7.8150742039035936E-3</v>
      </c>
      <c r="F164" s="54">
        <v>1.2032684970454621E-2</v>
      </c>
    </row>
    <row r="165" spans="1:6" x14ac:dyDescent="0.25">
      <c r="A165" s="42">
        <v>41586</v>
      </c>
      <c r="B165" s="54">
        <v>-2.681377946934127E-3</v>
      </c>
      <c r="C165" s="54">
        <v>-1.4944693746254956E-3</v>
      </c>
      <c r="D165" s="54">
        <v>-1.7074349543053646E-3</v>
      </c>
      <c r="E165" s="54">
        <v>2.621189981516947E-3</v>
      </c>
      <c r="F165" s="54">
        <v>-2.910077917231968E-3</v>
      </c>
    </row>
    <row r="166" spans="1:6" x14ac:dyDescent="0.25">
      <c r="A166" s="42">
        <v>41593</v>
      </c>
      <c r="B166" s="54">
        <v>-4.7781232321076894E-3</v>
      </c>
      <c r="C166" s="54">
        <v>2.7294815182294929E-3</v>
      </c>
      <c r="D166" s="54">
        <v>-1.1395754299967642E-3</v>
      </c>
      <c r="E166" s="54">
        <v>-1.4790989370777607E-2</v>
      </c>
      <c r="F166" s="54">
        <v>-3.4995728436829632E-3</v>
      </c>
    </row>
    <row r="167" spans="1:6" x14ac:dyDescent="0.25">
      <c r="A167" s="42">
        <v>41600</v>
      </c>
      <c r="B167" s="54">
        <v>-7.8139316745499121E-3</v>
      </c>
      <c r="C167" s="54">
        <v>-1.2653170497581523E-2</v>
      </c>
      <c r="D167" s="54">
        <v>3.0658317150387138E-3</v>
      </c>
      <c r="E167" s="54">
        <v>-4.081555023989103E-3</v>
      </c>
      <c r="F167" s="54">
        <v>3.6159051711714962E-3</v>
      </c>
    </row>
    <row r="168" spans="1:6" x14ac:dyDescent="0.25">
      <c r="A168" s="42">
        <v>41607</v>
      </c>
      <c r="B168" s="54">
        <v>3.1229064310016597E-3</v>
      </c>
      <c r="C168" s="54">
        <v>7.9945588796719314E-3</v>
      </c>
      <c r="D168" s="54">
        <v>4.7812558800441884E-3</v>
      </c>
      <c r="E168" s="54">
        <v>5.5334480184108248E-3</v>
      </c>
      <c r="F168" s="54">
        <v>1.2988571678607119E-3</v>
      </c>
    </row>
    <row r="169" spans="1:6" x14ac:dyDescent="0.25">
      <c r="A169" s="42">
        <v>41614</v>
      </c>
      <c r="B169" s="54">
        <v>5.4800163335093632E-3</v>
      </c>
      <c r="C169" s="54">
        <v>7.7123876658659052E-3</v>
      </c>
      <c r="D169" s="54">
        <v>-3.3595695253368918E-3</v>
      </c>
      <c r="E169" s="54">
        <v>-3.9879546804619803E-3</v>
      </c>
      <c r="F169" s="54">
        <v>-1.2626602626459538E-2</v>
      </c>
    </row>
    <row r="170" spans="1:6" x14ac:dyDescent="0.25">
      <c r="A170" s="42">
        <v>41621</v>
      </c>
      <c r="B170" s="54">
        <v>6.2758192154296344E-3</v>
      </c>
      <c r="C170" s="54">
        <v>1.411366266624059E-2</v>
      </c>
      <c r="D170" s="54">
        <v>1.9557960543683861E-2</v>
      </c>
      <c r="E170" s="54">
        <v>9.9942571690652127E-3</v>
      </c>
      <c r="F170" s="54">
        <v>7.1663964249810697E-3</v>
      </c>
    </row>
    <row r="171" spans="1:6" x14ac:dyDescent="0.25">
      <c r="A171" s="42">
        <v>41628</v>
      </c>
      <c r="B171" s="54">
        <v>-5.653707898231275E-3</v>
      </c>
      <c r="C171" s="54">
        <v>-8.8196952364585357E-3</v>
      </c>
      <c r="D171" s="54">
        <v>-1.4270649468817176E-4</v>
      </c>
      <c r="E171" s="54">
        <v>-1.5013184521270428E-2</v>
      </c>
      <c r="F171" s="54">
        <v>-4.9544789934774514E-3</v>
      </c>
    </row>
    <row r="172" spans="1:6" x14ac:dyDescent="0.25">
      <c r="A172" s="42">
        <v>41635</v>
      </c>
      <c r="B172" s="54">
        <v>1.5543402737550061E-3</v>
      </c>
      <c r="C172" s="54">
        <v>-1.376200972823316E-3</v>
      </c>
      <c r="D172" s="54">
        <v>-3.1912671561378225E-3</v>
      </c>
      <c r="E172" s="54">
        <v>3.3166734410676746E-3</v>
      </c>
      <c r="F172" s="54">
        <v>-2.2490405911974598E-3</v>
      </c>
    </row>
    <row r="173" spans="1:6" x14ac:dyDescent="0.25">
      <c r="A173" s="42">
        <v>41642</v>
      </c>
      <c r="B173" s="54">
        <v>1.2782809884384294E-2</v>
      </c>
      <c r="C173" s="54">
        <v>7.228211792462913E-3</v>
      </c>
      <c r="D173" s="54">
        <v>6.231224642709865E-3</v>
      </c>
      <c r="E173" s="54">
        <v>1.2340855237716664E-2</v>
      </c>
      <c r="F173" s="54">
        <v>5.9496381030867962E-3</v>
      </c>
    </row>
    <row r="174" spans="1:6" x14ac:dyDescent="0.25">
      <c r="A174" s="42">
        <v>41649</v>
      </c>
      <c r="B174" s="54">
        <v>-7.6660984606363725E-3</v>
      </c>
      <c r="C174" s="54">
        <v>-1.2209690012097152E-3</v>
      </c>
      <c r="D174" s="54">
        <v>8.1234981653433014E-3</v>
      </c>
      <c r="E174" s="54">
        <v>4.5627784254875792E-5</v>
      </c>
      <c r="F174" s="54">
        <v>2.7266585250587116E-2</v>
      </c>
    </row>
    <row r="175" spans="1:6" x14ac:dyDescent="0.25">
      <c r="A175" s="42">
        <v>41656</v>
      </c>
      <c r="B175" s="54">
        <v>-4.9180361783656146E-3</v>
      </c>
      <c r="C175" s="54">
        <v>-8.3971690307822477E-3</v>
      </c>
      <c r="D175" s="54">
        <v>-8.8111510007413685E-3</v>
      </c>
      <c r="E175" s="54">
        <v>-9.7405602206990238E-4</v>
      </c>
      <c r="F175" s="54">
        <v>1.4056955219554412E-2</v>
      </c>
    </row>
    <row r="176" spans="1:6" x14ac:dyDescent="0.25">
      <c r="A176" s="42">
        <v>41663</v>
      </c>
      <c r="B176" s="54">
        <v>7.9164546308099215E-3</v>
      </c>
      <c r="C176" s="54">
        <v>1.1864943963287966E-2</v>
      </c>
      <c r="D176" s="54">
        <v>3.0769576093812034E-3</v>
      </c>
      <c r="E176" s="54">
        <v>1.2397758486568655E-3</v>
      </c>
      <c r="F176" s="54">
        <v>-4.4100747681583563E-3</v>
      </c>
    </row>
    <row r="177" spans="1:6" x14ac:dyDescent="0.25">
      <c r="A177" s="42">
        <v>41670</v>
      </c>
      <c r="B177" s="54">
        <v>-4.0083147946856634E-3</v>
      </c>
      <c r="C177" s="54">
        <v>-7.8177859789518855E-4</v>
      </c>
      <c r="D177" s="54">
        <v>4.6399497848534921E-3</v>
      </c>
      <c r="E177" s="54">
        <v>-7.4063669073863858E-3</v>
      </c>
      <c r="F177" s="54">
        <v>-3.6526503856020298E-3</v>
      </c>
    </row>
    <row r="178" spans="1:6" x14ac:dyDescent="0.25">
      <c r="A178" s="42">
        <v>41677</v>
      </c>
      <c r="B178" s="54">
        <v>4.91169799994573E-3</v>
      </c>
      <c r="C178" s="54">
        <v>1.3654180208555911E-2</v>
      </c>
      <c r="D178" s="54">
        <v>1.7371732932523587E-2</v>
      </c>
      <c r="E178" s="54">
        <v>1.1648914943907185E-2</v>
      </c>
      <c r="F178" s="54">
        <v>1.1178435552725352E-2</v>
      </c>
    </row>
    <row r="179" spans="1:6" x14ac:dyDescent="0.25">
      <c r="A179" s="42">
        <v>41684</v>
      </c>
      <c r="B179" s="54">
        <v>2.7352591192333353E-3</v>
      </c>
      <c r="C179" s="54">
        <v>-4.7771298759575753E-3</v>
      </c>
      <c r="D179" s="54">
        <v>-6.5316718391896789E-3</v>
      </c>
      <c r="E179" s="54">
        <v>2.4360449443932009E-3</v>
      </c>
      <c r="F179" s="54">
        <v>2.8864739055414201E-3</v>
      </c>
    </row>
    <row r="180" spans="1:6" x14ac:dyDescent="0.25">
      <c r="A180" s="42">
        <v>41691</v>
      </c>
      <c r="B180" s="54">
        <v>3.0165820493643913E-4</v>
      </c>
      <c r="C180" s="54">
        <v>-2.4829598383553364E-3</v>
      </c>
      <c r="D180" s="54">
        <v>-2.6204480998688329E-3</v>
      </c>
      <c r="E180" s="54">
        <v>6.5007627844602123E-3</v>
      </c>
      <c r="F180" s="54">
        <v>4.7597541558030976E-4</v>
      </c>
    </row>
    <row r="181" spans="1:6" x14ac:dyDescent="0.25">
      <c r="A181" s="42">
        <v>41698</v>
      </c>
      <c r="B181" s="54">
        <v>7.8635051586402049E-3</v>
      </c>
      <c r="C181" s="54">
        <v>-1.8502911156410562E-3</v>
      </c>
      <c r="D181" s="54">
        <v>6.9430559684009463E-3</v>
      </c>
      <c r="E181" s="54">
        <v>1.6197818068536263E-2</v>
      </c>
      <c r="F181" s="54">
        <v>-5.7970386382562022E-3</v>
      </c>
    </row>
    <row r="182" spans="1:6" x14ac:dyDescent="0.25">
      <c r="A182" s="42">
        <v>41705</v>
      </c>
      <c r="B182" s="54">
        <v>6.3382592720911957E-3</v>
      </c>
      <c r="C182" s="54">
        <v>1.6355414741798802E-2</v>
      </c>
      <c r="D182" s="54">
        <v>-3.5940007722597977E-3</v>
      </c>
      <c r="E182" s="54">
        <v>1.5994430440880114E-2</v>
      </c>
      <c r="F182" s="54">
        <v>1.1758681721590447E-2</v>
      </c>
    </row>
    <row r="183" spans="1:6" x14ac:dyDescent="0.25">
      <c r="A183" s="42">
        <v>41712</v>
      </c>
      <c r="B183" s="54">
        <v>3.3075926725326665E-3</v>
      </c>
      <c r="C183" s="54">
        <v>1.2027312317577588E-2</v>
      </c>
      <c r="D183" s="54">
        <v>-2.5425710214189712E-3</v>
      </c>
      <c r="E183" s="54">
        <v>1.9995579033916799E-3</v>
      </c>
      <c r="F183" s="54">
        <v>-4.0865479078577849E-4</v>
      </c>
    </row>
    <row r="184" spans="1:6" x14ac:dyDescent="0.25">
      <c r="A184" s="42">
        <v>41719</v>
      </c>
      <c r="B184" s="54">
        <v>-3.0868912687598282E-4</v>
      </c>
      <c r="C184" s="54">
        <v>-2.6249669760236571E-4</v>
      </c>
      <c r="D184" s="54">
        <v>3.1594101783221085E-3</v>
      </c>
      <c r="E184" s="54">
        <v>-8.4210986996646753E-4</v>
      </c>
      <c r="F184" s="54">
        <v>8.948775662431796E-3</v>
      </c>
    </row>
    <row r="185" spans="1:6" x14ac:dyDescent="0.25">
      <c r="A185" s="42">
        <v>41726</v>
      </c>
      <c r="B185" s="54">
        <v>-6.6620422432364101E-3</v>
      </c>
      <c r="C185" s="54">
        <v>-9.5036118242675105E-3</v>
      </c>
      <c r="D185" s="54">
        <v>-6.2292575088069846E-3</v>
      </c>
      <c r="E185" s="54">
        <v>-2.9353469971289403E-3</v>
      </c>
      <c r="F185" s="54">
        <v>-1.8556225991057662E-3</v>
      </c>
    </row>
    <row r="186" spans="1:6" x14ac:dyDescent="0.25">
      <c r="A186" s="42">
        <v>41733</v>
      </c>
      <c r="B186" s="54">
        <v>-5.8730022573474372E-3</v>
      </c>
      <c r="C186" s="54">
        <v>-9.7716838521075822E-3</v>
      </c>
      <c r="D186" s="54">
        <v>1.9759314612815881E-2</v>
      </c>
      <c r="E186" s="54">
        <v>7.916208883034237E-3</v>
      </c>
      <c r="F186" s="54">
        <v>8.3060960518168692E-3</v>
      </c>
    </row>
    <row r="187" spans="1:6" x14ac:dyDescent="0.25">
      <c r="A187" s="42">
        <v>41740</v>
      </c>
      <c r="B187" s="54">
        <v>-3.4215160265578248E-3</v>
      </c>
      <c r="C187" s="54">
        <v>-3.2212799707155293E-3</v>
      </c>
      <c r="D187" s="54">
        <v>-2.3562833744574574E-2</v>
      </c>
      <c r="E187" s="54">
        <v>6.2500548378700005E-3</v>
      </c>
      <c r="F187" s="54">
        <v>-9.0570645951880691E-3</v>
      </c>
    </row>
    <row r="188" spans="1:6" x14ac:dyDescent="0.25">
      <c r="A188" s="42">
        <v>41747</v>
      </c>
      <c r="B188" s="54">
        <v>-5.7439604718274584E-3</v>
      </c>
      <c r="C188" s="54">
        <v>-7.5558508662931789E-3</v>
      </c>
      <c r="D188" s="54">
        <v>-3.5507610407534695E-3</v>
      </c>
      <c r="E188" s="54">
        <v>-7.8850126222862471E-3</v>
      </c>
      <c r="F188" s="54">
        <v>-6.5865625748593448E-3</v>
      </c>
    </row>
    <row r="189" spans="1:6" x14ac:dyDescent="0.25">
      <c r="A189" s="42">
        <v>41754</v>
      </c>
      <c r="B189" s="54">
        <v>6.4180424940725178E-3</v>
      </c>
      <c r="C189" s="54">
        <v>2.2604711037692571E-3</v>
      </c>
      <c r="D189" s="54">
        <v>-1.0606199211116163E-2</v>
      </c>
      <c r="E189" s="54">
        <v>2.1635607311472294E-2</v>
      </c>
      <c r="F189" s="54">
        <v>2.0871513600388969E-3</v>
      </c>
    </row>
    <row r="190" spans="1:6" x14ac:dyDescent="0.25">
      <c r="A190" s="42">
        <v>41761</v>
      </c>
      <c r="B190" s="54">
        <v>-2.6414080472390022E-3</v>
      </c>
      <c r="C190" s="54">
        <v>-4.5503206557249154E-3</v>
      </c>
      <c r="D190" s="54">
        <v>6.9612017978617491E-3</v>
      </c>
      <c r="E190" s="54">
        <v>-6.4576351152012545E-3</v>
      </c>
      <c r="F190" s="54">
        <v>2.1085219023420088E-3</v>
      </c>
    </row>
    <row r="191" spans="1:6" x14ac:dyDescent="0.25">
      <c r="A191" s="42">
        <v>41768</v>
      </c>
      <c r="B191" s="54">
        <v>-3.8350360292174202E-3</v>
      </c>
      <c r="C191" s="54">
        <v>-2.3018037248179191E-4</v>
      </c>
      <c r="D191" s="54">
        <v>-1.8353304329097098E-2</v>
      </c>
      <c r="E191" s="54">
        <v>-6.965493095081321E-3</v>
      </c>
      <c r="F191" s="54">
        <v>-4.3222220237868481E-3</v>
      </c>
    </row>
    <row r="192" spans="1:6" x14ac:dyDescent="0.25">
      <c r="A192" s="42">
        <v>41775</v>
      </c>
      <c r="B192" s="54">
        <v>-5.4501247117377805E-3</v>
      </c>
      <c r="C192" s="54">
        <v>-1.2511855013761397E-2</v>
      </c>
      <c r="D192" s="54">
        <v>-2.9815132696405011E-2</v>
      </c>
      <c r="E192" s="54">
        <v>-2.5130966116305054E-2</v>
      </c>
      <c r="F192" s="54">
        <v>-2.7694368161970351E-2</v>
      </c>
    </row>
    <row r="193" spans="1:6" x14ac:dyDescent="0.25">
      <c r="A193" s="42">
        <v>41782</v>
      </c>
      <c r="B193" s="54">
        <v>8.7240905605561192E-3</v>
      </c>
      <c r="C193" s="54">
        <v>-1.7612123090482434E-3</v>
      </c>
      <c r="D193" s="54">
        <v>1.8181896405279785E-2</v>
      </c>
      <c r="E193" s="54">
        <v>1.6651263423245632E-2</v>
      </c>
      <c r="F193" s="54">
        <v>1.7209961062443213E-2</v>
      </c>
    </row>
    <row r="194" spans="1:6" x14ac:dyDescent="0.25">
      <c r="A194" s="42">
        <v>41789</v>
      </c>
      <c r="B194" s="54">
        <v>3.5266001441447425E-3</v>
      </c>
      <c r="C194" s="54">
        <v>1.206180330822737E-2</v>
      </c>
      <c r="D194" s="54">
        <v>1.6032099356216634E-2</v>
      </c>
      <c r="E194" s="54">
        <v>6.6923537612941786E-3</v>
      </c>
      <c r="F194" s="54">
        <v>6.9978833996935386E-3</v>
      </c>
    </row>
    <row r="195" spans="1:6" x14ac:dyDescent="0.25">
      <c r="A195" s="42">
        <v>41796</v>
      </c>
      <c r="B195" s="54">
        <v>3.3147155500934389E-4</v>
      </c>
      <c r="C195" s="54">
        <v>-1.0611328153082855E-3</v>
      </c>
      <c r="D195" s="54">
        <v>1.5794736601589143E-2</v>
      </c>
      <c r="E195" s="54">
        <v>7.0985832729415499E-3</v>
      </c>
      <c r="F195" s="54">
        <v>8.300239284215527E-3</v>
      </c>
    </row>
    <row r="196" spans="1:6" x14ac:dyDescent="0.25">
      <c r="A196" s="42">
        <v>41803</v>
      </c>
      <c r="B196" s="54">
        <v>3.3647266496261707E-3</v>
      </c>
      <c r="C196" s="54">
        <v>-3.2671469109274431E-3</v>
      </c>
      <c r="D196" s="54">
        <v>-1.3909471988389099E-2</v>
      </c>
      <c r="E196" s="54">
        <v>-1.3049319644944379E-3</v>
      </c>
      <c r="F196" s="54">
        <v>-1.4351573150765184E-2</v>
      </c>
    </row>
    <row r="197" spans="1:6" x14ac:dyDescent="0.25">
      <c r="A197" s="42">
        <v>41810</v>
      </c>
      <c r="B197" s="54">
        <v>-6.457629085974137E-4</v>
      </c>
      <c r="C197" s="54">
        <v>7.7216265436834686E-3</v>
      </c>
      <c r="D197" s="54">
        <v>-2.9201308791246827E-3</v>
      </c>
      <c r="E197" s="54">
        <v>7.3024030366508619E-4</v>
      </c>
      <c r="F197" s="54">
        <v>-9.5508999641048531E-3</v>
      </c>
    </row>
    <row r="198" spans="1:6" x14ac:dyDescent="0.25">
      <c r="A198" s="42">
        <v>41817</v>
      </c>
      <c r="B198" s="54">
        <v>-1.0573658924613039E-3</v>
      </c>
      <c r="C198" s="54">
        <v>9.6300460910319075E-3</v>
      </c>
      <c r="D198" s="54">
        <v>1.3037058192443274E-3</v>
      </c>
      <c r="E198" s="54">
        <v>-4.9023476587740644E-3</v>
      </c>
      <c r="F198" s="54">
        <v>-2.5966523013031262E-3</v>
      </c>
    </row>
    <row r="199" spans="1:6" x14ac:dyDescent="0.25">
      <c r="A199" s="42">
        <v>41824</v>
      </c>
      <c r="B199" s="54">
        <v>5.9246062023674551E-3</v>
      </c>
      <c r="C199" s="54">
        <v>-6.7483998070096973E-3</v>
      </c>
      <c r="D199" s="54">
        <v>-1.005768826248965E-2</v>
      </c>
      <c r="E199" s="54">
        <v>-1.948439567995397E-3</v>
      </c>
      <c r="F199" s="54">
        <v>-9.9579255455006788E-5</v>
      </c>
    </row>
    <row r="200" spans="1:6" x14ac:dyDescent="0.25">
      <c r="A200" s="42">
        <v>41831</v>
      </c>
      <c r="B200" s="54">
        <v>5.3083475497150978E-5</v>
      </c>
      <c r="C200" s="54">
        <v>4.602734554451815E-3</v>
      </c>
      <c r="D200" s="54">
        <v>-8.3965299439154872E-3</v>
      </c>
      <c r="E200" s="54">
        <v>-7.8671618834187385E-3</v>
      </c>
      <c r="F200" s="54">
        <v>-5.5841529805329415E-3</v>
      </c>
    </row>
    <row r="201" spans="1:6" x14ac:dyDescent="0.25">
      <c r="A201" s="42">
        <v>41838</v>
      </c>
      <c r="B201" s="54">
        <v>4.9064273960459648E-3</v>
      </c>
      <c r="C201" s="54">
        <v>1.0287444583734207E-4</v>
      </c>
      <c r="D201" s="54">
        <v>3.5653809553182203E-3</v>
      </c>
      <c r="E201" s="54">
        <v>6.7351617134905339E-3</v>
      </c>
      <c r="F201" s="54">
        <v>7.9988396034980092E-4</v>
      </c>
    </row>
    <row r="202" spans="1:6" x14ac:dyDescent="0.25">
      <c r="A202" s="42">
        <v>41845</v>
      </c>
      <c r="B202" s="54">
        <v>-6.6446958168890902E-3</v>
      </c>
      <c r="C202" s="54">
        <v>-2.5452235332539264E-3</v>
      </c>
      <c r="D202" s="54">
        <v>1.0573023369877754E-2</v>
      </c>
      <c r="E202" s="54">
        <v>-5.9071661755676352E-3</v>
      </c>
      <c r="F202" s="54">
        <v>-8.8536886549439586E-4</v>
      </c>
    </row>
    <row r="203" spans="1:6" x14ac:dyDescent="0.25">
      <c r="A203" s="42">
        <v>41852</v>
      </c>
      <c r="B203" s="54">
        <v>5.6795704537593306E-4</v>
      </c>
      <c r="C203" s="54">
        <v>4.8402041199584467E-3</v>
      </c>
      <c r="D203" s="54">
        <v>-1.3666157066347662E-2</v>
      </c>
      <c r="E203" s="54">
        <v>-1.5181375020669741E-2</v>
      </c>
      <c r="F203" s="54">
        <v>-9.860978265658682E-3</v>
      </c>
    </row>
    <row r="204" spans="1:6" x14ac:dyDescent="0.25">
      <c r="A204" s="42">
        <v>41859</v>
      </c>
      <c r="B204" s="54">
        <v>4.1401507814098348E-3</v>
      </c>
      <c r="C204" s="54">
        <v>1.8829522912194863E-3</v>
      </c>
      <c r="D204" s="54">
        <v>-2.6466919710316894E-2</v>
      </c>
      <c r="E204" s="54">
        <v>-8.2829172276195351E-3</v>
      </c>
      <c r="F204" s="54">
        <v>-8.6484198482918995E-3</v>
      </c>
    </row>
    <row r="205" spans="1:6" x14ac:dyDescent="0.25">
      <c r="A205" s="42">
        <v>41866</v>
      </c>
      <c r="B205" s="54">
        <v>-1.5644609206058036E-3</v>
      </c>
      <c r="C205" s="54">
        <v>-5.6482682045637667E-3</v>
      </c>
      <c r="D205" s="54">
        <v>1.640405884916829E-2</v>
      </c>
      <c r="E205" s="54">
        <v>3.2840475236726174E-3</v>
      </c>
      <c r="F205" s="54">
        <v>3.1990426583536902E-3</v>
      </c>
    </row>
    <row r="206" spans="1:6" x14ac:dyDescent="0.25">
      <c r="A206" s="42">
        <v>41873</v>
      </c>
      <c r="B206" s="54">
        <v>-5.0743831885879942E-4</v>
      </c>
      <c r="C206" s="54">
        <v>-1.5122865753656178E-2</v>
      </c>
      <c r="D206" s="54">
        <v>4.8476608227807638E-3</v>
      </c>
      <c r="E206" s="54">
        <v>-3.2562998787390995E-3</v>
      </c>
      <c r="F206" s="54">
        <v>5.3523203181962131E-3</v>
      </c>
    </row>
    <row r="207" spans="1:6" x14ac:dyDescent="0.25">
      <c r="A207" s="42">
        <v>41880</v>
      </c>
      <c r="B207" s="54">
        <v>-1.0118299366177474E-2</v>
      </c>
      <c r="C207" s="54">
        <v>-6.1813198013478399E-3</v>
      </c>
      <c r="D207" s="54">
        <v>4.263016669866948E-3</v>
      </c>
      <c r="E207" s="54">
        <v>-4.4797500714925942E-3</v>
      </c>
      <c r="F207" s="54">
        <v>-1.199524864144319E-3</v>
      </c>
    </row>
    <row r="208" spans="1:6" x14ac:dyDescent="0.25">
      <c r="A208" s="42">
        <v>41887</v>
      </c>
      <c r="B208" s="54">
        <v>-1.6779835690601486E-2</v>
      </c>
      <c r="C208" s="54">
        <v>-1.196223629630766E-2</v>
      </c>
      <c r="D208" s="54">
        <v>1.2316299590713342E-2</v>
      </c>
      <c r="E208" s="54">
        <v>-7.5014876917014472E-3</v>
      </c>
      <c r="F208" s="54">
        <v>2.7662323458592653E-3</v>
      </c>
    </row>
    <row r="209" spans="1:6" x14ac:dyDescent="0.25">
      <c r="A209" s="42">
        <v>41894</v>
      </c>
      <c r="B209" s="54">
        <v>-1.7863984484767226E-4</v>
      </c>
      <c r="C209" s="54">
        <v>1.8002066895456137E-3</v>
      </c>
      <c r="D209" s="54">
        <v>2.7303362222630412E-3</v>
      </c>
      <c r="E209" s="54">
        <v>-7.4322569244207326E-3</v>
      </c>
      <c r="F209" s="54">
        <v>2.7332076303842046E-3</v>
      </c>
    </row>
    <row r="210" spans="1:6" x14ac:dyDescent="0.25">
      <c r="A210" s="42">
        <v>41901</v>
      </c>
      <c r="B210" s="54">
        <v>-5.4304805259006717E-3</v>
      </c>
      <c r="C210" s="54">
        <v>-1.5305646240514781E-2</v>
      </c>
      <c r="D210" s="54">
        <v>-8.3850186143181737E-3</v>
      </c>
      <c r="E210" s="54">
        <v>-1.3855098095522989E-2</v>
      </c>
      <c r="F210" s="54">
        <v>-3.7456644774727099E-3</v>
      </c>
    </row>
    <row r="211" spans="1:6" x14ac:dyDescent="0.25">
      <c r="A211" s="42">
        <v>41908</v>
      </c>
      <c r="B211" s="54">
        <v>-2.9532922404374995E-3</v>
      </c>
      <c r="C211" s="54">
        <v>-1.0491023256042897E-4</v>
      </c>
      <c r="D211" s="54">
        <v>2.5315628356180619E-3</v>
      </c>
      <c r="E211" s="54">
        <v>-1.6250646392115264E-3</v>
      </c>
      <c r="F211" s="54">
        <v>-3.7242562980940308E-3</v>
      </c>
    </row>
    <row r="212" spans="1:6" x14ac:dyDescent="0.25">
      <c r="A212" s="42">
        <v>41915</v>
      </c>
      <c r="B212" s="54">
        <v>3.94320463650355E-3</v>
      </c>
      <c r="C212" s="54">
        <v>7.3527153574919346E-3</v>
      </c>
      <c r="D212" s="54">
        <v>-6.5795428578430126E-4</v>
      </c>
      <c r="E212" s="54">
        <v>9.4637921286025994E-3</v>
      </c>
      <c r="F212" s="54">
        <v>-1.1575158550170883E-2</v>
      </c>
    </row>
    <row r="213" spans="1:6" x14ac:dyDescent="0.25">
      <c r="A213" s="42">
        <v>41922</v>
      </c>
      <c r="B213" s="54">
        <v>-5.0980532315847427E-4</v>
      </c>
      <c r="C213" s="54">
        <v>1.4835809258726629E-2</v>
      </c>
      <c r="D213" s="54">
        <v>-1.6317616634816567E-2</v>
      </c>
      <c r="E213" s="54">
        <v>-1.2760166485027424E-3</v>
      </c>
      <c r="F213" s="54">
        <v>1.6990315728568905E-3</v>
      </c>
    </row>
    <row r="214" spans="1:6" x14ac:dyDescent="0.25">
      <c r="A214" s="42">
        <v>41929</v>
      </c>
      <c r="B214" s="54">
        <v>1.4092164636851257E-2</v>
      </c>
      <c r="C214" s="54">
        <v>3.8798802811913502E-3</v>
      </c>
      <c r="D214" s="54">
        <v>-1.6648636982929843E-2</v>
      </c>
      <c r="E214" s="54">
        <v>6.6863392793437004E-3</v>
      </c>
      <c r="F214" s="54">
        <v>8.6030783235353514E-3</v>
      </c>
    </row>
    <row r="215" spans="1:6" x14ac:dyDescent="0.25">
      <c r="A215" s="42">
        <v>41936</v>
      </c>
      <c r="B215" s="54">
        <v>-4.0243185186341623E-3</v>
      </c>
      <c r="C215" s="54">
        <v>-6.1836919719104877E-4</v>
      </c>
      <c r="D215" s="54">
        <v>2.6933563970149565E-2</v>
      </c>
      <c r="E215" s="54">
        <v>6.9863583361899906E-3</v>
      </c>
      <c r="F215" s="54">
        <v>1.6016364737259092E-3</v>
      </c>
    </row>
    <row r="216" spans="1:6" x14ac:dyDescent="0.25">
      <c r="A216" s="42">
        <v>41943</v>
      </c>
      <c r="B216" s="54">
        <v>-2.6447928957786804E-3</v>
      </c>
      <c r="C216" s="54">
        <v>1.8387593190769547E-3</v>
      </c>
      <c r="D216" s="54">
        <v>-1.0996179117036764E-2</v>
      </c>
      <c r="E216" s="54">
        <v>-1.365888117856362E-2</v>
      </c>
      <c r="F216" s="54">
        <v>6.0773627139649733E-3</v>
      </c>
    </row>
    <row r="217" spans="1:6" x14ac:dyDescent="0.25">
      <c r="A217" s="42">
        <v>41950</v>
      </c>
      <c r="B217" s="54">
        <v>7.4625923591309373E-3</v>
      </c>
      <c r="C217" s="54">
        <v>9.1175226974513635E-3</v>
      </c>
      <c r="D217" s="54">
        <v>-2.1513102962517072E-3</v>
      </c>
      <c r="E217" s="54">
        <v>1.7348012851735373E-2</v>
      </c>
      <c r="F217" s="54">
        <v>7.2327906637310591E-3</v>
      </c>
    </row>
    <row r="218" spans="1:6" x14ac:dyDescent="0.25">
      <c r="A218" s="42">
        <v>41957</v>
      </c>
      <c r="B218" s="54">
        <v>-2.5624842142388804E-3</v>
      </c>
      <c r="C218" s="54">
        <v>-8.2984291069121419E-4</v>
      </c>
      <c r="D218" s="54">
        <v>2.3441592942281542E-3</v>
      </c>
      <c r="E218" s="54">
        <v>2.7238735909404621E-2</v>
      </c>
      <c r="F218" s="54">
        <v>5.7534191267150092E-4</v>
      </c>
    </row>
    <row r="219" spans="1:6" x14ac:dyDescent="0.25">
      <c r="A219" s="42">
        <v>41964</v>
      </c>
      <c r="B219" s="54">
        <v>-8.2567926057737218E-3</v>
      </c>
      <c r="C219" s="54">
        <v>-1.2625910130708462E-2</v>
      </c>
      <c r="D219" s="54">
        <v>-6.0319851992389761E-3</v>
      </c>
      <c r="E219" s="54">
        <v>-7.6531528460019871E-3</v>
      </c>
      <c r="F219" s="54">
        <v>6.437262691778578E-4</v>
      </c>
    </row>
    <row r="220" spans="1:6" x14ac:dyDescent="0.25">
      <c r="A220" s="42">
        <v>41971</v>
      </c>
      <c r="B220" s="54">
        <v>-5.6359783081209036E-3</v>
      </c>
      <c r="C220" s="54">
        <v>-6.0038400896403887E-3</v>
      </c>
      <c r="D220" s="54">
        <v>-2.4673641282233483E-3</v>
      </c>
      <c r="E220" s="54">
        <v>-6.6766820695562945E-3</v>
      </c>
      <c r="F220" s="54">
        <v>5.3608040913011301E-4</v>
      </c>
    </row>
    <row r="221" spans="1:6" x14ac:dyDescent="0.25">
      <c r="A221" s="42">
        <v>41978</v>
      </c>
      <c r="B221" s="54">
        <v>9.4744620888564945E-4</v>
      </c>
      <c r="C221" s="54">
        <v>6.9262090673283261E-4</v>
      </c>
      <c r="D221" s="54">
        <v>1.801316025976929E-2</v>
      </c>
      <c r="E221" s="54">
        <v>4.8397638530841558E-3</v>
      </c>
      <c r="F221" s="54">
        <v>-5.4801079009436648E-4</v>
      </c>
    </row>
    <row r="222" spans="1:6" x14ac:dyDescent="0.25">
      <c r="A222" s="42">
        <v>41985</v>
      </c>
      <c r="B222" s="54">
        <v>1.4040011581614054E-2</v>
      </c>
      <c r="C222" s="54">
        <v>2.594399793397606E-2</v>
      </c>
      <c r="D222" s="54">
        <v>1.5740072145656758E-2</v>
      </c>
      <c r="E222" s="54">
        <v>1.0054615213686335E-2</v>
      </c>
      <c r="F222" s="54">
        <v>-2.2440113018994401E-3</v>
      </c>
    </row>
    <row r="223" spans="1:6" x14ac:dyDescent="0.25">
      <c r="A223" s="42">
        <v>41992</v>
      </c>
      <c r="B223" s="54">
        <v>1.2084160442616509E-2</v>
      </c>
      <c r="C223" s="54">
        <v>-6.292376130237809E-3</v>
      </c>
      <c r="D223" s="54">
        <v>-9.9952915383072494E-4</v>
      </c>
      <c r="E223" s="54">
        <v>2.4561195447436734E-3</v>
      </c>
      <c r="F223" s="54">
        <v>1.6074090048156409E-2</v>
      </c>
    </row>
    <row r="224" spans="1:6" x14ac:dyDescent="0.25">
      <c r="A224" s="42">
        <v>41999</v>
      </c>
      <c r="B224" s="54">
        <v>4.1865796028606184E-5</v>
      </c>
      <c r="C224" s="54">
        <v>2.5691025652745392E-3</v>
      </c>
      <c r="D224" s="54">
        <v>2.3608549854370331E-4</v>
      </c>
      <c r="E224" s="54">
        <v>6.6079492190107558E-4</v>
      </c>
      <c r="F224" s="54">
        <v>2.0235972781088574E-3</v>
      </c>
    </row>
    <row r="225" spans="1:6" x14ac:dyDescent="0.25">
      <c r="A225" s="42">
        <v>42006</v>
      </c>
      <c r="B225" s="54">
        <v>6.0716464393297809E-3</v>
      </c>
      <c r="C225" s="54">
        <v>9.3242207944089772E-3</v>
      </c>
      <c r="D225" s="54">
        <v>8.0304660192982436E-3</v>
      </c>
      <c r="E225" s="54">
        <v>-4.2126502151129674E-4</v>
      </c>
      <c r="F225" s="54">
        <v>-2.1225169252903076E-4</v>
      </c>
    </row>
    <row r="226" spans="1:6" x14ac:dyDescent="0.25">
      <c r="A226" s="42">
        <v>42013</v>
      </c>
      <c r="B226" s="54">
        <v>3.9469553080302422E-3</v>
      </c>
      <c r="C226" s="54">
        <v>1.3189927978781379E-2</v>
      </c>
      <c r="D226" s="54">
        <v>8.5132242226538812E-3</v>
      </c>
      <c r="E226" s="54">
        <v>-2.0152329215848974E-3</v>
      </c>
      <c r="F226" s="54">
        <v>-1.8102522413391386E-2</v>
      </c>
    </row>
    <row r="227" spans="1:6" x14ac:dyDescent="0.25">
      <c r="A227" s="42">
        <v>42020</v>
      </c>
      <c r="B227" s="54">
        <v>-2.2712833678948385E-2</v>
      </c>
      <c r="C227" s="54">
        <v>-3.9633228719759828E-3</v>
      </c>
      <c r="D227" s="54">
        <v>-1.6795623206416144E-2</v>
      </c>
      <c r="E227" s="54">
        <v>-1.9567180374484572E-2</v>
      </c>
      <c r="F227" s="54">
        <v>-3.0148449428555324E-3</v>
      </c>
    </row>
    <row r="228" spans="1:6" x14ac:dyDescent="0.25">
      <c r="A228" s="42">
        <v>42027</v>
      </c>
      <c r="B228" s="54">
        <v>-6.8974307248292899E-3</v>
      </c>
      <c r="C228" s="54">
        <v>-7.6561107603743128E-3</v>
      </c>
      <c r="D228" s="54">
        <v>-8.1273584907473051E-3</v>
      </c>
      <c r="E228" s="54">
        <v>2.4165107110005746E-3</v>
      </c>
      <c r="F228" s="54">
        <v>-3.1100536011772206E-3</v>
      </c>
    </row>
    <row r="229" spans="1:6" x14ac:dyDescent="0.25">
      <c r="A229" s="42">
        <v>42034</v>
      </c>
      <c r="B229" s="54">
        <v>4.3588020027465202E-3</v>
      </c>
      <c r="C229" s="54">
        <v>1.867241310181289E-2</v>
      </c>
      <c r="D229" s="54">
        <v>2.0401512671787692E-2</v>
      </c>
      <c r="E229" s="54">
        <v>2.7825336838116499E-3</v>
      </c>
      <c r="F229" s="54">
        <v>-2.4033109407687325E-3</v>
      </c>
    </row>
    <row r="230" spans="1:6" x14ac:dyDescent="0.25">
      <c r="A230" s="42">
        <v>42041</v>
      </c>
      <c r="B230" s="54">
        <v>1.1646753794266385E-2</v>
      </c>
      <c r="C230" s="54">
        <v>-4.7532462057335856E-3</v>
      </c>
      <c r="D230" s="54">
        <v>-8.8532462057335781E-3</v>
      </c>
      <c r="E230" s="54">
        <v>2.434675379426654E-2</v>
      </c>
      <c r="F230" s="54">
        <v>2.5246753794266219E-2</v>
      </c>
    </row>
    <row r="231" spans="1:6" x14ac:dyDescent="0.25">
      <c r="A231" s="42">
        <v>42048</v>
      </c>
      <c r="B231" s="54">
        <v>-5.5953201661871343E-3</v>
      </c>
      <c r="C231" s="54">
        <v>-1.017634592884531E-2</v>
      </c>
      <c r="D231" s="54">
        <v>6.9780329007136377E-3</v>
      </c>
      <c r="E231" s="54">
        <v>2.373915562054485E-2</v>
      </c>
      <c r="F231" s="54">
        <v>1.0567807990035538E-2</v>
      </c>
    </row>
    <row r="232" spans="1:6" x14ac:dyDescent="0.25">
      <c r="A232" s="42">
        <v>42055</v>
      </c>
      <c r="B232" s="54">
        <v>7.6929907690570509E-3</v>
      </c>
      <c r="C232" s="54">
        <v>-6.0975377923775387E-3</v>
      </c>
      <c r="D232" s="54">
        <v>-5.120927363284844E-3</v>
      </c>
      <c r="E232" s="54">
        <v>-8.7804671416358282E-4</v>
      </c>
      <c r="F232" s="54">
        <v>3.3196338517649249E-3</v>
      </c>
    </row>
    <row r="233" spans="1:6" x14ac:dyDescent="0.25">
      <c r="A233" s="42">
        <v>42062</v>
      </c>
      <c r="B233" s="54">
        <v>-4.6527822198516589E-4</v>
      </c>
      <c r="C233" s="54">
        <v>-4.3581839996515992E-3</v>
      </c>
      <c r="D233" s="54">
        <v>6.5400955701666597E-4</v>
      </c>
      <c r="E233" s="54">
        <v>-9.567984228395332E-3</v>
      </c>
      <c r="F233" s="54">
        <v>-1.6277320304391329E-2</v>
      </c>
    </row>
    <row r="234" spans="1:6" x14ac:dyDescent="0.25">
      <c r="A234" s="42">
        <v>42069</v>
      </c>
      <c r="B234" s="54">
        <v>4.424665613214307E-3</v>
      </c>
      <c r="C234" s="54">
        <v>-5.4357001340481492E-3</v>
      </c>
      <c r="D234" s="54">
        <v>-5.8249460782657803E-3</v>
      </c>
      <c r="E234" s="54">
        <v>-9.6260705110885469E-3</v>
      </c>
      <c r="F234" s="54">
        <v>9.3616223886485717E-3</v>
      </c>
    </row>
    <row r="235" spans="1:6" x14ac:dyDescent="0.25">
      <c r="A235" s="42">
        <v>42076</v>
      </c>
      <c r="B235" s="54">
        <v>-3.4147802562447538E-3</v>
      </c>
      <c r="C235" s="54">
        <v>9.0286345159062975E-3</v>
      </c>
      <c r="D235" s="54">
        <v>1.2069986198549154E-2</v>
      </c>
      <c r="E235" s="54">
        <v>-3.5063526386380772E-4</v>
      </c>
      <c r="F235" s="54">
        <v>-1.0021339870913692E-4</v>
      </c>
    </row>
    <row r="236" spans="1:6" x14ac:dyDescent="0.25">
      <c r="A236" s="42">
        <v>42083</v>
      </c>
      <c r="B236" s="54">
        <v>-6.3348402640468482E-3</v>
      </c>
      <c r="C236" s="54">
        <v>-7.1632278990305664E-3</v>
      </c>
      <c r="D236" s="54">
        <v>-1.4806261189729275E-2</v>
      </c>
      <c r="E236" s="54">
        <v>-1.0688521186101863E-2</v>
      </c>
      <c r="F236" s="54">
        <v>-4.5544352301118973E-3</v>
      </c>
    </row>
    <row r="237" spans="1:6" x14ac:dyDescent="0.25">
      <c r="A237" s="42">
        <v>42090</v>
      </c>
      <c r="B237" s="54">
        <v>-2.9952058737554577E-3</v>
      </c>
      <c r="C237" s="54">
        <v>9.6670913902021649E-3</v>
      </c>
      <c r="D237" s="54">
        <v>3.8360160238462004E-3</v>
      </c>
      <c r="E237" s="54">
        <v>9.310407785184549E-3</v>
      </c>
      <c r="F237" s="54">
        <v>-8.8682172201748344E-4</v>
      </c>
    </row>
    <row r="238" spans="1:6" x14ac:dyDescent="0.25">
      <c r="A238" s="42">
        <v>42097</v>
      </c>
      <c r="B238" s="54">
        <v>-2.7497101613049857E-3</v>
      </c>
      <c r="C238" s="54">
        <v>5.1128976724925668E-3</v>
      </c>
      <c r="D238" s="54">
        <v>5.8731815689718747E-3</v>
      </c>
      <c r="E238" s="54">
        <v>3.9550958096865596E-3</v>
      </c>
      <c r="F238" s="54">
        <v>8.0908126025283078E-3</v>
      </c>
    </row>
    <row r="239" spans="1:6" x14ac:dyDescent="0.25">
      <c r="A239" s="42">
        <v>42104</v>
      </c>
      <c r="B239" s="54">
        <v>9.8500198834829966E-3</v>
      </c>
      <c r="C239" s="54">
        <v>6.2537532613915481E-4</v>
      </c>
      <c r="D239" s="54">
        <v>2.9736440941698916E-3</v>
      </c>
      <c r="E239" s="54">
        <v>1.0969315088271259E-2</v>
      </c>
      <c r="F239" s="54">
        <v>4.8037852843412221E-3</v>
      </c>
    </row>
    <row r="240" spans="1:6" x14ac:dyDescent="0.25">
      <c r="A240" s="42">
        <v>42111</v>
      </c>
      <c r="B240" s="54">
        <v>8.6182358665271019E-3</v>
      </c>
      <c r="C240" s="54">
        <v>4.6615680051709241E-5</v>
      </c>
      <c r="D240" s="54">
        <v>-1.0551136948466544E-2</v>
      </c>
      <c r="E240" s="54">
        <v>7.0208270660417904E-3</v>
      </c>
      <c r="F240" s="54">
        <v>1.8015460753083579E-3</v>
      </c>
    </row>
    <row r="241" spans="1:6" x14ac:dyDescent="0.25">
      <c r="A241" s="42">
        <v>42118</v>
      </c>
      <c r="B241" s="54">
        <v>-4.5016824337105188E-3</v>
      </c>
      <c r="C241" s="54">
        <v>-6.7729531554705513E-3</v>
      </c>
      <c r="D241" s="54">
        <v>-1.7304546019105693E-3</v>
      </c>
      <c r="E241" s="54">
        <v>1.4792867336332893E-3</v>
      </c>
      <c r="F241" s="54">
        <v>-1.2327621988529769E-2</v>
      </c>
    </row>
    <row r="242" spans="1:6" x14ac:dyDescent="0.25">
      <c r="A242" s="42">
        <v>42125</v>
      </c>
      <c r="B242" s="54">
        <v>-2.5279640591353569E-3</v>
      </c>
      <c r="C242" s="54">
        <v>5.5902824857515521E-3</v>
      </c>
      <c r="D242" s="54">
        <v>-1.6662237086254028E-2</v>
      </c>
      <c r="E242" s="54">
        <v>8.2260702654592954E-3</v>
      </c>
      <c r="F242" s="54">
        <v>8.2442145989632953E-3</v>
      </c>
    </row>
    <row r="243" spans="1:6" x14ac:dyDescent="0.25">
      <c r="A243" s="42">
        <v>42132</v>
      </c>
      <c r="B243" s="54">
        <v>2.5723767054752766E-3</v>
      </c>
      <c r="C243" s="54">
        <v>-8.6567092600422502E-3</v>
      </c>
      <c r="D243" s="54">
        <v>-5.2090542706704213E-3</v>
      </c>
      <c r="E243" s="54">
        <v>6.7081424883170815E-3</v>
      </c>
      <c r="F243" s="54">
        <v>2.0908861009960589E-4</v>
      </c>
    </row>
    <row r="244" spans="1:6" x14ac:dyDescent="0.25">
      <c r="A244" s="42">
        <v>42139</v>
      </c>
      <c r="B244" s="54">
        <v>1.1250824137325477E-2</v>
      </c>
      <c r="C244" s="54">
        <v>1.3033028001908864E-2</v>
      </c>
      <c r="D244" s="54">
        <v>1.1459123266312377E-2</v>
      </c>
      <c r="E244" s="54">
        <v>1.6099941606618096E-2</v>
      </c>
      <c r="F244" s="54">
        <v>1.2821645190101094E-2</v>
      </c>
    </row>
    <row r="245" spans="1:6" x14ac:dyDescent="0.25">
      <c r="A245" s="42">
        <v>42146</v>
      </c>
      <c r="B245" s="54">
        <v>-1.4553264128915888E-3</v>
      </c>
      <c r="C245" s="54">
        <v>-1.706324687903904E-2</v>
      </c>
      <c r="D245" s="54">
        <v>-8.3351503463588994E-3</v>
      </c>
      <c r="E245" s="54">
        <v>-1.9305433368535185E-2</v>
      </c>
      <c r="F245" s="54">
        <v>-6.3342494593743304E-3</v>
      </c>
    </row>
    <row r="246" spans="1:6" x14ac:dyDescent="0.25">
      <c r="A246" s="42">
        <v>42153</v>
      </c>
      <c r="B246" s="54">
        <v>6.2133513213441516E-3</v>
      </c>
      <c r="C246" s="54">
        <v>5.3842951280346218E-3</v>
      </c>
      <c r="D246" s="54">
        <v>3.7952653406381209E-3</v>
      </c>
      <c r="E246" s="54">
        <v>3.1746102658347652E-3</v>
      </c>
      <c r="F246" s="54">
        <v>-8.7341045425555208E-3</v>
      </c>
    </row>
    <row r="247" spans="1:6" x14ac:dyDescent="0.25">
      <c r="A247" s="42">
        <v>42160</v>
      </c>
      <c r="B247" s="54">
        <v>-4.6087992183133641E-3</v>
      </c>
      <c r="C247" s="54">
        <v>-1.0180486362585395E-3</v>
      </c>
      <c r="D247" s="54">
        <v>1.6288875555596771E-3</v>
      </c>
      <c r="E247" s="54">
        <v>8.1815542832324173E-3</v>
      </c>
      <c r="F247" s="54">
        <v>1.1132770755031052E-2</v>
      </c>
    </row>
    <row r="248" spans="1:6" x14ac:dyDescent="0.25">
      <c r="A248" s="42">
        <v>42167</v>
      </c>
      <c r="B248" s="54">
        <v>1.9593453794870541E-3</v>
      </c>
      <c r="C248" s="54">
        <v>4.103785719056896E-3</v>
      </c>
      <c r="D248" s="54">
        <v>-1.2535831138732467E-3</v>
      </c>
      <c r="E248" s="54">
        <v>-2.1644280971263585E-3</v>
      </c>
      <c r="F248" s="54">
        <v>-7.4730139291666609E-3</v>
      </c>
    </row>
    <row r="249" spans="1:6" x14ac:dyDescent="0.25">
      <c r="A249" s="42">
        <v>42174</v>
      </c>
      <c r="B249" s="54">
        <v>2.4919173761176472E-3</v>
      </c>
      <c r="C249" s="54">
        <v>-5.4451898986035419E-3</v>
      </c>
      <c r="D249" s="54">
        <v>-5.910117160160766E-3</v>
      </c>
      <c r="E249" s="54">
        <v>-6.2923821195554064E-3</v>
      </c>
      <c r="F249" s="54">
        <v>-7.1571256440171593E-3</v>
      </c>
    </row>
    <row r="250" spans="1:6" x14ac:dyDescent="0.25">
      <c r="A250" s="42">
        <v>42181</v>
      </c>
      <c r="B250" s="54">
        <v>-1.1582770790035335E-2</v>
      </c>
      <c r="C250" s="54">
        <v>-5.8281055674556104E-3</v>
      </c>
      <c r="D250" s="54">
        <v>1.2459108199129654E-2</v>
      </c>
      <c r="E250" s="54">
        <v>-3.4038728815277697E-3</v>
      </c>
      <c r="F250" s="54">
        <v>1.3203364576675369E-2</v>
      </c>
    </row>
    <row r="251" spans="1:6" x14ac:dyDescent="0.25">
      <c r="A251" s="42">
        <v>42188</v>
      </c>
      <c r="B251" s="54">
        <v>5.8368754203855788E-3</v>
      </c>
      <c r="C251" s="54">
        <v>9.2605296453338592E-3</v>
      </c>
      <c r="D251" s="54">
        <v>-2.6077882702830735E-3</v>
      </c>
      <c r="E251" s="54">
        <v>3.9896998230503078E-3</v>
      </c>
      <c r="F251" s="54">
        <v>-2.2365018541510295E-3</v>
      </c>
    </row>
    <row r="252" spans="1:6" x14ac:dyDescent="0.25">
      <c r="A252" s="42">
        <v>42195</v>
      </c>
      <c r="B252" s="54">
        <v>3.0754901203300378E-5</v>
      </c>
      <c r="C252" s="54">
        <v>1.6277871446312986E-6</v>
      </c>
      <c r="D252" s="54">
        <v>3.6223771005101657E-3</v>
      </c>
      <c r="E252" s="54">
        <v>-8.4327375269133142E-4</v>
      </c>
      <c r="F252" s="54">
        <v>-1.0692131664590487E-2</v>
      </c>
    </row>
    <row r="253" spans="1:6" x14ac:dyDescent="0.25">
      <c r="A253" s="42">
        <v>42202</v>
      </c>
      <c r="B253" s="54">
        <v>4.7071159262250806E-3</v>
      </c>
      <c r="C253" s="54">
        <v>-6.0353587804591324E-3</v>
      </c>
      <c r="D253" s="54">
        <v>2.2166239685661449E-3</v>
      </c>
      <c r="E253" s="54">
        <v>-9.4235860921301207E-3</v>
      </c>
      <c r="F253" s="54">
        <v>-1.5069209485234492E-3</v>
      </c>
    </row>
    <row r="254" spans="1:6" x14ac:dyDescent="0.25">
      <c r="A254" s="42">
        <v>42209</v>
      </c>
      <c r="B254" s="54">
        <v>5.0964961855642921E-3</v>
      </c>
      <c r="C254" s="54">
        <v>9.752913386226636E-3</v>
      </c>
      <c r="D254" s="54">
        <v>1.4869081939789308E-2</v>
      </c>
      <c r="E254" s="54">
        <v>1.8274895826475568E-3</v>
      </c>
      <c r="F254" s="54">
        <v>6.2907719882389079E-3</v>
      </c>
    </row>
    <row r="255" spans="1:6" x14ac:dyDescent="0.25">
      <c r="A255" s="42">
        <v>42216</v>
      </c>
      <c r="B255" s="54">
        <v>7.7737977648633105E-3</v>
      </c>
      <c r="C255" s="54">
        <v>-1.5121926119341378E-3</v>
      </c>
      <c r="D255" s="54">
        <v>-9.2363256931488058E-3</v>
      </c>
      <c r="E255" s="54">
        <v>-3.6306372850289925E-3</v>
      </c>
      <c r="F255" s="54">
        <v>-4.2369100472872123E-3</v>
      </c>
    </row>
    <row r="256" spans="1:6" x14ac:dyDescent="0.25">
      <c r="A256" s="42">
        <v>42223</v>
      </c>
      <c r="B256" s="54">
        <v>-1.2254444402329479E-2</v>
      </c>
      <c r="C256" s="54">
        <v>3.0248951165368076E-4</v>
      </c>
      <c r="D256" s="54">
        <v>-2.5946019173881396E-3</v>
      </c>
      <c r="E256" s="54">
        <v>-7.4347858062928651E-5</v>
      </c>
      <c r="F256" s="54">
        <v>1.9665726989908094E-3</v>
      </c>
    </row>
    <row r="257" spans="1:6" x14ac:dyDescent="0.25">
      <c r="A257" s="42">
        <v>42230</v>
      </c>
      <c r="B257" s="54">
        <v>1.5274960815410576E-2</v>
      </c>
      <c r="C257" s="54">
        <v>7.1271980230896981E-3</v>
      </c>
      <c r="D257" s="54">
        <v>1.6040098456900687E-2</v>
      </c>
      <c r="E257" s="54">
        <v>3.7065552181555494E-3</v>
      </c>
      <c r="F257" s="54">
        <v>-1.9522405999356618E-2</v>
      </c>
    </row>
    <row r="258" spans="1:6" x14ac:dyDescent="0.25">
      <c r="A258" s="42">
        <v>42237</v>
      </c>
      <c r="B258" s="54">
        <v>3.9617066745870622E-3</v>
      </c>
      <c r="C258" s="54">
        <v>3.0712453014988927E-2</v>
      </c>
      <c r="D258" s="54">
        <v>-7.3917898900219825E-3</v>
      </c>
      <c r="E258" s="54">
        <v>8.5848730243415217E-3</v>
      </c>
      <c r="F258" s="54">
        <v>1.0033486320930596E-3</v>
      </c>
    </row>
    <row r="259" spans="1:6" x14ac:dyDescent="0.25">
      <c r="A259" s="42">
        <v>42244</v>
      </c>
      <c r="B259" s="54">
        <v>1.3145646725105653E-3</v>
      </c>
      <c r="C259" s="54">
        <v>-1.103756576713133E-2</v>
      </c>
      <c r="D259" s="54">
        <v>1.5035520924855827E-2</v>
      </c>
      <c r="E259" s="54">
        <v>2.1690717614313293E-3</v>
      </c>
      <c r="F259" s="54">
        <v>-1.0432168950915699E-3</v>
      </c>
    </row>
    <row r="260" spans="1:6" x14ac:dyDescent="0.25">
      <c r="A260" s="42">
        <v>42251</v>
      </c>
      <c r="B260" s="54">
        <v>9.2035678232644802E-3</v>
      </c>
      <c r="C260" s="54">
        <v>1.3475221463416509E-2</v>
      </c>
      <c r="D260" s="54">
        <v>1.5165173910300478E-2</v>
      </c>
      <c r="E260" s="54">
        <v>4.1915729876282892E-3</v>
      </c>
      <c r="F260" s="54">
        <v>-1.0290683577589999E-2</v>
      </c>
    </row>
    <row r="261" spans="1:6" x14ac:dyDescent="0.25">
      <c r="A261" s="42">
        <v>42258</v>
      </c>
      <c r="B261" s="54">
        <v>4.9632943514543726E-3</v>
      </c>
      <c r="C261" s="54">
        <v>-3.4971964572745318E-3</v>
      </c>
      <c r="D261" s="54">
        <v>1.4474012618285403E-2</v>
      </c>
      <c r="E261" s="54">
        <v>1.6587743798130994E-3</v>
      </c>
      <c r="F261" s="54">
        <v>-1.2505907857487397E-3</v>
      </c>
    </row>
    <row r="262" spans="1:6" x14ac:dyDescent="0.25">
      <c r="A262" s="42">
        <v>42265</v>
      </c>
      <c r="B262" s="54">
        <v>4.3300064115090464E-3</v>
      </c>
      <c r="C262" s="54">
        <v>7.0129925311950281E-3</v>
      </c>
      <c r="D262" s="54">
        <v>-5.0622089543630455E-3</v>
      </c>
      <c r="E262" s="54">
        <v>-6.1977490963767146E-3</v>
      </c>
      <c r="F262" s="54">
        <v>-8.4233910413522572E-3</v>
      </c>
    </row>
    <row r="263" spans="1:6" x14ac:dyDescent="0.25">
      <c r="A263" s="42">
        <v>42272</v>
      </c>
      <c r="B263" s="54">
        <v>1.5375359320244364E-2</v>
      </c>
      <c r="C263" s="54">
        <v>1.0421702740623595E-2</v>
      </c>
      <c r="D263" s="54">
        <v>6.6234836899380367E-3</v>
      </c>
      <c r="E263" s="54">
        <v>-1.0679513180323341E-2</v>
      </c>
      <c r="F263" s="54">
        <v>-5.1771475033703829E-2</v>
      </c>
    </row>
    <row r="264" spans="1:6" x14ac:dyDescent="0.25">
      <c r="A264" s="42">
        <v>42279</v>
      </c>
      <c r="B264" s="54">
        <v>2.0182387807730073E-3</v>
      </c>
      <c r="C264" s="54">
        <v>-5.6103508619175235E-3</v>
      </c>
      <c r="D264" s="54">
        <v>-1.9993340422234773E-2</v>
      </c>
      <c r="E264" s="54">
        <v>1.2687645414644289E-2</v>
      </c>
      <c r="F264" s="54">
        <v>4.2586055645157384E-3</v>
      </c>
    </row>
    <row r="265" spans="1:6" x14ac:dyDescent="0.25">
      <c r="A265" s="42">
        <v>42286</v>
      </c>
      <c r="B265" s="54">
        <v>-1.0765636918964594E-2</v>
      </c>
      <c r="C265" s="54">
        <v>-2.3862098001536935E-5</v>
      </c>
      <c r="D265" s="54">
        <v>-3.4181636656748449E-2</v>
      </c>
      <c r="E265" s="54">
        <v>2.8372654264501085E-2</v>
      </c>
      <c r="F265" s="54">
        <v>7.6708902271821477E-2</v>
      </c>
    </row>
    <row r="266" spans="1:6" x14ac:dyDescent="0.25">
      <c r="A266" s="42">
        <v>42293</v>
      </c>
      <c r="B266" s="54">
        <v>-2.5477039317335359E-3</v>
      </c>
      <c r="C266" s="54">
        <v>-3.4423727404624405E-3</v>
      </c>
      <c r="D266" s="54">
        <v>3.9409469460507385E-3</v>
      </c>
      <c r="E266" s="54">
        <v>-2.8821605362105096E-2</v>
      </c>
      <c r="F266" s="54">
        <v>-2.7154995639075308E-2</v>
      </c>
    </row>
    <row r="267" spans="1:6" x14ac:dyDescent="0.25">
      <c r="A267" s="42">
        <v>42300</v>
      </c>
      <c r="B267" s="54">
        <v>5.3322559876289866E-3</v>
      </c>
      <c r="C267" s="54">
        <v>-4.4606723955806782E-3</v>
      </c>
      <c r="D267" s="54">
        <v>-9.7394205612988394E-4</v>
      </c>
      <c r="E267" s="54">
        <v>-2.0043364850108603E-4</v>
      </c>
      <c r="F267" s="54">
        <v>-5.1872395954175587E-3</v>
      </c>
    </row>
    <row r="268" spans="1:6" x14ac:dyDescent="0.25">
      <c r="A268" s="42">
        <v>42307</v>
      </c>
      <c r="B268" s="54">
        <v>-2.6476722893061799E-3</v>
      </c>
      <c r="C268" s="54">
        <v>-1.881247774778716E-4</v>
      </c>
      <c r="D268" s="54">
        <v>6.9226389154400936E-3</v>
      </c>
      <c r="E268" s="54">
        <v>-3.1248183833973986E-3</v>
      </c>
      <c r="F268" s="54">
        <v>-1.7486327505794041E-2</v>
      </c>
    </row>
    <row r="269" spans="1:6" x14ac:dyDescent="0.25">
      <c r="A269" s="42">
        <v>42314</v>
      </c>
      <c r="B269" s="54">
        <v>9.1265111692440115E-4</v>
      </c>
      <c r="C269" s="54">
        <v>-8.9895377604114479E-3</v>
      </c>
      <c r="D269" s="54">
        <v>2.4582173822080833E-3</v>
      </c>
      <c r="E269" s="54">
        <v>1.250083576335137E-2</v>
      </c>
      <c r="F269" s="54">
        <v>1.7723058181588369E-2</v>
      </c>
    </row>
    <row r="270" spans="1:6" x14ac:dyDescent="0.25">
      <c r="A270" s="42">
        <v>42321</v>
      </c>
      <c r="B270" s="54">
        <v>1.295058616374678E-2</v>
      </c>
      <c r="C270" s="54">
        <v>1.6054036747992884E-2</v>
      </c>
      <c r="D270" s="54">
        <v>1.8278980002064404E-3</v>
      </c>
      <c r="E270" s="54">
        <v>-1.2432619104856268E-3</v>
      </c>
      <c r="F270" s="54">
        <v>-2.9691264732640721E-2</v>
      </c>
    </row>
    <row r="271" spans="1:6" x14ac:dyDescent="0.25">
      <c r="A271" s="42">
        <v>42328</v>
      </c>
      <c r="B271" s="54">
        <v>6.2133728466104987E-3</v>
      </c>
      <c r="C271" s="54">
        <v>-2.2783044500669369E-3</v>
      </c>
      <c r="D271" s="54">
        <v>-3.5312385569397087E-4</v>
      </c>
      <c r="E271" s="54">
        <v>1.5992870349450738E-2</v>
      </c>
      <c r="F271" s="54">
        <v>1.0837529672476531E-2</v>
      </c>
    </row>
    <row r="272" spans="1:6" x14ac:dyDescent="0.25">
      <c r="A272" s="42">
        <v>42335</v>
      </c>
      <c r="B272" s="54">
        <v>-1.018882684579836E-3</v>
      </c>
      <c r="C272" s="54">
        <v>-6.7799646253186019E-3</v>
      </c>
      <c r="D272" s="54">
        <v>7.993907373345932E-3</v>
      </c>
      <c r="E272" s="54">
        <v>5.2996748372586833E-3</v>
      </c>
      <c r="F272" s="54">
        <v>5.2632107851025012E-4</v>
      </c>
    </row>
    <row r="273" spans="1:6" x14ac:dyDescent="0.25">
      <c r="A273" s="42">
        <v>42342</v>
      </c>
      <c r="B273" s="54">
        <v>1.1390137267199285E-2</v>
      </c>
      <c r="C273" s="54">
        <v>2.3768306081225488E-2</v>
      </c>
      <c r="D273" s="54">
        <v>1.959236376101936E-2</v>
      </c>
      <c r="E273" s="54">
        <v>4.3314273487994326E-3</v>
      </c>
      <c r="F273" s="54">
        <v>8.8734642741761238E-4</v>
      </c>
    </row>
    <row r="274" spans="1:6" x14ac:dyDescent="0.25">
      <c r="A274" s="42">
        <v>42349</v>
      </c>
      <c r="B274" s="54">
        <v>1.4882198287916593E-3</v>
      </c>
      <c r="C274" s="54">
        <v>9.2310964171260501E-3</v>
      </c>
      <c r="D274" s="54">
        <v>6.7443265697337829E-3</v>
      </c>
      <c r="E274" s="54">
        <v>-3.3592927478784951E-3</v>
      </c>
      <c r="F274" s="54">
        <v>-1.8253376517462727E-2</v>
      </c>
    </row>
    <row r="275" spans="1:6" x14ac:dyDescent="0.25">
      <c r="A275" s="42">
        <v>42356</v>
      </c>
      <c r="B275" s="54">
        <v>-5.307005234523654E-3</v>
      </c>
      <c r="C275" s="54">
        <v>-1.170765684095576E-3</v>
      </c>
      <c r="D275" s="54">
        <v>4.2963769078112612E-3</v>
      </c>
      <c r="E275" s="54">
        <v>-5.9115573153789569E-3</v>
      </c>
      <c r="F275" s="54">
        <v>-3.0262342314792967E-3</v>
      </c>
    </row>
    <row r="276" spans="1:6" x14ac:dyDescent="0.25">
      <c r="A276" s="42">
        <v>42363</v>
      </c>
      <c r="B276" s="54">
        <v>-6.3664799980538422E-3</v>
      </c>
      <c r="C276" s="54">
        <v>-9.1688391937554403E-3</v>
      </c>
      <c r="D276" s="54">
        <v>-8.4436257488431643E-3</v>
      </c>
      <c r="E276" s="54">
        <v>6.6839122726298772E-3</v>
      </c>
      <c r="F276" s="54">
        <v>1.5743392566212489E-2</v>
      </c>
    </row>
    <row r="277" spans="1:6" x14ac:dyDescent="0.25">
      <c r="A277" s="42">
        <v>42370</v>
      </c>
      <c r="B277" s="54">
        <v>3.8308168005258825E-3</v>
      </c>
      <c r="C277" s="54">
        <v>7.509614880676585E-3</v>
      </c>
      <c r="D277" s="54">
        <v>7.7023305080505811E-3</v>
      </c>
      <c r="E277" s="54">
        <v>-5.2658412031825197E-4</v>
      </c>
      <c r="F277" s="54">
        <v>-1.1180614946565859E-2</v>
      </c>
    </row>
    <row r="278" spans="1:6" x14ac:dyDescent="0.25">
      <c r="A278" s="42">
        <v>42377</v>
      </c>
      <c r="B278" s="54">
        <v>1.161628551242011E-2</v>
      </c>
      <c r="C278" s="54">
        <v>2.3119210840322091E-2</v>
      </c>
      <c r="D278" s="54">
        <v>6.5428766688430118E-3</v>
      </c>
      <c r="E278" s="54">
        <v>-4.698947587619795E-3</v>
      </c>
      <c r="F278" s="54">
        <v>-2.0403973856603197E-2</v>
      </c>
    </row>
    <row r="279" spans="1:6" x14ac:dyDescent="0.25">
      <c r="A279" s="42">
        <v>42384</v>
      </c>
      <c r="B279" s="54">
        <v>-3.9335475216891735E-3</v>
      </c>
      <c r="C279" s="54">
        <v>-7.3431158980648004E-3</v>
      </c>
      <c r="D279" s="54">
        <v>-9.5064001611508964E-3</v>
      </c>
      <c r="E279" s="54">
        <v>-9.2949950791115787E-3</v>
      </c>
      <c r="F279" s="54">
        <v>-3.770143519957303E-3</v>
      </c>
    </row>
    <row r="280" spans="1:6" x14ac:dyDescent="0.25">
      <c r="A280" s="42">
        <v>42391</v>
      </c>
      <c r="B280" s="54">
        <v>-2.6094852561413528E-3</v>
      </c>
      <c r="C280" s="54">
        <v>-7.4117769296804248E-3</v>
      </c>
      <c r="D280" s="54">
        <v>-7.8542472577414202E-4</v>
      </c>
      <c r="E280" s="54">
        <v>-1.7320513553695571E-2</v>
      </c>
      <c r="F280" s="54">
        <v>-9.28274010942709E-3</v>
      </c>
    </row>
    <row r="281" spans="1:6" x14ac:dyDescent="0.25">
      <c r="A281" s="42">
        <v>42398</v>
      </c>
      <c r="B281" s="54">
        <v>1.372036503448637E-3</v>
      </c>
      <c r="C281" s="54">
        <v>6.8277168161325896E-3</v>
      </c>
      <c r="D281" s="54">
        <v>5.1629548900578026E-3</v>
      </c>
      <c r="E281" s="54">
        <v>-1.3630027794657718E-3</v>
      </c>
      <c r="F281" s="54">
        <v>-5.3354779327743351E-3</v>
      </c>
    </row>
    <row r="282" spans="1:6" x14ac:dyDescent="0.25">
      <c r="A282" s="42">
        <v>42405</v>
      </c>
      <c r="B282" s="54">
        <v>3.4367649881343887E-3</v>
      </c>
      <c r="C282" s="54">
        <v>1.3926830216761776E-2</v>
      </c>
      <c r="D282" s="54">
        <v>5.2975482610642111E-3</v>
      </c>
      <c r="E282" s="54">
        <v>2.0427908565505248E-2</v>
      </c>
      <c r="F282" s="54">
        <v>2.2930452181532668E-2</v>
      </c>
    </row>
    <row r="283" spans="1:6" x14ac:dyDescent="0.25">
      <c r="A283" s="42">
        <v>42412</v>
      </c>
      <c r="B283" s="54">
        <v>-3.9563339416920362E-3</v>
      </c>
      <c r="C283" s="54">
        <v>-5.5198557991323893E-3</v>
      </c>
      <c r="D283" s="54">
        <v>-3.7269662549429539E-3</v>
      </c>
      <c r="E283" s="54">
        <v>-2.9358274763114145E-2</v>
      </c>
      <c r="F283" s="54">
        <v>-2.4554162060900886E-2</v>
      </c>
    </row>
    <row r="284" spans="1:6" x14ac:dyDescent="0.25">
      <c r="A284" s="42">
        <v>42419</v>
      </c>
      <c r="B284" s="54">
        <v>6.718283765065447E-3</v>
      </c>
      <c r="C284" s="54">
        <v>-8.2975812877439381E-4</v>
      </c>
      <c r="D284" s="54">
        <v>1.5739981675822357E-2</v>
      </c>
      <c r="E284" s="54">
        <v>6.2993196501872628E-3</v>
      </c>
      <c r="F284" s="54">
        <v>1.681128761242956E-2</v>
      </c>
    </row>
    <row r="285" spans="1:6" x14ac:dyDescent="0.25">
      <c r="A285" s="42">
        <v>42426</v>
      </c>
      <c r="B285" s="54">
        <v>-6.7558377760414956E-3</v>
      </c>
      <c r="C285" s="54">
        <v>-6.7658392938338974E-3</v>
      </c>
      <c r="D285" s="54">
        <v>-9.2334479071627396E-3</v>
      </c>
      <c r="E285" s="54">
        <v>5.7234585870344912E-3</v>
      </c>
      <c r="F285" s="54">
        <v>8.4942215695504864E-3</v>
      </c>
    </row>
    <row r="286" spans="1:6" x14ac:dyDescent="0.25">
      <c r="A286" s="42">
        <v>42433</v>
      </c>
      <c r="B286" s="54">
        <v>-1.4982710707414304E-2</v>
      </c>
      <c r="C286" s="54">
        <v>-1.4439397849202562E-2</v>
      </c>
      <c r="D286" s="54">
        <v>-2.4225909559769443E-2</v>
      </c>
      <c r="E286" s="54">
        <v>3.2467588892242993E-2</v>
      </c>
      <c r="F286" s="54">
        <v>5.449119414180581E-2</v>
      </c>
    </row>
    <row r="287" spans="1:6" x14ac:dyDescent="0.25">
      <c r="A287" s="42">
        <v>42440</v>
      </c>
      <c r="B287" s="54">
        <v>-7.7062843857006458E-3</v>
      </c>
      <c r="C287" s="54">
        <v>5.5775525780765722E-3</v>
      </c>
      <c r="D287" s="54">
        <v>-6.4182138736516015E-3</v>
      </c>
      <c r="E287" s="54">
        <v>3.1510944614876468E-3</v>
      </c>
      <c r="F287" s="54">
        <v>-1.1331187713281565E-3</v>
      </c>
    </row>
    <row r="288" spans="1:6" x14ac:dyDescent="0.25">
      <c r="A288" s="42">
        <v>42447</v>
      </c>
      <c r="B288" s="54">
        <v>1.4575194343792064E-2</v>
      </c>
      <c r="C288" s="54">
        <v>9.219196309608102E-3</v>
      </c>
      <c r="D288" s="54">
        <v>1.4183342852647107E-2</v>
      </c>
      <c r="E288" s="54">
        <v>2.0323958650372176E-2</v>
      </c>
      <c r="F288" s="54">
        <v>1.950484817568876E-4</v>
      </c>
    </row>
    <row r="289" spans="1:6" x14ac:dyDescent="0.25">
      <c r="A289" s="42">
        <v>42454</v>
      </c>
      <c r="B289" s="54">
        <v>8.1172405745336684E-3</v>
      </c>
      <c r="C289" s="54">
        <v>1.3243829735236412E-2</v>
      </c>
      <c r="D289" s="54">
        <v>1.6040709390118812E-2</v>
      </c>
      <c r="E289" s="54">
        <v>-1.7452750688888186E-2</v>
      </c>
      <c r="F289" s="54">
        <v>-1.2743588362460589E-2</v>
      </c>
    </row>
    <row r="290" spans="1:6" x14ac:dyDescent="0.25">
      <c r="A290" s="42">
        <v>42461</v>
      </c>
      <c r="B290" s="54">
        <v>1.2350325423454822E-2</v>
      </c>
      <c r="C290" s="54">
        <v>6.7386276906477027E-3</v>
      </c>
      <c r="D290" s="54">
        <v>1.3526799770617548E-2</v>
      </c>
      <c r="E290" s="54">
        <v>-2.591069283638725E-3</v>
      </c>
      <c r="F290" s="54">
        <v>-1.5025399723763488E-2</v>
      </c>
    </row>
    <row r="291" spans="1:6" x14ac:dyDescent="0.25">
      <c r="A291" s="42">
        <v>42468</v>
      </c>
      <c r="B291" s="54">
        <v>2.7523481406588335E-4</v>
      </c>
      <c r="C291" s="54">
        <v>-1.4391762207621728E-4</v>
      </c>
      <c r="D291" s="54">
        <v>-5.9825487674070033E-4</v>
      </c>
      <c r="E291" s="54">
        <v>-1.74733334756495E-2</v>
      </c>
      <c r="F291" s="54">
        <v>-1.6080919502710622E-2</v>
      </c>
    </row>
    <row r="292" spans="1:6" x14ac:dyDescent="0.25">
      <c r="A292" s="42">
        <v>42475</v>
      </c>
      <c r="B292" s="54">
        <v>-2.4829181923502031E-2</v>
      </c>
      <c r="C292" s="54">
        <v>-2.8512047038369515E-2</v>
      </c>
      <c r="D292" s="54">
        <v>-4.0868361992794977E-2</v>
      </c>
      <c r="E292" s="54">
        <v>9.1904468493437808E-3</v>
      </c>
      <c r="F292" s="54">
        <v>2.4431133929495363E-2</v>
      </c>
    </row>
    <row r="293" spans="1:6" x14ac:dyDescent="0.25">
      <c r="A293" s="42">
        <v>42482</v>
      </c>
      <c r="B293" s="54">
        <v>-1.5442077984940905E-2</v>
      </c>
      <c r="C293" s="54">
        <v>-1.905207065298975E-2</v>
      </c>
      <c r="D293" s="54">
        <v>-2.4293753866866941E-2</v>
      </c>
      <c r="E293" s="54">
        <v>1.2073699009764516E-2</v>
      </c>
      <c r="F293" s="54">
        <v>1.4437055573773838E-2</v>
      </c>
    </row>
    <row r="294" spans="1:6" x14ac:dyDescent="0.25">
      <c r="A294" s="42">
        <v>42489</v>
      </c>
      <c r="B294" s="54">
        <v>2.6309507678117794E-2</v>
      </c>
      <c r="C294" s="54">
        <v>2.5136080271803585E-2</v>
      </c>
      <c r="D294" s="54">
        <v>3.1192707303050349E-2</v>
      </c>
      <c r="E294" s="54">
        <v>7.4125655513288535E-3</v>
      </c>
      <c r="F294" s="54">
        <v>1.0308303742684877E-2</v>
      </c>
    </row>
    <row r="295" spans="1:6" x14ac:dyDescent="0.25">
      <c r="A295" s="42">
        <v>42496</v>
      </c>
      <c r="B295" s="54">
        <v>1.2467498562805823E-2</v>
      </c>
      <c r="C295" s="54">
        <v>1.6527577133928384E-2</v>
      </c>
      <c r="D295" s="54">
        <v>1.389158147789149E-2</v>
      </c>
      <c r="E295" s="54">
        <v>-5.1496895725208214E-3</v>
      </c>
      <c r="F295" s="54">
        <v>-2.2587429260800485E-2</v>
      </c>
    </row>
    <row r="296" spans="1:6" x14ac:dyDescent="0.25">
      <c r="A296" s="42">
        <v>42503</v>
      </c>
      <c r="B296" s="54">
        <v>1.6025080413857307E-3</v>
      </c>
      <c r="C296" s="54">
        <v>-1.5944846861836726E-2</v>
      </c>
      <c r="D296" s="54">
        <v>4.8385610806678248E-3</v>
      </c>
      <c r="E296" s="54">
        <v>-1.4998665439179271E-2</v>
      </c>
      <c r="F296" s="54">
        <v>-1.6220477846704329E-2</v>
      </c>
    </row>
    <row r="297" spans="1:6" x14ac:dyDescent="0.25">
      <c r="A297" s="42">
        <v>42510</v>
      </c>
      <c r="B297" s="54">
        <v>7.5195503337701641E-3</v>
      </c>
      <c r="C297" s="54">
        <v>4.0797601890780744E-3</v>
      </c>
      <c r="D297" s="54">
        <v>8.2095267386581572E-3</v>
      </c>
      <c r="E297" s="54">
        <v>3.1841684604010378E-3</v>
      </c>
      <c r="F297" s="54">
        <v>1.7007203300631879E-3</v>
      </c>
    </row>
    <row r="298" spans="1:6" x14ac:dyDescent="0.25">
      <c r="A298" s="42">
        <v>42517</v>
      </c>
      <c r="B298" s="54">
        <v>-1.0158593155330742E-2</v>
      </c>
      <c r="C298" s="54">
        <v>-1.5375890370795675E-2</v>
      </c>
      <c r="D298" s="54">
        <v>-1.4187455417705719E-2</v>
      </c>
      <c r="E298" s="54">
        <v>-1.5593154375869611E-2</v>
      </c>
      <c r="F298" s="54">
        <v>3.8317371452800675E-3</v>
      </c>
    </row>
    <row r="299" spans="1:6" x14ac:dyDescent="0.25">
      <c r="A299" s="42">
        <v>42524</v>
      </c>
      <c r="B299" s="54">
        <v>2.3128209099242403E-3</v>
      </c>
      <c r="C299" s="54">
        <v>9.5879457914127553E-3</v>
      </c>
      <c r="D299" s="54">
        <v>2.2702260334652169E-2</v>
      </c>
      <c r="E299" s="54">
        <v>-9.3894326935461958E-3</v>
      </c>
      <c r="F299" s="54">
        <v>-9.9628644818799961E-3</v>
      </c>
    </row>
    <row r="300" spans="1:6" x14ac:dyDescent="0.25">
      <c r="A300" s="42">
        <v>42531</v>
      </c>
      <c r="B300" s="54">
        <v>-6.2174819425949712E-3</v>
      </c>
      <c r="C300" s="54">
        <v>3.980144485836945E-3</v>
      </c>
      <c r="D300" s="54">
        <v>6.8550289493699568E-3</v>
      </c>
      <c r="E300" s="54">
        <v>1.5040018546771394E-3</v>
      </c>
      <c r="F300" s="54">
        <v>-1.5823285148240385E-2</v>
      </c>
    </row>
    <row r="301" spans="1:6" x14ac:dyDescent="0.25">
      <c r="A301" s="42">
        <v>42538</v>
      </c>
      <c r="B301" s="54">
        <v>-6.1921180835250444E-3</v>
      </c>
      <c r="C301" s="54">
        <v>-2.1518976320241689E-3</v>
      </c>
      <c r="D301" s="54">
        <v>-5.4577217060965966E-3</v>
      </c>
      <c r="E301" s="54">
        <v>6.9699393580835434E-4</v>
      </c>
      <c r="F301" s="54">
        <v>6.4295854280349563E-4</v>
      </c>
    </row>
    <row r="302" spans="1:6" x14ac:dyDescent="0.25">
      <c r="A302" s="42">
        <v>42545</v>
      </c>
      <c r="B302" s="54">
        <v>-1.370569089151441E-2</v>
      </c>
      <c r="C302" s="54">
        <v>-7.8321062683949227E-3</v>
      </c>
      <c r="D302" s="54">
        <v>1.0628820324130039E-2</v>
      </c>
      <c r="E302" s="54">
        <v>-8.2213930932883983E-3</v>
      </c>
      <c r="F302" s="54">
        <v>-2.4546337105555538E-2</v>
      </c>
    </row>
    <row r="303" spans="1:6" x14ac:dyDescent="0.25">
      <c r="A303" s="42">
        <v>42552</v>
      </c>
      <c r="B303" s="54">
        <v>-5.7798687613295208E-3</v>
      </c>
      <c r="C303" s="54">
        <v>-8.6459409214858507E-3</v>
      </c>
      <c r="D303" s="54">
        <v>5.5968648075070959E-3</v>
      </c>
      <c r="E303" s="54">
        <v>-2.0399469111875623E-2</v>
      </c>
      <c r="F303" s="54">
        <v>-3.0935975000332627E-2</v>
      </c>
    </row>
    <row r="304" spans="1:6" x14ac:dyDescent="0.25">
      <c r="A304" s="42">
        <v>42559</v>
      </c>
      <c r="B304" s="54">
        <v>-4.0941182711881074E-3</v>
      </c>
      <c r="C304" s="54">
        <v>-6.353768828170514E-3</v>
      </c>
      <c r="D304" s="54">
        <v>-7.2874821947188639E-4</v>
      </c>
      <c r="E304" s="54">
        <v>-7.2893889006584445E-3</v>
      </c>
      <c r="F304" s="54">
        <v>-1.0582241399184511E-2</v>
      </c>
    </row>
    <row r="305" spans="1:6" x14ac:dyDescent="0.25">
      <c r="A305" s="42">
        <v>42566</v>
      </c>
      <c r="B305" s="54">
        <v>-3.6751284986209498E-3</v>
      </c>
      <c r="C305" s="54">
        <v>-8.2930281741937506E-3</v>
      </c>
      <c r="D305" s="54">
        <v>-1.5674753941559372E-2</v>
      </c>
      <c r="E305" s="54">
        <v>2.1127533481750893E-2</v>
      </c>
      <c r="F305" s="54">
        <v>2.838682059108999E-2</v>
      </c>
    </row>
    <row r="306" spans="1:6" x14ac:dyDescent="0.25">
      <c r="A306" s="42">
        <v>42573</v>
      </c>
      <c r="B306" s="54">
        <v>1.0006201946380688E-2</v>
      </c>
      <c r="C306" s="54">
        <v>-5.2395679215493374E-3</v>
      </c>
      <c r="D306" s="54">
        <v>2.7384920924244938E-3</v>
      </c>
      <c r="E306" s="54">
        <v>5.1158772770543148E-3</v>
      </c>
      <c r="F306" s="54">
        <v>-2.1569149824443024E-3</v>
      </c>
    </row>
    <row r="307" spans="1:6" x14ac:dyDescent="0.25">
      <c r="A307" s="42">
        <v>42580</v>
      </c>
      <c r="B307" s="54">
        <v>4.171231467939629E-3</v>
      </c>
      <c r="C307" s="54">
        <v>7.1665366322588575E-3</v>
      </c>
      <c r="D307" s="54">
        <v>9.8894329923084889E-3</v>
      </c>
      <c r="E307" s="54">
        <v>2.076838098095557E-3</v>
      </c>
      <c r="F307" s="54">
        <v>1.7656387449727307E-2</v>
      </c>
    </row>
    <row r="308" spans="1:6" x14ac:dyDescent="0.25">
      <c r="A308" s="42">
        <v>42587</v>
      </c>
      <c r="B308" s="54">
        <v>-9.8844119570506983E-5</v>
      </c>
      <c r="C308" s="54">
        <v>-2.5850414969417201E-3</v>
      </c>
      <c r="D308" s="54">
        <v>1.8007169993426997E-3</v>
      </c>
      <c r="E308" s="54">
        <v>-9.988918313380557E-3</v>
      </c>
      <c r="F308" s="54">
        <v>-7.793029573628707E-3</v>
      </c>
    </row>
    <row r="309" spans="1:6" x14ac:dyDescent="0.25">
      <c r="A309" s="42">
        <v>42594</v>
      </c>
      <c r="B309" s="54">
        <v>-1.5016394641307995E-2</v>
      </c>
      <c r="C309" s="54">
        <v>-3.4002527951071393E-3</v>
      </c>
      <c r="D309" s="54">
        <v>-1.7527389344944577E-3</v>
      </c>
      <c r="E309" s="54">
        <v>1.549758686326963E-2</v>
      </c>
      <c r="F309" s="54">
        <v>8.9550975002627986E-3</v>
      </c>
    </row>
    <row r="310" spans="1:6" x14ac:dyDescent="0.25">
      <c r="A310" s="42">
        <v>42601</v>
      </c>
      <c r="B310" s="54">
        <v>2.2687217797400239E-3</v>
      </c>
      <c r="C310" s="54">
        <v>1.5015575131155368E-3</v>
      </c>
      <c r="D310" s="54">
        <v>6.5622540513975425E-3</v>
      </c>
      <c r="E310" s="54">
        <v>-1.743963729440523E-3</v>
      </c>
      <c r="F310" s="54">
        <v>-2.2408484305361798E-3</v>
      </c>
    </row>
    <row r="311" spans="1:6" x14ac:dyDescent="0.25">
      <c r="A311" s="42">
        <v>42608</v>
      </c>
      <c r="B311" s="54">
        <v>6.1426898823366827E-3</v>
      </c>
      <c r="C311" s="54">
        <v>2.7430728987349884E-3</v>
      </c>
      <c r="D311" s="54">
        <v>-1.1505696300916135E-2</v>
      </c>
      <c r="E311" s="54">
        <v>9.036471962422743E-3</v>
      </c>
      <c r="F311" s="54">
        <v>1.3799392050258374E-2</v>
      </c>
    </row>
    <row r="312" spans="1:6" x14ac:dyDescent="0.25">
      <c r="A312" s="42">
        <v>42615</v>
      </c>
      <c r="B312" s="54">
        <v>9.594671318817749E-4</v>
      </c>
      <c r="C312" s="54">
        <v>-4.1615283714968587E-3</v>
      </c>
      <c r="D312" s="54">
        <v>-1.157138195717522E-2</v>
      </c>
      <c r="E312" s="54">
        <v>-4.0647732081677823E-3</v>
      </c>
      <c r="F312" s="54">
        <v>-1.7392902588175829E-5</v>
      </c>
    </row>
    <row r="313" spans="1:6" x14ac:dyDescent="0.25">
      <c r="A313" s="42">
        <v>42622</v>
      </c>
      <c r="B313" s="54">
        <v>-4.6445456122736761E-3</v>
      </c>
      <c r="C313" s="54">
        <v>-1.1987246798184081E-3</v>
      </c>
      <c r="D313" s="54">
        <v>-1.7506905682066365E-2</v>
      </c>
      <c r="E313" s="54">
        <v>7.3887818319464671E-3</v>
      </c>
      <c r="F313" s="54">
        <v>1.3275602948543574E-2</v>
      </c>
    </row>
    <row r="314" spans="1:6" x14ac:dyDescent="0.25">
      <c r="A314" s="42">
        <v>42629</v>
      </c>
      <c r="B314" s="54">
        <v>5.2912900269156404E-3</v>
      </c>
      <c r="C314" s="54">
        <v>9.0976246276290862E-3</v>
      </c>
      <c r="D314" s="54">
        <v>2.3490067878415233E-2</v>
      </c>
      <c r="E314" s="54">
        <v>-7.8953119953312223E-3</v>
      </c>
      <c r="F314" s="54">
        <v>-2.1769578409321477E-2</v>
      </c>
    </row>
    <row r="315" spans="1:6" x14ac:dyDescent="0.25">
      <c r="A315" s="42">
        <v>42636</v>
      </c>
      <c r="B315" s="54">
        <v>-1.2984239484941762E-2</v>
      </c>
      <c r="C315" s="54">
        <v>-1.1479961978187125E-2</v>
      </c>
      <c r="D315" s="54">
        <v>-3.3747361617493254E-3</v>
      </c>
      <c r="E315" s="54">
        <v>-3.3448356450120897E-3</v>
      </c>
      <c r="F315" s="54">
        <v>7.7417218571955715E-3</v>
      </c>
    </row>
    <row r="316" spans="1:6" x14ac:dyDescent="0.25">
      <c r="A316" s="42">
        <v>42643</v>
      </c>
      <c r="B316" s="54">
        <v>-4.6124946458662164E-3</v>
      </c>
      <c r="C316" s="54">
        <v>8.8435571659861711E-3</v>
      </c>
      <c r="D316" s="54">
        <v>4.607445016060252E-3</v>
      </c>
      <c r="E316" s="54">
        <v>1.3319105611791615E-2</v>
      </c>
      <c r="F316" s="54">
        <v>-5.1110376220548925E-3</v>
      </c>
    </row>
    <row r="317" spans="1:6" x14ac:dyDescent="0.25">
      <c r="A317" s="42">
        <v>42650</v>
      </c>
      <c r="B317" s="54">
        <v>-2.3142892415022764E-2</v>
      </c>
      <c r="C317" s="54">
        <v>-2.3879368918260258E-2</v>
      </c>
      <c r="D317" s="54">
        <v>-2.1236863267049322E-2</v>
      </c>
      <c r="E317" s="54">
        <v>-8.8213957343816762E-3</v>
      </c>
      <c r="F317" s="54">
        <v>-9.0373679278765717E-4</v>
      </c>
    </row>
    <row r="318" spans="1:6" x14ac:dyDescent="0.25">
      <c r="A318" s="42">
        <v>42657</v>
      </c>
      <c r="B318" s="54">
        <v>-7.1350751487628816E-3</v>
      </c>
      <c r="C318" s="54">
        <v>-5.5517895312395815E-4</v>
      </c>
      <c r="D318" s="54">
        <v>-4.3749570689044504E-3</v>
      </c>
      <c r="E318" s="54">
        <v>1.8258884206079351E-3</v>
      </c>
      <c r="F318" s="54">
        <v>-1.9107818901508145E-3</v>
      </c>
    </row>
    <row r="319" spans="1:6" x14ac:dyDescent="0.25">
      <c r="A319" s="42">
        <v>42664</v>
      </c>
      <c r="B319" s="54">
        <v>1.625600614787448E-4</v>
      </c>
      <c r="C319" s="54">
        <v>-7.3683116502589741E-3</v>
      </c>
      <c r="D319" s="54">
        <v>-8.6955069430159071E-3</v>
      </c>
      <c r="E319" s="54">
        <v>1.7293922056647038E-3</v>
      </c>
      <c r="F319" s="54">
        <v>1.6564514820593512E-2</v>
      </c>
    </row>
    <row r="320" spans="1:6" x14ac:dyDescent="0.25">
      <c r="A320" s="42">
        <v>42671</v>
      </c>
      <c r="B320" s="54">
        <v>-8.8373479720275094E-3</v>
      </c>
      <c r="C320" s="54">
        <v>5.2403085757177781E-3</v>
      </c>
      <c r="D320" s="54">
        <v>-1.2035723908672802E-2</v>
      </c>
      <c r="E320" s="54">
        <v>-6.6353311154553341E-3</v>
      </c>
      <c r="F320" s="54">
        <v>1.5705967380385544E-2</v>
      </c>
    </row>
    <row r="321" spans="1:6" x14ac:dyDescent="0.25">
      <c r="A321" s="42">
        <v>42678</v>
      </c>
      <c r="B321" s="54">
        <v>3.7453987544041611E-3</v>
      </c>
      <c r="C321" s="54">
        <v>1.4370499644370205E-2</v>
      </c>
      <c r="D321" s="54">
        <v>1.0335031973302766E-2</v>
      </c>
      <c r="E321" s="54">
        <v>5.057631292763265E-3</v>
      </c>
      <c r="F321" s="54">
        <v>2.2373057379175831E-3</v>
      </c>
    </row>
    <row r="322" spans="1:6" x14ac:dyDescent="0.25">
      <c r="A322" s="42">
        <v>42685</v>
      </c>
      <c r="B322" s="54">
        <v>-2.3565376122008264E-2</v>
      </c>
      <c r="C322" s="54">
        <v>-1.8737070938464884E-2</v>
      </c>
      <c r="D322" s="54">
        <v>-3.0192705495021621E-2</v>
      </c>
      <c r="E322" s="54">
        <v>-1.9959582607642856E-2</v>
      </c>
      <c r="F322" s="54">
        <v>2.2115043933888412E-2</v>
      </c>
    </row>
    <row r="323" spans="1:6" x14ac:dyDescent="0.25">
      <c r="A323" s="42">
        <v>42692</v>
      </c>
      <c r="B323" s="54">
        <v>1.4036019473042005E-2</v>
      </c>
      <c r="C323" s="54">
        <v>6.1280417500144679E-3</v>
      </c>
      <c r="D323" s="54">
        <v>8.0453591967510896E-3</v>
      </c>
      <c r="E323" s="54">
        <v>-2.3696462879152502E-3</v>
      </c>
      <c r="F323" s="54">
        <v>2.8166694886824217E-3</v>
      </c>
    </row>
    <row r="324" spans="1:6" x14ac:dyDescent="0.25">
      <c r="A324" s="42">
        <v>42699</v>
      </c>
      <c r="B324" s="54">
        <v>6.9857672410083005E-3</v>
      </c>
      <c r="C324" s="54">
        <v>-1.6403670301483597E-3</v>
      </c>
      <c r="D324" s="54">
        <v>1.3316153288101873E-2</v>
      </c>
      <c r="E324" s="54">
        <v>5.2874033591168157E-3</v>
      </c>
      <c r="F324" s="54">
        <v>4.8225994625883395E-4</v>
      </c>
    </row>
    <row r="325" spans="1:6" x14ac:dyDescent="0.25">
      <c r="A325" s="42">
        <v>42706</v>
      </c>
      <c r="B325" s="54">
        <v>-7.0475858150786941E-5</v>
      </c>
      <c r="C325" s="54">
        <v>1.0941273123787898E-3</v>
      </c>
      <c r="D325" s="54">
        <v>-7.0595532613337841E-4</v>
      </c>
      <c r="E325" s="54">
        <v>5.7495919502459358E-3</v>
      </c>
      <c r="F325" s="54">
        <v>6.1120444355239334E-3</v>
      </c>
    </row>
    <row r="326" spans="1:6" x14ac:dyDescent="0.25">
      <c r="A326" s="42">
        <v>42713</v>
      </c>
      <c r="B326" s="54">
        <v>-2.8511840632490459E-2</v>
      </c>
      <c r="C326" s="54">
        <v>-1.9269830281998912E-2</v>
      </c>
      <c r="D326" s="54">
        <v>-1.9900727987110844E-2</v>
      </c>
      <c r="E326" s="54">
        <v>-5.3330326854705845E-3</v>
      </c>
      <c r="F326" s="54">
        <v>1.2030023762892306E-2</v>
      </c>
    </row>
    <row r="327" spans="1:6" x14ac:dyDescent="0.25">
      <c r="A327" s="42">
        <v>42720</v>
      </c>
      <c r="B327" s="54">
        <v>-2.7051702537619349E-3</v>
      </c>
      <c r="C327" s="54">
        <v>-9.3360132240749572E-3</v>
      </c>
      <c r="D327" s="54">
        <v>-1.8037684340459825E-2</v>
      </c>
      <c r="E327" s="54">
        <v>7.5008942640379939E-3</v>
      </c>
      <c r="F327" s="54">
        <v>7.8236029503864213E-3</v>
      </c>
    </row>
    <row r="328" spans="1:6" x14ac:dyDescent="0.25">
      <c r="A328" s="42">
        <v>42727</v>
      </c>
      <c r="B328" s="54">
        <v>2.5727957914915001E-3</v>
      </c>
      <c r="C328" s="54">
        <v>1.3206847251828635E-2</v>
      </c>
      <c r="D328" s="54">
        <v>2.3041890688356714E-3</v>
      </c>
      <c r="E328" s="54">
        <v>1.0199470382434073E-2</v>
      </c>
      <c r="F328" s="54">
        <v>4.4944808065258135E-3</v>
      </c>
    </row>
    <row r="329" spans="1:6" x14ac:dyDescent="0.25">
      <c r="A329" s="42">
        <v>42734</v>
      </c>
      <c r="B329" s="54">
        <v>4.1246422032696906E-3</v>
      </c>
      <c r="C329" s="54">
        <v>-9.9699579393530691E-4</v>
      </c>
      <c r="D329" s="54">
        <v>3.4171317776974242E-3</v>
      </c>
      <c r="E329" s="54">
        <v>9.0795047482949975E-4</v>
      </c>
      <c r="F329" s="54">
        <v>-9.1665348081139131E-3</v>
      </c>
    </row>
    <row r="330" spans="1:6" x14ac:dyDescent="0.25">
      <c r="A330" s="42">
        <v>42741</v>
      </c>
      <c r="B330" s="54">
        <v>-9.3934338564505282E-3</v>
      </c>
      <c r="C330" s="54">
        <v>-7.2499882521492864E-3</v>
      </c>
      <c r="D330" s="54">
        <v>-4.4416133942071223E-3</v>
      </c>
      <c r="E330" s="54">
        <v>3.8078647866708337E-3</v>
      </c>
      <c r="F330" s="54">
        <v>9.693933827025214E-3</v>
      </c>
    </row>
    <row r="331" spans="1:6" x14ac:dyDescent="0.25">
      <c r="A331" s="42">
        <v>42748</v>
      </c>
      <c r="B331" s="54">
        <v>-4.1869876182401011E-3</v>
      </c>
      <c r="C331" s="54">
        <v>-8.739554078537215E-3</v>
      </c>
      <c r="D331" s="54">
        <v>1.3551574215229678E-2</v>
      </c>
      <c r="E331" s="54">
        <v>-8.1959834788469799E-3</v>
      </c>
      <c r="F331" s="54">
        <v>-1.6932220322052327E-3</v>
      </c>
    </row>
    <row r="332" spans="1:6" x14ac:dyDescent="0.25">
      <c r="A332" s="42">
        <v>42755</v>
      </c>
      <c r="B332" s="54">
        <v>-2.3651921744138882E-3</v>
      </c>
      <c r="C332" s="54">
        <v>6.832834087260653E-3</v>
      </c>
      <c r="D332" s="54">
        <v>7.0549322915522961E-3</v>
      </c>
      <c r="E332" s="54">
        <v>1.2267219594754852E-2</v>
      </c>
      <c r="F332" s="54">
        <v>7.0145915756706367E-3</v>
      </c>
    </row>
    <row r="333" spans="1:6" x14ac:dyDescent="0.25">
      <c r="A333" s="42">
        <v>42762</v>
      </c>
      <c r="B333" s="54">
        <v>7.9935063821494623E-3</v>
      </c>
      <c r="C333" s="54">
        <v>-9.7252577076529789E-3</v>
      </c>
      <c r="D333" s="54">
        <v>1.9150428207814763E-2</v>
      </c>
      <c r="E333" s="54">
        <v>-3.3718883309274972E-5</v>
      </c>
      <c r="F333" s="54">
        <v>-6.8917630517677519E-3</v>
      </c>
    </row>
    <row r="334" spans="1:6" x14ac:dyDescent="0.25">
      <c r="A334" s="42">
        <v>42769</v>
      </c>
      <c r="B334" s="54">
        <v>5.9984508060616504E-3</v>
      </c>
      <c r="C334" s="54">
        <v>5.0015096548556848E-3</v>
      </c>
      <c r="D334" s="54">
        <v>1.6030113593061834E-3</v>
      </c>
      <c r="E334" s="54">
        <v>-3.0614650604668947E-3</v>
      </c>
      <c r="F334" s="54">
        <v>-3.8025934856656951E-3</v>
      </c>
    </row>
    <row r="335" spans="1:6" x14ac:dyDescent="0.25">
      <c r="A335" s="42">
        <v>42776</v>
      </c>
      <c r="B335" s="54">
        <v>1.1625214260741368E-2</v>
      </c>
      <c r="C335" s="54">
        <v>1.3103517179049007E-2</v>
      </c>
      <c r="D335" s="54">
        <v>1.010565011465836E-2</v>
      </c>
      <c r="E335" s="54">
        <v>8.3692764966465383E-3</v>
      </c>
      <c r="F335" s="54">
        <v>7.5259945454542176E-5</v>
      </c>
    </row>
    <row r="336" spans="1:6" x14ac:dyDescent="0.25">
      <c r="A336" s="42">
        <v>42783</v>
      </c>
      <c r="B336" s="54">
        <v>-1.36077356035057E-2</v>
      </c>
      <c r="C336" s="54">
        <v>-9.6563558041349307E-3</v>
      </c>
      <c r="D336" s="54">
        <v>-3.5358112853649537E-3</v>
      </c>
      <c r="E336" s="54">
        <v>-1.5836297524392751E-2</v>
      </c>
      <c r="F336" s="54">
        <v>3.9773503344180394E-3</v>
      </c>
    </row>
    <row r="337" spans="1:6" x14ac:dyDescent="0.25">
      <c r="A337" s="42">
        <v>42790</v>
      </c>
      <c r="B337" s="54">
        <v>1.6886756846679063E-4</v>
      </c>
      <c r="C337" s="54">
        <v>4.3001134868843049E-3</v>
      </c>
      <c r="D337" s="54">
        <v>-1.0637062755049942E-2</v>
      </c>
      <c r="E337" s="54">
        <v>1.8976830878012496E-3</v>
      </c>
      <c r="F337" s="54">
        <v>-9.5831557244255849E-3</v>
      </c>
    </row>
    <row r="338" spans="1:6" x14ac:dyDescent="0.25">
      <c r="A338" s="42">
        <v>42797</v>
      </c>
      <c r="B338" s="54">
        <v>-1.4036998872039019E-2</v>
      </c>
      <c r="C338" s="54">
        <v>-1.8776910863128715E-2</v>
      </c>
      <c r="D338" s="54">
        <v>-4.2888464397752291E-3</v>
      </c>
      <c r="E338" s="54">
        <v>-4.5485301768999342E-3</v>
      </c>
      <c r="F338" s="54">
        <v>1.5630050507497995E-2</v>
      </c>
    </row>
    <row r="339" spans="1:6" x14ac:dyDescent="0.25">
      <c r="A339" s="42">
        <v>42804</v>
      </c>
      <c r="B339" s="54">
        <v>-7.2204370171391474E-4</v>
      </c>
      <c r="C339" s="54">
        <v>6.5405559165991889E-3</v>
      </c>
      <c r="D339" s="54">
        <v>-6.2918062292640631E-3</v>
      </c>
      <c r="E339" s="54">
        <v>5.4813196709950773E-3</v>
      </c>
      <c r="F339" s="54">
        <v>-6.1438575556366226E-3</v>
      </c>
    </row>
    <row r="340" spans="1:6" x14ac:dyDescent="0.25">
      <c r="A340" s="42">
        <v>42811</v>
      </c>
      <c r="B340" s="54">
        <v>3.0020318954464553E-3</v>
      </c>
      <c r="C340" s="54">
        <v>3.2381332970090604E-3</v>
      </c>
      <c r="D340" s="54">
        <v>8.8627450069291847E-3</v>
      </c>
      <c r="E340" s="54">
        <v>-4.0587558127214152E-4</v>
      </c>
      <c r="F340" s="54">
        <v>5.0509508647134105E-4</v>
      </c>
    </row>
    <row r="341" spans="1:6" x14ac:dyDescent="0.25">
      <c r="A341" s="42">
        <v>42818</v>
      </c>
      <c r="B341" s="54">
        <v>6.4252909770751154E-3</v>
      </c>
      <c r="C341" s="54">
        <v>7.3783098201277708E-3</v>
      </c>
      <c r="D341" s="54">
        <v>-7.3583099511427275E-3</v>
      </c>
      <c r="E341" s="54">
        <v>8.3588532954280703E-3</v>
      </c>
      <c r="F341" s="54">
        <v>-1.3918061303052509E-2</v>
      </c>
    </row>
    <row r="342" spans="1:6" x14ac:dyDescent="0.25">
      <c r="A342" s="42">
        <v>42825</v>
      </c>
      <c r="B342" s="54">
        <v>1.7335549120249816E-3</v>
      </c>
      <c r="C342" s="54">
        <v>-4.8044910041706856E-3</v>
      </c>
      <c r="D342" s="54">
        <v>3.7246771621668451E-3</v>
      </c>
      <c r="E342" s="54">
        <v>6.0305601542098852E-3</v>
      </c>
      <c r="F342" s="54">
        <v>3.4894247126886491E-3</v>
      </c>
    </row>
    <row r="343" spans="1:6" x14ac:dyDescent="0.25">
      <c r="A343" s="42">
        <v>42832</v>
      </c>
      <c r="B343" s="54">
        <v>-1.2734865075413326E-3</v>
      </c>
      <c r="C343" s="54">
        <v>3.2554510552373905E-3</v>
      </c>
      <c r="D343" s="54">
        <v>3.7218634465550071E-3</v>
      </c>
      <c r="E343" s="54">
        <v>-1.593793211668304E-3</v>
      </c>
      <c r="F343" s="54">
        <v>-7.457412134894037E-3</v>
      </c>
    </row>
    <row r="344" spans="1:6" x14ac:dyDescent="0.25">
      <c r="A344" s="42">
        <v>42839</v>
      </c>
      <c r="B344" s="54">
        <v>1.3466901483117244E-2</v>
      </c>
      <c r="C344" s="54">
        <v>1.7066703229038138E-2</v>
      </c>
      <c r="D344" s="54">
        <v>-5.5413165623044991E-3</v>
      </c>
      <c r="E344" s="54">
        <v>4.103252918166822E-3</v>
      </c>
      <c r="F344" s="54">
        <v>-5.20588311607173E-3</v>
      </c>
    </row>
    <row r="345" spans="1:6" x14ac:dyDescent="0.25">
      <c r="A345" s="42">
        <v>42846</v>
      </c>
      <c r="B345" s="54">
        <v>4.0189006814267403E-3</v>
      </c>
      <c r="C345" s="54">
        <v>8.1993151856174507E-3</v>
      </c>
      <c r="D345" s="54">
        <v>8.1818039486836192E-4</v>
      </c>
      <c r="E345" s="54">
        <v>2.1499060942669068E-3</v>
      </c>
      <c r="F345" s="54">
        <v>1.1504800201956211E-2</v>
      </c>
    </row>
    <row r="346" spans="1:6" x14ac:dyDescent="0.25">
      <c r="A346" s="42">
        <v>42853</v>
      </c>
      <c r="B346" s="54">
        <v>-2.4048383867720791E-3</v>
      </c>
      <c r="C346" s="54">
        <v>-6.6651930544336935E-3</v>
      </c>
      <c r="D346" s="54">
        <v>1.1779277628051643E-2</v>
      </c>
      <c r="E346" s="54">
        <v>-8.0231030086379551E-3</v>
      </c>
      <c r="F346" s="54">
        <v>4.1898055410998225E-3</v>
      </c>
    </row>
    <row r="347" spans="1:6" x14ac:dyDescent="0.25">
      <c r="A347" s="42">
        <v>42860</v>
      </c>
      <c r="B347" s="54">
        <v>-5.739230223801961E-3</v>
      </c>
      <c r="C347" s="54">
        <v>-3.4132207743267085E-3</v>
      </c>
      <c r="D347" s="54">
        <v>-8.064963827711269E-3</v>
      </c>
      <c r="E347" s="54">
        <v>6.0120842088917659E-3</v>
      </c>
      <c r="F347" s="54">
        <v>9.0068451313409792E-3</v>
      </c>
    </row>
    <row r="348" spans="1:6" x14ac:dyDescent="0.25">
      <c r="A348" s="42">
        <v>42867</v>
      </c>
      <c r="B348" s="54">
        <v>-8.2193385966888854E-4</v>
      </c>
      <c r="C348" s="54">
        <v>-5.3767492305754061E-3</v>
      </c>
      <c r="D348" s="54">
        <v>-1.4376274941203637E-2</v>
      </c>
      <c r="E348" s="54">
        <v>-9.4418152938957611E-4</v>
      </c>
      <c r="F348" s="54">
        <v>-9.2172123183148491E-3</v>
      </c>
    </row>
    <row r="349" spans="1:6" x14ac:dyDescent="0.25">
      <c r="A349" s="42">
        <v>42874</v>
      </c>
      <c r="B349" s="54">
        <v>3.6205924413086343E-3</v>
      </c>
      <c r="C349" s="54">
        <v>2.1748627524325048E-3</v>
      </c>
      <c r="D349" s="54">
        <v>-3.3718145170121838E-3</v>
      </c>
      <c r="E349" s="54">
        <v>-4.2209348561051963E-3</v>
      </c>
      <c r="F349" s="54">
        <v>6.4053143111166833E-3</v>
      </c>
    </row>
    <row r="350" spans="1:6" x14ac:dyDescent="0.25">
      <c r="A350" s="42">
        <v>42881</v>
      </c>
      <c r="B350" s="54">
        <v>1.732400057410044E-3</v>
      </c>
      <c r="C350" s="54">
        <v>2.806973137590707E-3</v>
      </c>
      <c r="D350" s="54">
        <v>5.9398618499703071E-3</v>
      </c>
      <c r="E350" s="54">
        <v>-5.1559024326466307E-3</v>
      </c>
      <c r="F350" s="54">
        <v>-4.4706899776356668E-3</v>
      </c>
    </row>
    <row r="351" spans="1:6" x14ac:dyDescent="0.25">
      <c r="A351" s="42">
        <v>42888</v>
      </c>
      <c r="B351" s="54">
        <v>9.7066726692545124E-3</v>
      </c>
      <c r="C351" s="54">
        <v>3.903182566228347E-3</v>
      </c>
      <c r="D351" s="54">
        <v>3.4871898815547198E-3</v>
      </c>
      <c r="E351" s="54">
        <v>-1.3697137605756415E-2</v>
      </c>
      <c r="F351" s="54">
        <v>-4.3274337231840043E-3</v>
      </c>
    </row>
    <row r="352" spans="1:6" x14ac:dyDescent="0.25">
      <c r="A352" s="42">
        <v>42895</v>
      </c>
      <c r="B352" s="54">
        <v>-5.2548519110732217E-3</v>
      </c>
      <c r="C352" s="54">
        <v>-9.5791129725826263E-3</v>
      </c>
      <c r="D352" s="54">
        <v>1.6651187892749775E-2</v>
      </c>
      <c r="E352" s="54">
        <v>-1.2733748061100725E-2</v>
      </c>
      <c r="F352" s="54">
        <v>-5.5623320382217623E-3</v>
      </c>
    </row>
    <row r="353" spans="1:6" x14ac:dyDescent="0.25">
      <c r="A353" s="42">
        <v>42902</v>
      </c>
      <c r="B353" s="54">
        <v>7.9643994930017614E-3</v>
      </c>
      <c r="C353" s="54">
        <v>1.1747765851528036E-2</v>
      </c>
      <c r="D353" s="54">
        <v>-1.5996330436819806E-2</v>
      </c>
      <c r="E353" s="54">
        <v>2.8005950859369966E-3</v>
      </c>
      <c r="F353" s="54">
        <v>-6.7635717645202487E-3</v>
      </c>
    </row>
    <row r="354" spans="1:6" x14ac:dyDescent="0.25">
      <c r="A354" s="42">
        <v>42909</v>
      </c>
      <c r="B354" s="54">
        <v>-5.0736637440165211E-3</v>
      </c>
      <c r="C354" s="54">
        <v>-1.0019873644394384E-2</v>
      </c>
      <c r="D354" s="54">
        <v>-1.7587418547004852E-3</v>
      </c>
      <c r="E354" s="54">
        <v>-3.1196753431181889E-3</v>
      </c>
      <c r="F354" s="54">
        <v>1.0367226404698338E-3</v>
      </c>
    </row>
    <row r="355" spans="1:6" x14ac:dyDescent="0.25">
      <c r="A355" s="42">
        <v>42916</v>
      </c>
      <c r="B355" s="54">
        <v>-4.2826461022738016E-4</v>
      </c>
      <c r="C355" s="54">
        <v>-2.0881816779307893E-3</v>
      </c>
      <c r="D355" s="54">
        <v>3.5734498368829026E-3</v>
      </c>
      <c r="E355" s="54">
        <v>-2.28308620362494E-5</v>
      </c>
      <c r="F355" s="54">
        <v>9.3776818968070996E-3</v>
      </c>
    </row>
    <row r="356" spans="1:6" x14ac:dyDescent="0.25">
      <c r="A356" s="42">
        <v>42923</v>
      </c>
      <c r="B356" s="54">
        <v>-5.7710134218144082E-3</v>
      </c>
      <c r="C356" s="54">
        <v>-4.4726752399084635E-3</v>
      </c>
      <c r="D356" s="54">
        <v>1.0382977269397298E-2</v>
      </c>
      <c r="E356" s="54">
        <v>-3.3340347606622966E-3</v>
      </c>
      <c r="F356" s="54">
        <v>8.6520161537748663E-3</v>
      </c>
    </row>
    <row r="357" spans="1:6" x14ac:dyDescent="0.25">
      <c r="A357" s="42">
        <v>42930</v>
      </c>
      <c r="B357" s="54">
        <v>4.0160219260301222E-3</v>
      </c>
      <c r="C357" s="54">
        <v>-5.8072487253761906E-3</v>
      </c>
      <c r="D357" s="54">
        <v>8.3224670181065719E-3</v>
      </c>
      <c r="E357" s="54">
        <v>5.9090470310532162E-3</v>
      </c>
      <c r="F357" s="54">
        <v>6.0525019637482913E-3</v>
      </c>
    </row>
    <row r="358" spans="1:6" x14ac:dyDescent="0.25">
      <c r="A358" s="42">
        <v>42937</v>
      </c>
      <c r="B358" s="54">
        <v>1.4525798644417942E-2</v>
      </c>
      <c r="C358" s="54">
        <v>1.603028907101256E-2</v>
      </c>
      <c r="D358" s="54">
        <v>-5.5718808045536194E-3</v>
      </c>
      <c r="E358" s="54">
        <v>8.7069909155502723E-3</v>
      </c>
      <c r="F358" s="54">
        <v>-6.8529689163262519E-3</v>
      </c>
    </row>
    <row r="359" spans="1:6" x14ac:dyDescent="0.25">
      <c r="A359" s="42">
        <v>42944</v>
      </c>
      <c r="B359" s="54">
        <v>-6.3323610582305401E-3</v>
      </c>
      <c r="C359" s="54">
        <v>3.6838608709337528E-3</v>
      </c>
      <c r="D359" s="54">
        <v>1.8705582305777235E-2</v>
      </c>
      <c r="E359" s="54">
        <v>5.9162399169920832E-5</v>
      </c>
      <c r="F359" s="54">
        <v>3.9248969344779505E-3</v>
      </c>
    </row>
    <row r="360" spans="1:6" x14ac:dyDescent="0.25">
      <c r="A360" s="42">
        <v>42951</v>
      </c>
      <c r="B360" s="54">
        <v>3.2052731564393699E-3</v>
      </c>
      <c r="C360" s="54">
        <v>-8.74740039017885E-4</v>
      </c>
      <c r="D360" s="54">
        <v>-1.0344155292905111E-3</v>
      </c>
      <c r="E360" s="54">
        <v>4.6147622935777122E-4</v>
      </c>
      <c r="F360" s="54">
        <v>1.3460147327106764E-3</v>
      </c>
    </row>
    <row r="361" spans="1:6" x14ac:dyDescent="0.25">
      <c r="A361" s="42">
        <v>42958</v>
      </c>
      <c r="B361" s="54">
        <v>1.9096310156252461E-3</v>
      </c>
      <c r="C361" s="54">
        <v>2.8983939183971907E-3</v>
      </c>
      <c r="D361" s="54">
        <v>2.7516727236709393E-4</v>
      </c>
      <c r="E361" s="54">
        <v>-2.3066001319732576E-3</v>
      </c>
      <c r="F361" s="54">
        <v>-2.3832901535173479E-3</v>
      </c>
    </row>
    <row r="362" spans="1:6" x14ac:dyDescent="0.25">
      <c r="A362" s="42">
        <v>42965</v>
      </c>
      <c r="B362" s="54">
        <v>-4.3632672157161156E-3</v>
      </c>
      <c r="C362" s="54">
        <v>-5.173348223816987E-3</v>
      </c>
      <c r="D362" s="54">
        <v>8.957767061041233E-3</v>
      </c>
      <c r="E362" s="54">
        <v>-1.7013376289068627E-2</v>
      </c>
      <c r="F362" s="54">
        <v>2.1446521563386334E-3</v>
      </c>
    </row>
    <row r="363" spans="1:6" x14ac:dyDescent="0.25">
      <c r="A363" s="42">
        <v>42972</v>
      </c>
      <c r="B363" s="54">
        <v>-8.4867480021478814E-3</v>
      </c>
      <c r="C363" s="54">
        <v>-3.8946568566708972E-3</v>
      </c>
      <c r="D363" s="54">
        <v>9.4054528477983679E-3</v>
      </c>
      <c r="E363" s="54">
        <v>-1.7693768308934321E-2</v>
      </c>
      <c r="F363" s="54">
        <v>-2.3015272812909604E-3</v>
      </c>
    </row>
    <row r="364" spans="1:6" x14ac:dyDescent="0.25">
      <c r="A364" s="42">
        <v>42979</v>
      </c>
      <c r="B364" s="54">
        <v>6.8372997429313465E-3</v>
      </c>
      <c r="C364" s="54">
        <v>7.6777716780755956E-3</v>
      </c>
      <c r="D364" s="54">
        <v>1.1750041060813787E-2</v>
      </c>
      <c r="E364" s="54">
        <v>1.6427960319942425E-3</v>
      </c>
      <c r="F364" s="54">
        <v>-1.9481642604306515E-3</v>
      </c>
    </row>
    <row r="365" spans="1:6" x14ac:dyDescent="0.25">
      <c r="A365" s="42">
        <v>42986</v>
      </c>
      <c r="B365" s="54">
        <v>-2.6608029551105083E-3</v>
      </c>
      <c r="C365" s="54">
        <v>-3.1765974232305094E-3</v>
      </c>
      <c r="D365" s="54">
        <v>-5.8615134999112639E-3</v>
      </c>
      <c r="E365" s="54">
        <v>1.1858775543582833E-4</v>
      </c>
      <c r="F365" s="54">
        <v>5.5445316355593466E-3</v>
      </c>
    </row>
    <row r="366" spans="1:6" x14ac:dyDescent="0.25">
      <c r="A366" s="42">
        <v>42993</v>
      </c>
      <c r="B366" s="54">
        <v>-6.3015072310161901E-3</v>
      </c>
      <c r="C366" s="54">
        <v>-5.5287936174512886E-3</v>
      </c>
      <c r="D366" s="54">
        <v>-1.7163740934178273E-2</v>
      </c>
      <c r="E366" s="54">
        <v>-1.8190935034871902E-3</v>
      </c>
      <c r="F366" s="54">
        <v>1.01878322932063E-2</v>
      </c>
    </row>
    <row r="367" spans="1:6" x14ac:dyDescent="0.25">
      <c r="A367" s="42">
        <v>43000</v>
      </c>
      <c r="B367" s="54">
        <v>-5.2682314038030587E-3</v>
      </c>
      <c r="C367" s="54">
        <v>-3.8867330541538792E-3</v>
      </c>
      <c r="D367" s="54">
        <v>3.6409880118386528E-3</v>
      </c>
      <c r="E367" s="54">
        <v>1.3838918953361645E-3</v>
      </c>
      <c r="F367" s="54">
        <v>5.4024954850517837E-4</v>
      </c>
    </row>
    <row r="368" spans="1:6" x14ac:dyDescent="0.25">
      <c r="A368" s="42">
        <v>43007</v>
      </c>
      <c r="B368" s="54">
        <v>-3.3280691425592313E-3</v>
      </c>
      <c r="C368" s="54">
        <v>-1.9142283478161826E-3</v>
      </c>
      <c r="D368" s="54">
        <v>-6.52901434954134E-3</v>
      </c>
      <c r="E368" s="54">
        <v>6.5020022304682623E-3</v>
      </c>
      <c r="F368" s="54">
        <v>6.1844507442510022E-5</v>
      </c>
    </row>
    <row r="369" spans="1:6" x14ac:dyDescent="0.25">
      <c r="A369" s="42">
        <v>43014</v>
      </c>
      <c r="B369" s="54">
        <v>-2.9674636018945932E-3</v>
      </c>
      <c r="C369" s="54">
        <v>-4.2994552379140849E-3</v>
      </c>
      <c r="D369" s="54">
        <v>2.72662466098339E-3</v>
      </c>
      <c r="E369" s="54">
        <v>-1.0068597033798699E-2</v>
      </c>
      <c r="F369" s="54">
        <v>-1.067512852294783E-3</v>
      </c>
    </row>
    <row r="370" spans="1:6" x14ac:dyDescent="0.25">
      <c r="A370" s="42">
        <v>43021</v>
      </c>
      <c r="B370" s="54">
        <v>7.1176347476327173E-3</v>
      </c>
      <c r="C370" s="54">
        <v>5.0386463399938464E-3</v>
      </c>
      <c r="D370" s="54">
        <v>7.9648918652124312E-3</v>
      </c>
      <c r="E370" s="54">
        <v>4.9535575150845279E-3</v>
      </c>
      <c r="F370" s="54">
        <v>2.1757478482375969E-3</v>
      </c>
    </row>
    <row r="371" spans="1:6" x14ac:dyDescent="0.25">
      <c r="A371" s="42">
        <v>43028</v>
      </c>
      <c r="B371" s="54">
        <v>-9.7414437891043537E-3</v>
      </c>
      <c r="C371" s="54">
        <v>-6.5505761342908864E-3</v>
      </c>
      <c r="D371" s="54">
        <v>1.6748345840368328E-3</v>
      </c>
      <c r="E371" s="54">
        <v>-2.7923759923564884E-3</v>
      </c>
      <c r="F371" s="54">
        <v>2.5076011774826101E-3</v>
      </c>
    </row>
    <row r="372" spans="1:6" x14ac:dyDescent="0.25">
      <c r="A372" s="42">
        <v>43035</v>
      </c>
      <c r="B372" s="54">
        <v>5.0755615042441526E-4</v>
      </c>
      <c r="C372" s="54">
        <v>3.5625620565700178E-3</v>
      </c>
      <c r="D372" s="54">
        <v>1.1013014817436551E-2</v>
      </c>
      <c r="E372" s="54">
        <v>-6.6527297264171725E-3</v>
      </c>
      <c r="F372" s="54">
        <v>-2.6360982803188548E-3</v>
      </c>
    </row>
    <row r="373" spans="1:6" x14ac:dyDescent="0.25">
      <c r="A373" s="42">
        <v>43042</v>
      </c>
      <c r="B373" s="54">
        <v>-9.1320884646224343E-3</v>
      </c>
      <c r="C373" s="54">
        <v>1.8196577659046476E-3</v>
      </c>
      <c r="D373" s="54">
        <v>-1.0162536389064503E-3</v>
      </c>
      <c r="E373" s="54">
        <v>3.4348526039673644E-3</v>
      </c>
      <c r="F373" s="54">
        <v>1.4060042631380831E-4</v>
      </c>
    </row>
    <row r="374" spans="1:6" x14ac:dyDescent="0.25">
      <c r="A374" s="42">
        <v>43049</v>
      </c>
      <c r="B374" s="54">
        <v>5.8594141287792167E-3</v>
      </c>
      <c r="C374" s="54">
        <v>6.0196422431690877E-4</v>
      </c>
      <c r="D374" s="54">
        <v>-6.9066522525941254E-3</v>
      </c>
      <c r="E374" s="54">
        <v>3.9585828634514098E-4</v>
      </c>
      <c r="F374" s="54">
        <v>3.0576419693584267E-4</v>
      </c>
    </row>
    <row r="375" spans="1:6" x14ac:dyDescent="0.25">
      <c r="A375" s="42">
        <v>43056</v>
      </c>
      <c r="B375" s="54">
        <v>3.7759022166578005E-3</v>
      </c>
      <c r="C375" s="54">
        <v>-4.3826871769844233E-3</v>
      </c>
      <c r="D375" s="54">
        <v>9.4911955525767144E-4</v>
      </c>
      <c r="E375" s="54">
        <v>-9.8724342554770139E-3</v>
      </c>
      <c r="F375" s="54">
        <v>-2.8147820705146653E-3</v>
      </c>
    </row>
    <row r="376" spans="1:6" x14ac:dyDescent="0.25">
      <c r="A376" s="42">
        <v>43063</v>
      </c>
      <c r="B376" s="54">
        <v>-4.7898200606841801E-3</v>
      </c>
      <c r="C376" s="54">
        <v>-8.36755275975265E-3</v>
      </c>
      <c r="D376" s="54">
        <v>-5.3432422921910749E-3</v>
      </c>
      <c r="E376" s="54">
        <v>-5.7934813736235657E-3</v>
      </c>
      <c r="F376" s="54">
        <v>-3.6442439111652458E-3</v>
      </c>
    </row>
    <row r="377" spans="1:6" x14ac:dyDescent="0.25">
      <c r="A377" s="42">
        <v>43070</v>
      </c>
      <c r="B377" s="54">
        <v>9.8801226353387728E-3</v>
      </c>
      <c r="C377" s="54">
        <v>9.822171335299168E-3</v>
      </c>
      <c r="D377" s="54">
        <v>-3.1574141450465554E-3</v>
      </c>
      <c r="E377" s="54">
        <v>1.9636854297156892E-2</v>
      </c>
      <c r="F377" s="54">
        <v>1.6139707729072694E-2</v>
      </c>
    </row>
    <row r="378" spans="1:6" x14ac:dyDescent="0.25">
      <c r="A378" s="42">
        <v>43077</v>
      </c>
      <c r="B378" s="54">
        <v>-5.4497753929274584E-3</v>
      </c>
      <c r="C378" s="54">
        <v>-4.8329452773676618E-3</v>
      </c>
      <c r="D378" s="54">
        <v>2.6204627755570531E-3</v>
      </c>
      <c r="E378" s="54">
        <v>-3.6618110739048415E-3</v>
      </c>
      <c r="F378" s="54">
        <v>7.4284752368634077E-3</v>
      </c>
    </row>
    <row r="379" spans="1:6" x14ac:dyDescent="0.25">
      <c r="A379" s="42">
        <v>43084</v>
      </c>
      <c r="B379" s="54">
        <v>-3.6446853093361486E-3</v>
      </c>
      <c r="C379" s="54">
        <v>-1.9230375435022373E-2</v>
      </c>
      <c r="D379" s="54">
        <v>-1.1883085339235544E-2</v>
      </c>
      <c r="E379" s="54">
        <v>4.2464951217078273E-3</v>
      </c>
      <c r="F379" s="54">
        <v>1.1373129645094737E-2</v>
      </c>
    </row>
    <row r="380" spans="1:6" x14ac:dyDescent="0.25">
      <c r="A380" s="42">
        <v>43091</v>
      </c>
      <c r="B380" s="54">
        <v>3.793572320205385E-3</v>
      </c>
      <c r="C380" s="54">
        <v>1.0802832828064934E-2</v>
      </c>
      <c r="D380" s="54">
        <v>1.2013188062512725E-2</v>
      </c>
      <c r="E380" s="54">
        <v>2.0313566606273481E-2</v>
      </c>
      <c r="F380" s="54">
        <v>1.0233361159542653E-2</v>
      </c>
    </row>
    <row r="381" spans="1:6" x14ac:dyDescent="0.25">
      <c r="A381" s="42">
        <v>43098</v>
      </c>
      <c r="B381" s="54">
        <v>8.3556157013993104E-3</v>
      </c>
      <c r="C381" s="54">
        <v>4.5938849265811932E-3</v>
      </c>
      <c r="D381" s="54">
        <v>-1.4209665950630779E-3</v>
      </c>
      <c r="E381" s="54">
        <v>6.9025803227393823E-3</v>
      </c>
      <c r="F381" s="54">
        <v>6.9595907284414338E-4</v>
      </c>
    </row>
    <row r="382" spans="1:6" x14ac:dyDescent="0.25">
      <c r="A382" s="42">
        <v>43105</v>
      </c>
      <c r="B382" s="54">
        <v>-6.4166762815229816E-3</v>
      </c>
      <c r="C382" s="54">
        <v>-9.7954442872834058E-3</v>
      </c>
      <c r="D382" s="54">
        <v>7.286067797404483E-3</v>
      </c>
      <c r="E382" s="54">
        <v>1.5517840611680711E-3</v>
      </c>
      <c r="F382" s="54">
        <v>1.1849354131962864E-2</v>
      </c>
    </row>
    <row r="383" spans="1:6" x14ac:dyDescent="0.25">
      <c r="A383" s="42">
        <v>43112</v>
      </c>
      <c r="B383" s="54">
        <v>-5.75223476624942E-3</v>
      </c>
      <c r="C383" s="54">
        <v>5.3203277353852663E-4</v>
      </c>
      <c r="D383" s="54">
        <v>-1.0868226257534364E-3</v>
      </c>
      <c r="E383" s="54">
        <v>-4.2838059850451859E-3</v>
      </c>
      <c r="F383" s="54">
        <v>7.2764069224731109E-3</v>
      </c>
    </row>
    <row r="384" spans="1:6" x14ac:dyDescent="0.25">
      <c r="A384" s="42">
        <v>43119</v>
      </c>
      <c r="B384" s="54">
        <v>7.6158636299001881E-3</v>
      </c>
      <c r="C384" s="54">
        <v>1.7179709261256892E-3</v>
      </c>
      <c r="D384" s="54">
        <v>8.3340305963688355E-3</v>
      </c>
      <c r="E384" s="54">
        <v>-7.5441460201266519E-3</v>
      </c>
      <c r="F384" s="54">
        <v>-1.3374251322503916E-2</v>
      </c>
    </row>
    <row r="385" spans="1:6" x14ac:dyDescent="0.25">
      <c r="A385" s="42">
        <v>43126</v>
      </c>
      <c r="B385" s="54">
        <v>-5.6884451344284548E-3</v>
      </c>
      <c r="C385" s="54">
        <v>3.5663208575693606E-3</v>
      </c>
      <c r="D385" s="54">
        <v>-1.1660214837541649E-2</v>
      </c>
      <c r="E385" s="54">
        <v>2.0220135580917287E-3</v>
      </c>
      <c r="F385" s="54">
        <v>1.7800663531621908E-3</v>
      </c>
    </row>
    <row r="386" spans="1:6" x14ac:dyDescent="0.25">
      <c r="A386" s="42">
        <v>43133</v>
      </c>
      <c r="B386" s="54">
        <v>8.4695323177670367E-3</v>
      </c>
      <c r="C386" s="54">
        <v>-1.2284424649573578E-2</v>
      </c>
      <c r="D386" s="54">
        <v>5.6731876473449239E-3</v>
      </c>
      <c r="E386" s="54">
        <v>-1.4576256309761115E-2</v>
      </c>
      <c r="F386" s="54">
        <v>-1.0610742022568731E-2</v>
      </c>
    </row>
    <row r="387" spans="1:6" x14ac:dyDescent="0.25">
      <c r="A387" s="42">
        <v>43140</v>
      </c>
      <c r="B387" s="54">
        <v>8.1096568978286099E-3</v>
      </c>
      <c r="C387" s="54">
        <v>2.6765553292420141E-2</v>
      </c>
      <c r="D387" s="54">
        <v>3.9002230556267614E-3</v>
      </c>
      <c r="E387" s="54">
        <v>2.4436283970969197E-2</v>
      </c>
      <c r="F387" s="54">
        <v>1.1901609994434348E-2</v>
      </c>
    </row>
    <row r="388" spans="1:6" x14ac:dyDescent="0.25">
      <c r="A388" s="42">
        <v>43147</v>
      </c>
      <c r="B388" s="54">
        <v>7.2546172181471302E-3</v>
      </c>
      <c r="C388" s="54">
        <v>-2.8163184709859568E-3</v>
      </c>
      <c r="D388" s="54">
        <v>1.259812894099932E-2</v>
      </c>
      <c r="E388" s="54">
        <v>-2.7836312373863414E-3</v>
      </c>
      <c r="F388" s="54">
        <v>-3.3165382622111217E-3</v>
      </c>
    </row>
    <row r="389" spans="1:6" x14ac:dyDescent="0.25">
      <c r="A389" s="42">
        <v>43154</v>
      </c>
      <c r="B389" s="54">
        <v>8.5844090618396596E-3</v>
      </c>
      <c r="C389" s="54">
        <v>-3.4184061502179341E-3</v>
      </c>
      <c r="D389" s="54">
        <v>-3.4913705464072464E-3</v>
      </c>
      <c r="E389" s="54">
        <v>1.1955542215055459E-2</v>
      </c>
      <c r="F389" s="54">
        <v>-1.9635666341997204E-3</v>
      </c>
    </row>
    <row r="390" spans="1:6" x14ac:dyDescent="0.25">
      <c r="A390" s="42">
        <v>43161</v>
      </c>
      <c r="B390" s="54">
        <v>-4.4069978657096387E-3</v>
      </c>
      <c r="C390" s="54">
        <v>8.662174695801883E-3</v>
      </c>
      <c r="D390" s="54">
        <v>-1.0697148833522463E-2</v>
      </c>
      <c r="E390" s="54">
        <v>-8.168218716791853E-3</v>
      </c>
      <c r="F390" s="54">
        <v>4.4746267157091957E-3</v>
      </c>
    </row>
    <row r="391" spans="1:6" x14ac:dyDescent="0.25">
      <c r="A391" s="42">
        <v>43168</v>
      </c>
      <c r="B391" s="54">
        <v>3.7873934542425047E-3</v>
      </c>
      <c r="C391" s="54">
        <v>-5.2289674805181541E-3</v>
      </c>
      <c r="D391" s="54">
        <v>1.0320965862682163E-2</v>
      </c>
      <c r="E391" s="54">
        <v>1.2918945278186156E-2</v>
      </c>
      <c r="F391" s="54">
        <v>2.4655820045771382E-3</v>
      </c>
    </row>
    <row r="392" spans="1:6" x14ac:dyDescent="0.25">
      <c r="A392" s="42">
        <v>43175</v>
      </c>
      <c r="B392" s="54">
        <v>-3.2217164116392638E-3</v>
      </c>
      <c r="C392" s="54">
        <v>-8.8460468504332201E-3</v>
      </c>
      <c r="D392" s="54">
        <v>-4.930398869517294E-3</v>
      </c>
      <c r="E392" s="54">
        <v>-1.0170675770301174E-2</v>
      </c>
      <c r="F392" s="54">
        <v>-3.9913883800425376E-3</v>
      </c>
    </row>
    <row r="393" spans="1:6" x14ac:dyDescent="0.25">
      <c r="A393" s="42">
        <v>43182</v>
      </c>
      <c r="B393" s="54">
        <v>1.6323513076423324E-2</v>
      </c>
      <c r="C393" s="54">
        <v>1.3874654900796091E-2</v>
      </c>
      <c r="D393" s="54">
        <v>6.4494772459616767E-3</v>
      </c>
      <c r="E393" s="54">
        <v>7.3142736780837936E-3</v>
      </c>
      <c r="F393" s="54">
        <v>-7.7295882023507012E-3</v>
      </c>
    </row>
    <row r="394" spans="1:6" x14ac:dyDescent="0.25">
      <c r="A394" s="42">
        <v>43189</v>
      </c>
      <c r="B394" s="54">
        <v>-9.3891638838932145E-3</v>
      </c>
      <c r="C394" s="54">
        <v>-1.2210193933031466E-2</v>
      </c>
      <c r="D394" s="54">
        <v>-1.2308955152027679E-2</v>
      </c>
      <c r="E394" s="54">
        <v>-4.287886927267115E-3</v>
      </c>
      <c r="F394" s="54">
        <v>4.3939137247541726E-3</v>
      </c>
    </row>
    <row r="395" spans="1:6" x14ac:dyDescent="0.25">
      <c r="A395" s="42">
        <v>43196</v>
      </c>
      <c r="B395" s="54">
        <v>-3.5768982618278322E-3</v>
      </c>
      <c r="C395" s="54">
        <v>-3.8342780660318709E-3</v>
      </c>
      <c r="D395" s="54">
        <v>-2.4234983289357359E-3</v>
      </c>
      <c r="E395" s="54">
        <v>-1.0022956597218524E-2</v>
      </c>
      <c r="F395" s="54">
        <v>7.6673718547612957E-3</v>
      </c>
    </row>
    <row r="396" spans="1:6" x14ac:dyDescent="0.25">
      <c r="A396" s="42">
        <v>43203</v>
      </c>
      <c r="B396" s="54">
        <v>6.6983907275952603E-4</v>
      </c>
      <c r="C396" s="54">
        <v>-9.2029152436938766E-3</v>
      </c>
      <c r="D396" s="54">
        <v>-4.0198779988376288E-3</v>
      </c>
      <c r="E396" s="54">
        <v>-1.6033827124148914E-3</v>
      </c>
      <c r="F396" s="54">
        <v>1.0048009057885388E-2</v>
      </c>
    </row>
    <row r="397" spans="1:6" x14ac:dyDescent="0.25">
      <c r="A397" s="42">
        <v>43210</v>
      </c>
      <c r="B397" s="54">
        <v>-2.5657635841078719E-3</v>
      </c>
      <c r="C397" s="54">
        <v>1.0284444093854317E-2</v>
      </c>
      <c r="D397" s="54">
        <v>3.6038937832176821E-3</v>
      </c>
      <c r="E397" s="54">
        <v>8.4143791461752659E-3</v>
      </c>
      <c r="F397" s="54">
        <v>8.7633630890437964E-4</v>
      </c>
    </row>
    <row r="398" spans="1:6" x14ac:dyDescent="0.25">
      <c r="A398" s="42">
        <v>43217</v>
      </c>
      <c r="B398" s="54">
        <v>6.2233356423166963E-3</v>
      </c>
      <c r="C398" s="54">
        <v>-1.4946893806282446E-3</v>
      </c>
      <c r="D398" s="54">
        <v>1.2327022796450038E-2</v>
      </c>
      <c r="E398" s="54">
        <v>1.1681216077099155E-2</v>
      </c>
      <c r="F398" s="54">
        <v>-1.3121938564433666E-2</v>
      </c>
    </row>
    <row r="399" spans="1:6" x14ac:dyDescent="0.25">
      <c r="A399" s="42">
        <v>43224</v>
      </c>
      <c r="B399" s="54">
        <v>-7.1511468404552581E-3</v>
      </c>
      <c r="C399" s="54">
        <v>-5.0387141247771883E-3</v>
      </c>
      <c r="D399" s="54">
        <v>2.4461190703408686E-3</v>
      </c>
      <c r="E399" s="54">
        <v>2.633193929063804E-3</v>
      </c>
      <c r="F399" s="54">
        <v>-2.8830863292816922E-3</v>
      </c>
    </row>
    <row r="400" spans="1:6" x14ac:dyDescent="0.25">
      <c r="A400" s="42">
        <v>43231</v>
      </c>
      <c r="B400" s="54">
        <v>7.9835323320684992E-3</v>
      </c>
      <c r="C400" s="54">
        <v>1.0847436708678604E-3</v>
      </c>
      <c r="D400" s="54">
        <v>6.7286660395355913E-3</v>
      </c>
      <c r="E400" s="54">
        <v>4.9619145897852324E-3</v>
      </c>
      <c r="F400" s="54">
        <v>1.1406429064730883E-3</v>
      </c>
    </row>
    <row r="401" spans="1:6" x14ac:dyDescent="0.25">
      <c r="A401" s="42">
        <v>43238</v>
      </c>
      <c r="B401" s="54">
        <v>-2.887873696616472E-3</v>
      </c>
      <c r="C401" s="54">
        <v>-1.1985021420567565E-2</v>
      </c>
      <c r="D401" s="54">
        <v>-6.1322368109486547E-3</v>
      </c>
      <c r="E401" s="54">
        <v>2.7365573711697344E-3</v>
      </c>
      <c r="F401" s="54">
        <v>-7.0623315047277924E-3</v>
      </c>
    </row>
    <row r="402" spans="1:6" x14ac:dyDescent="0.25">
      <c r="A402" s="42">
        <v>43245</v>
      </c>
      <c r="B402" s="54">
        <v>1.0880470508474516E-2</v>
      </c>
      <c r="C402" s="54">
        <v>6.7280708208254936E-3</v>
      </c>
      <c r="D402" s="54">
        <v>3.2635072142406241E-4</v>
      </c>
      <c r="E402" s="54">
        <v>1.0189968793662962E-2</v>
      </c>
      <c r="F402" s="54">
        <v>2.3570928058140872E-3</v>
      </c>
    </row>
    <row r="403" spans="1:6" x14ac:dyDescent="0.25">
      <c r="A403" s="42">
        <v>43252</v>
      </c>
      <c r="B403" s="54">
        <v>1.1837524672885236E-3</v>
      </c>
      <c r="C403" s="54">
        <v>3.2873989090237421E-3</v>
      </c>
      <c r="D403" s="54">
        <v>7.8048667924581761E-3</v>
      </c>
      <c r="E403" s="54">
        <v>1.3692402314448016E-3</v>
      </c>
      <c r="F403" s="54">
        <v>1.3163785233394343E-3</v>
      </c>
    </row>
    <row r="404" spans="1:6" x14ac:dyDescent="0.25">
      <c r="A404" s="42">
        <v>43259</v>
      </c>
      <c r="B404" s="54">
        <v>1.125718499835604E-2</v>
      </c>
      <c r="C404" s="54">
        <v>6.2821053856931819E-3</v>
      </c>
      <c r="D404" s="54">
        <v>1.0667387252926153E-2</v>
      </c>
      <c r="E404" s="54">
        <v>1.5646905060218153E-4</v>
      </c>
      <c r="F404" s="54">
        <v>-6.2636452264626108E-3</v>
      </c>
    </row>
    <row r="405" spans="1:6" x14ac:dyDescent="0.25">
      <c r="A405" s="42">
        <v>43266</v>
      </c>
      <c r="B405" s="54">
        <v>-5.5689116584836107E-3</v>
      </c>
      <c r="C405" s="54">
        <v>8.4166411574697619E-3</v>
      </c>
      <c r="D405" s="54">
        <v>-2.4803954925387561E-3</v>
      </c>
      <c r="E405" s="54">
        <v>1.2393658865472723E-4</v>
      </c>
      <c r="F405" s="54">
        <v>-5.1923616573934517E-4</v>
      </c>
    </row>
    <row r="406" spans="1:6" x14ac:dyDescent="0.25">
      <c r="A406" s="42">
        <v>43273</v>
      </c>
      <c r="B406" s="54">
        <v>-3.7096437024874973E-4</v>
      </c>
      <c r="C406" s="54">
        <v>1.8060727177613423E-3</v>
      </c>
      <c r="D406" s="54">
        <v>-1.3387701756505166E-2</v>
      </c>
      <c r="E406" s="54">
        <v>-2.5565769964995821E-3</v>
      </c>
      <c r="F406" s="54">
        <v>-6.8189875562439939E-3</v>
      </c>
    </row>
    <row r="407" spans="1:6" x14ac:dyDescent="0.25">
      <c r="A407" s="42">
        <v>43280</v>
      </c>
      <c r="B407" s="54">
        <v>-4.7983252978422986E-4</v>
      </c>
      <c r="C407" s="54">
        <v>-2.2200934230387492E-3</v>
      </c>
      <c r="D407" s="54">
        <v>-2.4389367774445558E-3</v>
      </c>
      <c r="E407" s="54">
        <v>1.2049003050779161E-3</v>
      </c>
      <c r="F407" s="54">
        <v>-1.1603389374666429E-2</v>
      </c>
    </row>
    <row r="408" spans="1:6" x14ac:dyDescent="0.25">
      <c r="A408" s="42">
        <v>43287</v>
      </c>
      <c r="B408" s="54">
        <v>-1.2750337063596184E-3</v>
      </c>
      <c r="C408" s="54">
        <v>1.2728856270730171E-2</v>
      </c>
      <c r="D408" s="54">
        <v>1.0831816524898841E-3</v>
      </c>
      <c r="E408" s="54">
        <v>1.0268236669503938E-2</v>
      </c>
      <c r="F408" s="54">
        <v>4.4397027882852047E-3</v>
      </c>
    </row>
    <row r="409" spans="1:6" x14ac:dyDescent="0.25">
      <c r="A409" s="42">
        <v>43294</v>
      </c>
      <c r="B409" s="54">
        <v>4.6742555864107693E-3</v>
      </c>
      <c r="C409" s="54">
        <v>-1.4557441113900449E-3</v>
      </c>
      <c r="D409" s="54">
        <v>1.3846126854723639E-2</v>
      </c>
      <c r="E409" s="54">
        <v>-1.5855361690799152E-2</v>
      </c>
      <c r="F409" s="54">
        <v>-1.3390571612833191E-2</v>
      </c>
    </row>
    <row r="410" spans="1:6" x14ac:dyDescent="0.25">
      <c r="A410" s="42">
        <v>43301</v>
      </c>
      <c r="B410" s="54">
        <v>-5.9014388899036874E-4</v>
      </c>
      <c r="C410" s="54">
        <v>-8.8166402753002693E-3</v>
      </c>
      <c r="D410" s="54">
        <v>-2.882676494092129E-3</v>
      </c>
      <c r="E410" s="54">
        <v>7.9917502372364169E-3</v>
      </c>
      <c r="F410" s="54">
        <v>-1.9427320491113287E-3</v>
      </c>
    </row>
    <row r="411" spans="1:6" x14ac:dyDescent="0.25">
      <c r="A411" s="42">
        <v>43308</v>
      </c>
      <c r="B411" s="54">
        <v>-1.0459381941576806E-2</v>
      </c>
      <c r="C411" s="54">
        <v>-5.2456929246222916E-3</v>
      </c>
      <c r="D411" s="54">
        <v>-9.9099515417080397E-3</v>
      </c>
      <c r="E411" s="54">
        <v>5.8725833416040096E-4</v>
      </c>
      <c r="F411" s="54">
        <v>7.380658079745972E-3</v>
      </c>
    </row>
    <row r="412" spans="1:6" x14ac:dyDescent="0.25">
      <c r="A412" s="42">
        <v>43315</v>
      </c>
      <c r="B412" s="54">
        <v>-5.046710378410646E-3</v>
      </c>
      <c r="C412" s="54">
        <v>8.7222542428788685E-4</v>
      </c>
      <c r="D412" s="54">
        <v>-1.6392675357882469E-3</v>
      </c>
      <c r="E412" s="54">
        <v>-2.3664872427049399E-3</v>
      </c>
      <c r="F412" s="54">
        <v>9.2592535958078148E-3</v>
      </c>
    </row>
    <row r="413" spans="1:6" x14ac:dyDescent="0.25">
      <c r="A413" s="42">
        <v>43322</v>
      </c>
      <c r="B413" s="54">
        <v>6.6041044524534076E-3</v>
      </c>
      <c r="C413" s="54">
        <v>1.0933426384495015E-2</v>
      </c>
      <c r="D413" s="54">
        <v>2.6830725745164985E-3</v>
      </c>
      <c r="E413" s="54">
        <v>5.7207394889488006E-3</v>
      </c>
      <c r="F413" s="54">
        <v>-5.4702697102955167E-3</v>
      </c>
    </row>
    <row r="414" spans="1:6" x14ac:dyDescent="0.25">
      <c r="A414" s="42">
        <v>43329</v>
      </c>
      <c r="B414" s="54">
        <v>9.5318521341126727E-3</v>
      </c>
      <c r="C414" s="54">
        <v>-9.6679802328869524E-4</v>
      </c>
      <c r="D414" s="54">
        <v>9.5080448226214642E-4</v>
      </c>
      <c r="E414" s="54">
        <v>-1.1751056753070976E-3</v>
      </c>
      <c r="F414" s="54">
        <v>-1.2334061692853671E-2</v>
      </c>
    </row>
    <row r="415" spans="1:6" x14ac:dyDescent="0.25">
      <c r="A415" s="42">
        <v>43336</v>
      </c>
      <c r="B415" s="54">
        <v>-1.7034091815204544E-3</v>
      </c>
      <c r="C415" s="54">
        <v>-8.2175689560748388E-4</v>
      </c>
      <c r="D415" s="54">
        <v>2.7447291122992823E-3</v>
      </c>
      <c r="E415" s="54">
        <v>-3.1311744431161692E-4</v>
      </c>
      <c r="F415" s="54">
        <v>4.628271022601993E-3</v>
      </c>
    </row>
    <row r="416" spans="1:6" x14ac:dyDescent="0.25">
      <c r="A416" s="42">
        <v>43343</v>
      </c>
      <c r="B416" s="54">
        <v>7.1357198370707309E-3</v>
      </c>
      <c r="C416" s="54">
        <v>1.223509969635872E-2</v>
      </c>
      <c r="D416" s="54">
        <v>1.1285513551545501E-2</v>
      </c>
      <c r="E416" s="54">
        <v>1.5091593821390692E-2</v>
      </c>
      <c r="F416" s="54">
        <v>-1.8385809401392228E-3</v>
      </c>
    </row>
    <row r="417" spans="1:6" x14ac:dyDescent="0.25">
      <c r="A417" s="42">
        <v>43350</v>
      </c>
      <c r="B417" s="54">
        <v>-3.1252703060885567E-3</v>
      </c>
      <c r="C417" s="54">
        <v>1.2718910832800301E-2</v>
      </c>
      <c r="D417" s="54">
        <v>4.4855985915774887E-3</v>
      </c>
      <c r="E417" s="54">
        <v>-9.7823993775847384E-4</v>
      </c>
      <c r="F417" s="54">
        <v>6.3079430548537152E-3</v>
      </c>
    </row>
    <row r="418" spans="1:6" x14ac:dyDescent="0.25">
      <c r="A418" s="42">
        <v>43357</v>
      </c>
      <c r="B418" s="54">
        <v>-9.033272360894351E-4</v>
      </c>
      <c r="C418" s="54">
        <v>-7.7345159225659099E-3</v>
      </c>
      <c r="D418" s="54">
        <v>-3.7435899120266125E-3</v>
      </c>
      <c r="E418" s="54">
        <v>-7.6690340467431284E-3</v>
      </c>
      <c r="F418" s="54">
        <v>7.8799081116041059E-3</v>
      </c>
    </row>
    <row r="419" spans="1:6" x14ac:dyDescent="0.25">
      <c r="A419" s="42">
        <v>43364</v>
      </c>
      <c r="B419" s="54">
        <v>-1.146258438264236E-2</v>
      </c>
      <c r="C419" s="54">
        <v>-7.3828950347241129E-3</v>
      </c>
      <c r="D419" s="54">
        <v>-1.753407322183409E-2</v>
      </c>
      <c r="E419" s="54">
        <v>3.8760985143411197E-3</v>
      </c>
      <c r="F419" s="54">
        <v>1.678078896520141E-2</v>
      </c>
    </row>
    <row r="420" spans="1:6" x14ac:dyDescent="0.25">
      <c r="A420" s="42">
        <v>43371</v>
      </c>
      <c r="B420" s="54">
        <v>5.2404800505658766E-3</v>
      </c>
      <c r="C420" s="54">
        <v>4.6982703070470588E-3</v>
      </c>
      <c r="D420" s="54">
        <v>6.7718973860921849E-3</v>
      </c>
      <c r="E420" s="54">
        <v>-3.9562508104069583E-3</v>
      </c>
      <c r="F420" s="54">
        <v>-1.6082441435880557E-2</v>
      </c>
    </row>
    <row r="421" spans="1:6" x14ac:dyDescent="0.25">
      <c r="A421" s="42">
        <v>43378</v>
      </c>
      <c r="B421" s="54">
        <v>-4.8163762790986997E-3</v>
      </c>
      <c r="C421" s="54">
        <v>-9.2392801914498168E-4</v>
      </c>
      <c r="D421" s="54">
        <v>-1.4667408372889601E-2</v>
      </c>
      <c r="E421" s="54">
        <v>-3.7491329640803039E-3</v>
      </c>
      <c r="F421" s="54">
        <v>-6.2024762747648898E-3</v>
      </c>
    </row>
    <row r="422" spans="1:6" x14ac:dyDescent="0.25">
      <c r="A422" s="42">
        <v>43385</v>
      </c>
      <c r="B422" s="54">
        <v>-7.9900104352804702E-3</v>
      </c>
      <c r="C422" s="54">
        <v>1.215793078361993E-2</v>
      </c>
      <c r="D422" s="54">
        <v>-2.303790978448006E-2</v>
      </c>
      <c r="E422" s="54">
        <v>1.0974320423850825E-2</v>
      </c>
      <c r="F422" s="54">
        <v>1.1609230705549978E-2</v>
      </c>
    </row>
    <row r="423" spans="1:6" x14ac:dyDescent="0.25">
      <c r="A423" s="42">
        <v>43392</v>
      </c>
      <c r="B423" s="54">
        <v>-4.0773315477806715E-3</v>
      </c>
      <c r="C423" s="54">
        <v>1.2753075468000086E-2</v>
      </c>
      <c r="D423" s="54">
        <v>3.8171905349650981E-3</v>
      </c>
      <c r="E423" s="54">
        <v>-7.6755427163355261E-3</v>
      </c>
      <c r="F423" s="54">
        <v>-2.5582629854231209E-2</v>
      </c>
    </row>
    <row r="424" spans="1:6" x14ac:dyDescent="0.25">
      <c r="A424" s="42">
        <v>43399</v>
      </c>
      <c r="B424" s="54">
        <v>-4.7676722764079527E-3</v>
      </c>
      <c r="C424" s="54">
        <v>-8.9530993944952897E-3</v>
      </c>
      <c r="D424" s="54">
        <v>-3.6770575816802431E-3</v>
      </c>
      <c r="E424" s="54">
        <v>-9.0484134977423247E-3</v>
      </c>
      <c r="F424" s="54">
        <v>-1.0862718870972121E-2</v>
      </c>
    </row>
    <row r="425" spans="1:6" x14ac:dyDescent="0.25">
      <c r="A425" s="42">
        <v>43406</v>
      </c>
      <c r="B425" s="54">
        <v>1.1112444769697083E-2</v>
      </c>
      <c r="C425" s="54">
        <v>1.5331845198336413E-3</v>
      </c>
      <c r="D425" s="54">
        <v>6.1644966434897253E-3</v>
      </c>
      <c r="E425" s="54">
        <v>1.8385236295630047E-2</v>
      </c>
      <c r="F425" s="54">
        <v>2.2760235655236771E-2</v>
      </c>
    </row>
    <row r="426" spans="1:6" x14ac:dyDescent="0.25">
      <c r="A426" s="42">
        <v>43413</v>
      </c>
      <c r="B426" s="54">
        <v>-4.7178931241431687E-3</v>
      </c>
      <c r="C426" s="54">
        <v>1.084063422867465E-2</v>
      </c>
      <c r="D426" s="54">
        <v>-1.8349569995519399E-3</v>
      </c>
      <c r="E426" s="54">
        <v>-2.0896543014745861E-2</v>
      </c>
      <c r="F426" s="54">
        <v>-1.1595895766087216E-2</v>
      </c>
    </row>
    <row r="427" spans="1:6" x14ac:dyDescent="0.25">
      <c r="A427" s="42">
        <v>43420</v>
      </c>
      <c r="B427" s="54">
        <v>-3.5599726000306031E-3</v>
      </c>
      <c r="C427" s="54">
        <v>3.8113426725888688E-3</v>
      </c>
      <c r="D427" s="54">
        <v>-6.9393440156778619E-3</v>
      </c>
      <c r="E427" s="54">
        <v>-3.4601735710949599E-3</v>
      </c>
      <c r="F427" s="54">
        <v>-1.3147140348364617E-2</v>
      </c>
    </row>
    <row r="428" spans="1:6" x14ac:dyDescent="0.25">
      <c r="A428" s="42">
        <v>43427</v>
      </c>
      <c r="B428" s="54">
        <v>-1.0661644917265622E-2</v>
      </c>
      <c r="C428" s="54">
        <v>1.7858044434229114E-3</v>
      </c>
      <c r="D428" s="54">
        <v>-1.8593257253234241E-2</v>
      </c>
      <c r="E428" s="54">
        <v>-6.9775002900429595E-3</v>
      </c>
      <c r="F428" s="54">
        <v>-9.4519854617325372E-4</v>
      </c>
    </row>
    <row r="429" spans="1:6" x14ac:dyDescent="0.25">
      <c r="A429" s="42">
        <v>43434</v>
      </c>
      <c r="B429" s="54">
        <v>-2.7937466356884322E-3</v>
      </c>
      <c r="C429" s="54">
        <v>-4.6237276023231022E-3</v>
      </c>
      <c r="D429" s="54">
        <v>-2.5024363073933298E-3</v>
      </c>
      <c r="E429" s="54">
        <v>-2.2768412395990367E-4</v>
      </c>
      <c r="F429" s="54">
        <v>-1.1371779653910341E-3</v>
      </c>
    </row>
    <row r="430" spans="1:6" x14ac:dyDescent="0.25">
      <c r="A430" s="42">
        <v>43441</v>
      </c>
      <c r="B430" s="54">
        <v>7.7570354116716089E-3</v>
      </c>
      <c r="C430" s="54">
        <v>3.1014379084363108E-3</v>
      </c>
      <c r="D430" s="54">
        <v>1.2386886563615862E-2</v>
      </c>
      <c r="E430" s="54">
        <v>7.0012009743033454E-3</v>
      </c>
      <c r="F430" s="54">
        <v>-2.6050919892805835E-2</v>
      </c>
    </row>
    <row r="431" spans="1:6" x14ac:dyDescent="0.25">
      <c r="A431" s="42">
        <v>43448</v>
      </c>
      <c r="B431" s="54">
        <v>-1.5234000091073341E-3</v>
      </c>
      <c r="C431" s="54">
        <v>-1.2022817423587684E-2</v>
      </c>
      <c r="D431" s="54">
        <v>6.984289932880916E-4</v>
      </c>
      <c r="E431" s="54">
        <v>-1.7488529851939161E-2</v>
      </c>
      <c r="F431" s="54">
        <v>-3.3224762927308582E-3</v>
      </c>
    </row>
    <row r="432" spans="1:6" x14ac:dyDescent="0.25">
      <c r="A432" s="42">
        <v>43455</v>
      </c>
      <c r="B432" s="54">
        <v>9.1036893276132957E-3</v>
      </c>
      <c r="C432" s="54">
        <v>3.7604903133229284E-3</v>
      </c>
      <c r="D432" s="54">
        <v>4.2044706478205907E-4</v>
      </c>
      <c r="E432" s="54">
        <v>-1.5306171363004273E-3</v>
      </c>
      <c r="F432" s="54">
        <v>-8.6271858019472125E-3</v>
      </c>
    </row>
    <row r="433" spans="1:6" x14ac:dyDescent="0.25">
      <c r="A433" s="42">
        <v>43462</v>
      </c>
      <c r="B433" s="54">
        <v>5.4804177634077966E-3</v>
      </c>
      <c r="C433" s="54">
        <v>7.2309801255843187E-4</v>
      </c>
      <c r="D433" s="54">
        <v>1.8638518059638232E-3</v>
      </c>
      <c r="E433" s="54">
        <v>2.8864987011218979E-3</v>
      </c>
      <c r="F433" s="54">
        <v>2.7262513470016625E-4</v>
      </c>
    </row>
    <row r="434" spans="1:6" x14ac:dyDescent="0.25">
      <c r="A434" s="42">
        <v>43469</v>
      </c>
      <c r="B434" s="54">
        <v>1.3599655303770941E-3</v>
      </c>
      <c r="C434" s="54">
        <v>-7.8720455925409549E-3</v>
      </c>
      <c r="D434" s="54">
        <v>-5.8029431818829025E-4</v>
      </c>
      <c r="E434" s="54">
        <v>5.2705242885811021E-3</v>
      </c>
      <c r="F434" s="54">
        <v>8.2070375342757629E-4</v>
      </c>
    </row>
    <row r="435" spans="1:6" x14ac:dyDescent="0.25">
      <c r="A435" s="42">
        <v>43476</v>
      </c>
      <c r="B435" s="54">
        <v>1.2215612298445366E-2</v>
      </c>
      <c r="C435" s="54">
        <v>6.7044607040191995E-3</v>
      </c>
      <c r="D435" s="54">
        <v>1.597078007885222E-2</v>
      </c>
      <c r="E435" s="54">
        <v>2.4916108654647218E-2</v>
      </c>
      <c r="F435" s="54">
        <v>1.3886694887919937E-2</v>
      </c>
    </row>
    <row r="436" spans="1:6" x14ac:dyDescent="0.25">
      <c r="A436" s="42">
        <v>43483</v>
      </c>
      <c r="B436" s="54">
        <v>2.8817395318962991E-3</v>
      </c>
      <c r="C436" s="54">
        <v>4.0765656696857278E-3</v>
      </c>
      <c r="D436" s="54">
        <v>-4.1881618793790931E-3</v>
      </c>
      <c r="E436" s="54">
        <v>1.2636686160378607E-2</v>
      </c>
      <c r="F436" s="54">
        <v>1.0741843798400375E-2</v>
      </c>
    </row>
    <row r="437" spans="1:6" x14ac:dyDescent="0.25">
      <c r="A437" s="42">
        <v>43490</v>
      </c>
      <c r="B437" s="54">
        <v>2.6658997208632851E-3</v>
      </c>
      <c r="C437" s="54">
        <v>3.0812236693620321E-3</v>
      </c>
      <c r="D437" s="54">
        <v>1.0939664864672238E-2</v>
      </c>
      <c r="E437" s="54">
        <v>-3.4612655230215061E-4</v>
      </c>
      <c r="F437" s="54">
        <v>1.0931353892432716E-2</v>
      </c>
    </row>
    <row r="438" spans="1:6" x14ac:dyDescent="0.25">
      <c r="A438" s="42">
        <v>43497</v>
      </c>
      <c r="B438" s="54">
        <v>1.1381895256310504E-3</v>
      </c>
      <c r="C438" s="54">
        <v>-5.5982137237213792E-3</v>
      </c>
      <c r="D438" s="54">
        <v>-7.4105675463325138E-3</v>
      </c>
      <c r="E438" s="54">
        <v>-9.409888981819603E-3</v>
      </c>
      <c r="F438" s="54">
        <v>-9.5064765839094623E-3</v>
      </c>
    </row>
    <row r="439" spans="1:6" x14ac:dyDescent="0.25">
      <c r="A439" s="42">
        <v>43504</v>
      </c>
      <c r="B439" s="54">
        <v>4.5077206046804097E-3</v>
      </c>
      <c r="C439" s="54">
        <v>2.9528743216460374E-3</v>
      </c>
      <c r="D439" s="54">
        <v>-3.7739406037040624E-3</v>
      </c>
      <c r="E439" s="54">
        <v>-2.1954141356124501E-2</v>
      </c>
      <c r="F439" s="54">
        <v>-1.8613975239296865E-2</v>
      </c>
    </row>
    <row r="440" spans="1:6" x14ac:dyDescent="0.25">
      <c r="A440" s="42">
        <v>43511</v>
      </c>
      <c r="B440" s="54">
        <v>-3.5407410610206469E-3</v>
      </c>
      <c r="C440" s="54">
        <v>-8.8244212293759894E-3</v>
      </c>
      <c r="D440" s="54">
        <v>-7.3311113169209907E-3</v>
      </c>
      <c r="E440" s="54">
        <v>7.9260344642637648E-3</v>
      </c>
      <c r="F440" s="54">
        <v>1.1093527063980479E-2</v>
      </c>
    </row>
    <row r="441" spans="1:6" x14ac:dyDescent="0.25">
      <c r="A441" s="42">
        <v>43518</v>
      </c>
      <c r="B441" s="54">
        <v>6.1965766011276013E-3</v>
      </c>
      <c r="C441" s="54">
        <v>4.9152231109179656E-3</v>
      </c>
      <c r="D441" s="54">
        <v>5.7148417560872744E-3</v>
      </c>
      <c r="E441" s="54">
        <v>7.2431742251402031E-3</v>
      </c>
      <c r="F441" s="54">
        <v>8.3005339531585509E-3</v>
      </c>
    </row>
    <row r="442" spans="1:6" x14ac:dyDescent="0.25">
      <c r="A442" s="42">
        <v>43525</v>
      </c>
      <c r="B442" s="54">
        <v>-4.4874465681352671E-3</v>
      </c>
      <c r="C442" s="54">
        <v>1.8953825683494241E-3</v>
      </c>
      <c r="D442" s="54">
        <v>-7.4170694620834254E-4</v>
      </c>
      <c r="E442" s="54">
        <v>3.3140054300573318E-3</v>
      </c>
      <c r="F442" s="54">
        <v>1.2639714385840328E-2</v>
      </c>
    </row>
    <row r="443" spans="1:6" x14ac:dyDescent="0.25">
      <c r="A443" s="42">
        <v>43532</v>
      </c>
      <c r="B443" s="54">
        <v>-5.1517588596179387E-3</v>
      </c>
      <c r="C443" s="54">
        <v>-9.4454070986443872E-3</v>
      </c>
      <c r="D443" s="54">
        <v>-7.8431726720329387E-3</v>
      </c>
      <c r="E443" s="54">
        <v>-1.552385004359913E-2</v>
      </c>
      <c r="F443" s="54">
        <v>-3.3391115997599918E-2</v>
      </c>
    </row>
    <row r="444" spans="1:6" x14ac:dyDescent="0.25">
      <c r="A444" s="42">
        <v>43539</v>
      </c>
      <c r="B444" s="54">
        <v>-1.2459341889248243E-4</v>
      </c>
      <c r="C444" s="54">
        <v>1.4848223200201183E-3</v>
      </c>
      <c r="D444" s="54">
        <v>3.6433428824977909E-3</v>
      </c>
      <c r="E444" s="54">
        <v>5.9140382278803916E-3</v>
      </c>
      <c r="F444" s="54">
        <v>-8.8986635742416276E-4</v>
      </c>
    </row>
    <row r="445" spans="1:6" x14ac:dyDescent="0.25">
      <c r="A445" s="42">
        <v>43546</v>
      </c>
      <c r="B445" s="54">
        <v>5.8963871649253541E-3</v>
      </c>
      <c r="C445" s="54">
        <v>-1.3657093573558043E-3</v>
      </c>
      <c r="D445" s="54">
        <v>4.0243023563022451E-3</v>
      </c>
      <c r="E445" s="54">
        <v>-1.8363552480683221E-2</v>
      </c>
      <c r="F445" s="54">
        <v>-1.7382353359887137E-2</v>
      </c>
    </row>
    <row r="446" spans="1:6" x14ac:dyDescent="0.25">
      <c r="A446" s="42">
        <v>43553</v>
      </c>
      <c r="B446" s="54">
        <v>-7.5128265668686911E-3</v>
      </c>
      <c r="C446" s="54">
        <v>-5.9781293675869041E-3</v>
      </c>
      <c r="D446" s="54">
        <v>-1.2108186573200896E-3</v>
      </c>
      <c r="E446" s="54">
        <v>-1.9641033651403572E-2</v>
      </c>
      <c r="F446" s="54">
        <v>-2.820319903086288E-3</v>
      </c>
    </row>
    <row r="447" spans="1:6" x14ac:dyDescent="0.25">
      <c r="A447" s="42">
        <v>43560</v>
      </c>
      <c r="B447" s="54">
        <v>3.9059371923906294E-3</v>
      </c>
      <c r="C447" s="54">
        <v>-3.3721071957526494E-3</v>
      </c>
      <c r="D447" s="54">
        <v>8.0416777565650577E-4</v>
      </c>
      <c r="E447" s="54">
        <v>1.4406766313001862E-2</v>
      </c>
      <c r="F447" s="54">
        <v>1.7429967869534435E-2</v>
      </c>
    </row>
    <row r="448" spans="1:6" x14ac:dyDescent="0.25">
      <c r="A448" s="42">
        <v>43567</v>
      </c>
      <c r="B448" s="54">
        <v>1.8497353286703877E-3</v>
      </c>
      <c r="C448" s="54">
        <v>-5.4108236704688562E-3</v>
      </c>
      <c r="D448" s="54">
        <v>3.7456027417792637E-3</v>
      </c>
      <c r="E448" s="54">
        <v>5.1430755242132253E-3</v>
      </c>
      <c r="F448" s="54">
        <v>9.1936306802771206E-3</v>
      </c>
    </row>
    <row r="449" spans="1:6" x14ac:dyDescent="0.25">
      <c r="A449" s="42">
        <v>43574</v>
      </c>
      <c r="B449" s="54">
        <v>-1.200139446472015E-3</v>
      </c>
      <c r="C449" s="54">
        <v>-9.0159083807389573E-3</v>
      </c>
      <c r="D449" s="54">
        <v>-7.8564221513894861E-3</v>
      </c>
      <c r="E449" s="54">
        <v>1.9725522750650981E-3</v>
      </c>
      <c r="F449" s="54">
        <v>8.8680303484556244E-3</v>
      </c>
    </row>
    <row r="450" spans="1:6" x14ac:dyDescent="0.25">
      <c r="A450" s="42">
        <v>43581</v>
      </c>
      <c r="B450" s="54">
        <v>8.3943420586916062E-3</v>
      </c>
      <c r="C450" s="54">
        <v>3.2062464198105989E-3</v>
      </c>
      <c r="D450" s="54">
        <v>8.9815352108635338E-4</v>
      </c>
      <c r="E450" s="54">
        <v>-1.1479066518182979E-2</v>
      </c>
      <c r="F450" s="54">
        <v>-1.8284304327567558E-2</v>
      </c>
    </row>
    <row r="451" spans="1:6" x14ac:dyDescent="0.25">
      <c r="A451" s="42">
        <v>43588</v>
      </c>
      <c r="B451" s="54">
        <v>-5.8551236821517971E-3</v>
      </c>
      <c r="C451" s="54">
        <v>1.2866843119541116E-3</v>
      </c>
      <c r="D451" s="54">
        <v>-6.462197519062074E-3</v>
      </c>
      <c r="E451" s="54">
        <v>-3.5869170769741165E-3</v>
      </c>
      <c r="F451" s="54">
        <v>-3.1477785455045204E-3</v>
      </c>
    </row>
    <row r="452" spans="1:6" x14ac:dyDescent="0.25">
      <c r="A452" s="42">
        <v>43595</v>
      </c>
      <c r="B452" s="54">
        <v>9.7787095788934852E-3</v>
      </c>
      <c r="C452" s="54">
        <v>2.2146000961107637E-2</v>
      </c>
      <c r="D452" s="54">
        <v>1.3386921875957136E-2</v>
      </c>
      <c r="E452" s="54">
        <v>2.1761627406257089E-3</v>
      </c>
      <c r="F452" s="54">
        <v>-2.0134154164528906E-2</v>
      </c>
    </row>
    <row r="453" spans="1:6" x14ac:dyDescent="0.25">
      <c r="A453" s="42">
        <v>43602</v>
      </c>
      <c r="B453" s="54">
        <v>-3.3240567237724505E-4</v>
      </c>
      <c r="C453" s="54">
        <v>-1.5513891752250153E-3</v>
      </c>
      <c r="D453" s="54">
        <v>1.0419831392379786E-2</v>
      </c>
      <c r="E453" s="54">
        <v>-1.078111566467288E-2</v>
      </c>
      <c r="F453" s="54">
        <v>-2.1399626315049658E-2</v>
      </c>
    </row>
    <row r="454" spans="1:6" x14ac:dyDescent="0.25">
      <c r="A454" s="42">
        <v>43609</v>
      </c>
      <c r="B454" s="54">
        <v>6.6423667451991353E-3</v>
      </c>
      <c r="C454" s="54">
        <v>4.3350850777611472E-3</v>
      </c>
      <c r="D454" s="54">
        <v>3.4672610074023558E-3</v>
      </c>
      <c r="E454" s="54">
        <v>-1.9956400539867913E-2</v>
      </c>
      <c r="F454" s="54">
        <v>-2.8203603831890245E-2</v>
      </c>
    </row>
    <row r="455" spans="1:6" x14ac:dyDescent="0.25">
      <c r="A455" s="42">
        <v>43616</v>
      </c>
      <c r="B455" s="54">
        <v>-1.390948195534536E-3</v>
      </c>
      <c r="C455" s="54">
        <v>1.1224117125111732E-2</v>
      </c>
      <c r="D455" s="54">
        <v>7.8694650756104823E-3</v>
      </c>
      <c r="E455" s="54">
        <v>3.6019664752143798E-3</v>
      </c>
      <c r="F455" s="54">
        <v>-8.9335421554470607E-4</v>
      </c>
    </row>
    <row r="456" spans="1:6" x14ac:dyDescent="0.25">
      <c r="A456" s="42">
        <v>43623</v>
      </c>
      <c r="B456" s="54">
        <v>-3.1857676061100015E-3</v>
      </c>
      <c r="C456" s="54">
        <v>-2.8425292604623564E-3</v>
      </c>
      <c r="D456" s="54">
        <v>-2.0455229479530157E-3</v>
      </c>
      <c r="E456" s="54">
        <v>-3.9069046283990438E-4</v>
      </c>
      <c r="F456" s="54">
        <v>-4.1152008676859086E-3</v>
      </c>
    </row>
    <row r="457" spans="1:6" x14ac:dyDescent="0.25">
      <c r="A457" s="42">
        <v>43630</v>
      </c>
      <c r="B457" s="54">
        <v>1.9425467922682405E-3</v>
      </c>
      <c r="C457" s="54">
        <v>-3.1023111355077404E-3</v>
      </c>
      <c r="D457" s="54">
        <v>5.5573222909621744E-3</v>
      </c>
      <c r="E457" s="54">
        <v>-4.0248126532838047E-3</v>
      </c>
      <c r="F457" s="54">
        <v>-2.7702625844470141E-3</v>
      </c>
    </row>
    <row r="458" spans="1:6" x14ac:dyDescent="0.25">
      <c r="A458" s="42">
        <v>43637</v>
      </c>
      <c r="B458" s="54">
        <v>-6.3954614639547547E-3</v>
      </c>
      <c r="C458" s="54">
        <v>-1.8574109389995375E-2</v>
      </c>
      <c r="D458" s="54">
        <v>-1.6600237960865849E-2</v>
      </c>
      <c r="E458" s="54">
        <v>5.8080057475085045E-3</v>
      </c>
      <c r="F458" s="54">
        <v>7.0463529594522178E-4</v>
      </c>
    </row>
    <row r="459" spans="1:6" x14ac:dyDescent="0.25">
      <c r="A459" s="42">
        <v>43644</v>
      </c>
      <c r="B459" s="54">
        <v>-7.3465893630255685E-3</v>
      </c>
      <c r="C459" s="54">
        <v>-3.4149565721093289E-3</v>
      </c>
      <c r="D459" s="54">
        <v>-2.6581995026006E-3</v>
      </c>
      <c r="E459" s="54">
        <v>6.9798139264423131E-3</v>
      </c>
      <c r="F459" s="54">
        <v>7.4803242254350977E-3</v>
      </c>
    </row>
    <row r="460" spans="1:6" x14ac:dyDescent="0.25">
      <c r="A460" s="42">
        <v>43651</v>
      </c>
      <c r="B460" s="54">
        <v>-5.0154061572544872E-3</v>
      </c>
      <c r="C460" s="54">
        <v>-2.4205233507590407E-3</v>
      </c>
      <c r="D460" s="54">
        <v>-8.6053748251722073E-3</v>
      </c>
      <c r="E460" s="54">
        <v>-4.2279717989690546E-4</v>
      </c>
      <c r="F460" s="54">
        <v>1.2754246818500681E-2</v>
      </c>
    </row>
    <row r="461" spans="1:6" x14ac:dyDescent="0.25">
      <c r="A461" s="42">
        <v>43658</v>
      </c>
      <c r="B461" s="54">
        <v>9.7700905896913603E-4</v>
      </c>
      <c r="C461" s="54">
        <v>8.3504905176782218E-3</v>
      </c>
      <c r="D461" s="54">
        <v>8.7704651413639256E-3</v>
      </c>
      <c r="E461" s="54">
        <v>4.0118422036296009E-3</v>
      </c>
      <c r="F461" s="54">
        <v>-3.5689158554419453E-4</v>
      </c>
    </row>
    <row r="462" spans="1:6" x14ac:dyDescent="0.25">
      <c r="A462" s="42">
        <v>43665</v>
      </c>
      <c r="B462" s="54">
        <v>2.9433610260708454E-3</v>
      </c>
      <c r="C462" s="54">
        <v>-8.3013859216274355E-5</v>
      </c>
      <c r="D462" s="54">
        <v>9.9261614216729077E-3</v>
      </c>
      <c r="E462" s="54">
        <v>-5.1027509783304614E-3</v>
      </c>
      <c r="F462" s="54">
        <v>-9.6597390036804454E-3</v>
      </c>
    </row>
    <row r="463" spans="1:6" x14ac:dyDescent="0.25">
      <c r="A463" s="42">
        <v>43672</v>
      </c>
      <c r="B463" s="54">
        <v>-4.7565494932835239E-3</v>
      </c>
      <c r="C463" s="54">
        <v>-1.2252019255174718E-2</v>
      </c>
      <c r="D463" s="54">
        <v>-9.6672150204254459E-3</v>
      </c>
      <c r="E463" s="54">
        <v>1.6304862193150527E-3</v>
      </c>
      <c r="F463" s="54">
        <v>1.0853879562725988E-2</v>
      </c>
    </row>
    <row r="464" spans="1:6" x14ac:dyDescent="0.25">
      <c r="A464" s="42">
        <v>43679</v>
      </c>
      <c r="B464" s="54">
        <v>3.0650273607452094E-3</v>
      </c>
      <c r="C464" s="54">
        <v>7.9662733405138075E-3</v>
      </c>
      <c r="D464" s="54">
        <v>5.2819983036554996E-3</v>
      </c>
      <c r="E464" s="54">
        <v>-1.4104571863114534E-2</v>
      </c>
      <c r="F464" s="54">
        <v>-1.0180656016148371E-2</v>
      </c>
    </row>
    <row r="465" spans="1:6" x14ac:dyDescent="0.25">
      <c r="A465" s="42">
        <v>43686</v>
      </c>
      <c r="B465" s="54">
        <v>-1.4254831969715553E-3</v>
      </c>
      <c r="C465" s="54">
        <v>7.7490065433767352E-3</v>
      </c>
      <c r="D465" s="54">
        <v>3.6532818387422505E-3</v>
      </c>
      <c r="E465" s="54">
        <v>-1.2360518467699366E-2</v>
      </c>
      <c r="F465" s="54">
        <v>-1.2172009403751183E-2</v>
      </c>
    </row>
    <row r="466" spans="1:6" x14ac:dyDescent="0.25">
      <c r="A466" s="42">
        <v>43693</v>
      </c>
      <c r="B466" s="54">
        <v>-6.2529118398990668E-4</v>
      </c>
      <c r="C466" s="54">
        <v>-5.2889807085121365E-4</v>
      </c>
      <c r="D466" s="54">
        <v>-3.2622488106817116E-3</v>
      </c>
      <c r="E466" s="54">
        <v>-1.3188332404639347E-2</v>
      </c>
      <c r="F466" s="54">
        <v>-2.2573670025729298E-2</v>
      </c>
    </row>
    <row r="467" spans="1:6" x14ac:dyDescent="0.25">
      <c r="A467" s="42">
        <v>43700</v>
      </c>
      <c r="B467" s="54">
        <v>2.7366510907296249E-3</v>
      </c>
      <c r="C467" s="54">
        <v>1.0594656187016716E-2</v>
      </c>
      <c r="D467" s="54">
        <v>5.4778175173750832E-3</v>
      </c>
      <c r="E467" s="54">
        <v>1.3308133011096013E-2</v>
      </c>
      <c r="F467" s="54">
        <v>1.3994577808761344E-2</v>
      </c>
    </row>
    <row r="468" spans="1:6" x14ac:dyDescent="0.25">
      <c r="A468" s="42">
        <v>43707</v>
      </c>
      <c r="B468" s="54">
        <v>8.5714000386261091E-6</v>
      </c>
      <c r="C468" s="54">
        <v>-3.0065282013775896E-3</v>
      </c>
      <c r="D468" s="54">
        <v>-1.3864699716653384E-2</v>
      </c>
      <c r="E468" s="54">
        <v>3.2168954962807916E-3</v>
      </c>
      <c r="F468" s="54">
        <v>-8.3567716438575079E-3</v>
      </c>
    </row>
    <row r="469" spans="1:6" x14ac:dyDescent="0.25">
      <c r="A469" s="42">
        <v>43714</v>
      </c>
      <c r="B469" s="54">
        <v>5.0494019197342421E-3</v>
      </c>
      <c r="C469" s="54">
        <v>-4.1277072130867509E-3</v>
      </c>
      <c r="D469" s="54">
        <v>3.714477538671046E-3</v>
      </c>
      <c r="E469" s="54">
        <v>1.256199280716741E-3</v>
      </c>
      <c r="F469" s="54">
        <v>1.4250995270389311E-2</v>
      </c>
    </row>
    <row r="470" spans="1:6" x14ac:dyDescent="0.25">
      <c r="A470" s="42">
        <v>43721</v>
      </c>
      <c r="B470" s="54">
        <v>4.2314940027823322E-3</v>
      </c>
      <c r="C470" s="54">
        <v>-1.4466609651237139E-2</v>
      </c>
      <c r="D470" s="54">
        <v>-2.2757423780074615E-2</v>
      </c>
      <c r="E470" s="54">
        <v>4.6411648890907209E-2</v>
      </c>
      <c r="F470" s="54">
        <v>4.4568802972952515E-2</v>
      </c>
    </row>
    <row r="471" spans="1:6" x14ac:dyDescent="0.25">
      <c r="A471" s="42">
        <v>43728</v>
      </c>
      <c r="B471" s="54">
        <v>-3.8769635619659848E-3</v>
      </c>
      <c r="C471" s="54">
        <v>3.3773773680982888E-3</v>
      </c>
      <c r="D471" s="54">
        <v>2.131573138111742E-3</v>
      </c>
      <c r="E471" s="54">
        <v>-1.2974379906293243E-2</v>
      </c>
      <c r="F471" s="54">
        <v>-2.0623028503117813E-2</v>
      </c>
    </row>
    <row r="472" spans="1:6" x14ac:dyDescent="0.25">
      <c r="A472" s="42">
        <v>43735</v>
      </c>
      <c r="B472" s="54">
        <v>-5.0274714678339993E-3</v>
      </c>
      <c r="C472" s="54">
        <v>5.175694324970781E-3</v>
      </c>
      <c r="D472" s="54">
        <v>8.7435265779589599E-3</v>
      </c>
      <c r="E472" s="54">
        <v>-1.1919462946372472E-2</v>
      </c>
      <c r="F472" s="54">
        <v>-2.1428842813292492E-2</v>
      </c>
    </row>
    <row r="473" spans="1:6" x14ac:dyDescent="0.25">
      <c r="A473" s="42">
        <v>43742</v>
      </c>
      <c r="B473" s="54">
        <v>-1.5011435517667815E-3</v>
      </c>
      <c r="C473" s="54">
        <v>8.5660267032956483E-3</v>
      </c>
      <c r="D473" s="54">
        <v>9.3985255465318662E-3</v>
      </c>
      <c r="E473" s="54">
        <v>-5.7229015503069691E-3</v>
      </c>
      <c r="F473" s="54">
        <v>-1.2062462418108821E-2</v>
      </c>
    </row>
    <row r="474" spans="1:6" x14ac:dyDescent="0.25">
      <c r="A474" s="42">
        <v>43749</v>
      </c>
      <c r="B474" s="54">
        <v>1.6955171947266034E-3</v>
      </c>
      <c r="C474" s="54">
        <v>-1.4769436449544315E-2</v>
      </c>
      <c r="D474" s="54">
        <v>-8.0259517818410675E-3</v>
      </c>
      <c r="E474" s="54">
        <v>1.9148753660411355E-2</v>
      </c>
      <c r="F474" s="54">
        <v>2.5888199267919854E-2</v>
      </c>
    </row>
    <row r="475" spans="1:6" x14ac:dyDescent="0.25">
      <c r="A475" s="42">
        <v>43756</v>
      </c>
      <c r="B475" s="54">
        <v>-3.8443489323857216E-3</v>
      </c>
      <c r="C475" s="54">
        <v>5.4840427443616502E-3</v>
      </c>
      <c r="D475" s="54">
        <v>1.8760126224433016E-3</v>
      </c>
      <c r="E475" s="54">
        <v>8.2317732486150152E-3</v>
      </c>
      <c r="F475" s="54">
        <v>1.1367508121131076E-2</v>
      </c>
    </row>
    <row r="476" spans="1:6" x14ac:dyDescent="0.25">
      <c r="A476" s="42">
        <v>43763</v>
      </c>
      <c r="B476" s="54">
        <v>-4.9432285387440711E-3</v>
      </c>
      <c r="C476" s="54">
        <v>-1.1808277975298598E-2</v>
      </c>
      <c r="D476" s="54">
        <v>-1.941324194321703E-2</v>
      </c>
      <c r="E476" s="54">
        <v>-6.8567757646738059E-3</v>
      </c>
      <c r="F476" s="54">
        <v>-2.0321525101931748E-3</v>
      </c>
    </row>
    <row r="477" spans="1:6" x14ac:dyDescent="0.25">
      <c r="A477" s="42">
        <v>43770</v>
      </c>
      <c r="B477" s="54">
        <v>6.7178081683363366E-3</v>
      </c>
      <c r="C477" s="54">
        <v>6.0818529789830045E-3</v>
      </c>
      <c r="D477" s="54">
        <v>1.1641617215804256E-2</v>
      </c>
      <c r="E477" s="54">
        <v>8.018334491359802E-3</v>
      </c>
      <c r="F477" s="54">
        <v>9.1560757335154008E-3</v>
      </c>
    </row>
    <row r="478" spans="1:6" x14ac:dyDescent="0.25">
      <c r="A478" s="42">
        <v>43777</v>
      </c>
      <c r="B478" s="54">
        <v>-7.9787063288985216E-3</v>
      </c>
      <c r="C478" s="54">
        <v>-1.6217148947004767E-2</v>
      </c>
      <c r="D478" s="54">
        <v>-1.3932353248626628E-2</v>
      </c>
      <c r="E478" s="54">
        <v>-3.4546375199040469E-3</v>
      </c>
      <c r="F478" s="54">
        <v>1.9101192658881772E-2</v>
      </c>
    </row>
    <row r="479" spans="1:6" x14ac:dyDescent="0.25">
      <c r="A479" s="42">
        <v>43784</v>
      </c>
      <c r="B479" s="54">
        <v>4.6678937551465349E-3</v>
      </c>
      <c r="C479" s="54">
        <v>8.8724254303733652E-3</v>
      </c>
      <c r="D479" s="54">
        <v>2.3942779385561774E-3</v>
      </c>
      <c r="E479" s="54">
        <v>-2.1994582302010679E-3</v>
      </c>
      <c r="F479" s="54">
        <v>-8.8860353265732828E-3</v>
      </c>
    </row>
    <row r="480" spans="1:6" x14ac:dyDescent="0.25">
      <c r="A480" s="42">
        <v>43791</v>
      </c>
      <c r="B480" s="54">
        <v>3.2741328799422709E-3</v>
      </c>
      <c r="C480" s="54">
        <v>6.916423859658849E-3</v>
      </c>
      <c r="D480" s="54">
        <v>-4.7625696053654742E-3</v>
      </c>
      <c r="E480" s="54">
        <v>6.088237167616084E-3</v>
      </c>
      <c r="F480" s="54">
        <v>3.4717868702459631E-3</v>
      </c>
    </row>
    <row r="481" spans="1:7" x14ac:dyDescent="0.25">
      <c r="A481" s="42">
        <v>43798</v>
      </c>
      <c r="B481" s="54">
        <v>1.0290275011937799E-2</v>
      </c>
      <c r="C481" s="54">
        <v>7.1637997646052387E-3</v>
      </c>
      <c r="D481" s="54">
        <v>5.787938629708389E-3</v>
      </c>
      <c r="E481" s="54">
        <v>-6.2834955493403788E-3</v>
      </c>
      <c r="F481" s="54">
        <v>-2.4211675683158962E-3</v>
      </c>
    </row>
    <row r="482" spans="1:7" x14ac:dyDescent="0.25">
      <c r="A482" s="42">
        <v>43805</v>
      </c>
      <c r="B482" s="54">
        <v>8.8232972441552038E-3</v>
      </c>
      <c r="C482" s="54">
        <v>1.3320621046729597E-3</v>
      </c>
      <c r="D482" s="54">
        <v>5.7837230475649148E-3</v>
      </c>
      <c r="E482" s="54">
        <v>1.295109468093314E-2</v>
      </c>
      <c r="F482" s="54">
        <v>3.1736197283606105E-3</v>
      </c>
    </row>
    <row r="483" spans="1:7" x14ac:dyDescent="0.25">
      <c r="A483" s="42">
        <v>43812</v>
      </c>
      <c r="B483" s="54">
        <v>4.4055355220602443E-3</v>
      </c>
      <c r="C483" s="54">
        <v>3.5693626896271535E-3</v>
      </c>
      <c r="D483" s="54">
        <v>1.5446288658027552E-3</v>
      </c>
      <c r="E483" s="54">
        <v>1.5167509814845825E-2</v>
      </c>
      <c r="F483" s="54">
        <v>7.630590558511674E-3</v>
      </c>
    </row>
    <row r="484" spans="1:7" x14ac:dyDescent="0.25">
      <c r="A484" s="42">
        <v>43819</v>
      </c>
      <c r="B484" s="54">
        <v>-1.9917354439360491E-3</v>
      </c>
      <c r="C484" s="54">
        <v>8.4341514984991317E-3</v>
      </c>
      <c r="D484" s="54">
        <v>2.5771478957117289E-3</v>
      </c>
      <c r="E484" s="54">
        <v>-1.1511240345327689E-3</v>
      </c>
      <c r="F484" s="54">
        <v>-6.9715476494323081E-3</v>
      </c>
    </row>
    <row r="485" spans="1:7" x14ac:dyDescent="0.25">
      <c r="A485" s="42">
        <v>43826</v>
      </c>
      <c r="B485" s="54">
        <v>5.4488084785788704E-3</v>
      </c>
      <c r="C485" s="54">
        <v>5.1738858563297185E-3</v>
      </c>
      <c r="D485" s="54">
        <v>6.6944684162113521E-3</v>
      </c>
      <c r="E485" s="54">
        <v>1.2195474028124931E-3</v>
      </c>
      <c r="F485" s="54">
        <v>-3.9288407277012771E-3</v>
      </c>
    </row>
    <row r="486" spans="1:7" x14ac:dyDescent="0.25">
      <c r="A486" s="42">
        <v>43833</v>
      </c>
      <c r="B486" s="54">
        <v>-9.34909962022068E-3</v>
      </c>
      <c r="C486" s="54">
        <v>-1.1900705343882434E-3</v>
      </c>
      <c r="D486" s="54">
        <v>-5.0713785164880898E-3</v>
      </c>
      <c r="E486" s="54">
        <v>1.1476308572344607E-3</v>
      </c>
      <c r="F486" s="54">
        <v>-3.2614601576712587E-3</v>
      </c>
    </row>
    <row r="487" spans="1:7" x14ac:dyDescent="0.25">
      <c r="A487" s="42">
        <v>43840</v>
      </c>
      <c r="B487" s="54">
        <v>2.1834227029415842E-3</v>
      </c>
      <c r="C487" s="54">
        <v>5.7154269505841349E-3</v>
      </c>
      <c r="D487" s="54">
        <v>-3.4883198456511222E-3</v>
      </c>
      <c r="E487" s="54">
        <v>-1.3636864863711073E-2</v>
      </c>
      <c r="F487" s="54">
        <v>-1.3663794625327075E-3</v>
      </c>
    </row>
    <row r="488" spans="1:7" x14ac:dyDescent="0.25">
      <c r="A488" s="42">
        <v>43847</v>
      </c>
      <c r="B488" s="54">
        <v>1.3459643609661232E-3</v>
      </c>
      <c r="C488" s="54">
        <v>7.5744216159436828E-3</v>
      </c>
      <c r="D488" s="54">
        <v>1.522467215543899E-2</v>
      </c>
      <c r="E488" s="54">
        <v>-2.6004564239034966E-3</v>
      </c>
      <c r="F488" s="54">
        <v>-2.2053284724564359E-2</v>
      </c>
    </row>
    <row r="489" spans="1:7" x14ac:dyDescent="0.25">
      <c r="A489" s="42">
        <v>43854</v>
      </c>
      <c r="B489" s="54">
        <v>1.000573456601872E-2</v>
      </c>
      <c r="C489" s="54">
        <v>1.9753641306418102E-2</v>
      </c>
      <c r="D489" s="54">
        <v>1.2683715811620644E-2</v>
      </c>
      <c r="E489" s="54">
        <v>-5.564096532057472E-3</v>
      </c>
      <c r="F489" s="54">
        <v>-1.9468329767651893E-2</v>
      </c>
    </row>
    <row r="490" spans="1:7" x14ac:dyDescent="0.25">
      <c r="G490" s="5"/>
    </row>
    <row r="491" spans="1:7" x14ac:dyDescent="0.25">
      <c r="G491" s="5"/>
    </row>
    <row r="492" spans="1:7" x14ac:dyDescent="0.25">
      <c r="G492" s="5"/>
    </row>
    <row r="493" spans="1:7" x14ac:dyDescent="0.25">
      <c r="G493" s="5"/>
    </row>
    <row r="494" spans="1:7" x14ac:dyDescent="0.25">
      <c r="G494" s="5"/>
    </row>
    <row r="495" spans="1:7" x14ac:dyDescent="0.25">
      <c r="G495" s="5"/>
    </row>
    <row r="496" spans="1:7" x14ac:dyDescent="0.25">
      <c r="G496" s="5"/>
    </row>
    <row r="497" spans="7:7" x14ac:dyDescent="0.25">
      <c r="G497" s="5"/>
    </row>
    <row r="498" spans="7:7" x14ac:dyDescent="0.25">
      <c r="G498" s="5"/>
    </row>
    <row r="499" spans="7:7" x14ac:dyDescent="0.25">
      <c r="G499" s="5"/>
    </row>
    <row r="500" spans="7:7" x14ac:dyDescent="0.25">
      <c r="G500" s="5"/>
    </row>
    <row r="501" spans="7:7" x14ac:dyDescent="0.25">
      <c r="G501" s="5"/>
    </row>
    <row r="502" spans="7:7" x14ac:dyDescent="0.25">
      <c r="G502" s="5"/>
    </row>
    <row r="503" spans="7:7" x14ac:dyDescent="0.25">
      <c r="G503" s="5"/>
    </row>
    <row r="504" spans="7:7" x14ac:dyDescent="0.25">
      <c r="G504" s="5"/>
    </row>
    <row r="505" spans="7:7" x14ac:dyDescent="0.25">
      <c r="G505" s="5"/>
    </row>
    <row r="506" spans="7:7" x14ac:dyDescent="0.25">
      <c r="G506" s="5"/>
    </row>
    <row r="507" spans="7:7" x14ac:dyDescent="0.25">
      <c r="G507" s="5"/>
    </row>
    <row r="508" spans="7:7" x14ac:dyDescent="0.25">
      <c r="G508" s="5"/>
    </row>
    <row r="509" spans="7:7" x14ac:dyDescent="0.25">
      <c r="G509" s="5"/>
    </row>
    <row r="510" spans="7:7" x14ac:dyDescent="0.25">
      <c r="G510" s="5"/>
    </row>
    <row r="511" spans="7:7" x14ac:dyDescent="0.25">
      <c r="G511" s="5"/>
    </row>
    <row r="512" spans="7:7" x14ac:dyDescent="0.25">
      <c r="G512" s="5"/>
    </row>
    <row r="513" spans="7:7" x14ac:dyDescent="0.25">
      <c r="G513" s="5"/>
    </row>
    <row r="514" spans="7:7" x14ac:dyDescent="0.25">
      <c r="G514" s="5"/>
    </row>
    <row r="515" spans="7:7" x14ac:dyDescent="0.25">
      <c r="G515" s="5"/>
    </row>
    <row r="516" spans="7:7" x14ac:dyDescent="0.25">
      <c r="G516" s="5"/>
    </row>
    <row r="517" spans="7:7" x14ac:dyDescent="0.25">
      <c r="G517" s="5"/>
    </row>
    <row r="518" spans="7:7" x14ac:dyDescent="0.25">
      <c r="G518" s="5"/>
    </row>
    <row r="519" spans="7:7" x14ac:dyDescent="0.25">
      <c r="G519" s="5"/>
    </row>
    <row r="520" spans="7:7" x14ac:dyDescent="0.25">
      <c r="G520" s="5"/>
    </row>
    <row r="521" spans="7:7" x14ac:dyDescent="0.25">
      <c r="G521" s="5"/>
    </row>
    <row r="522" spans="7:7" x14ac:dyDescent="0.25">
      <c r="G522" s="5"/>
    </row>
    <row r="523" spans="7:7" x14ac:dyDescent="0.25">
      <c r="G523" s="5"/>
    </row>
    <row r="524" spans="7:7" x14ac:dyDescent="0.25">
      <c r="G524" s="5"/>
    </row>
    <row r="525" spans="7:7" x14ac:dyDescent="0.25">
      <c r="G525" s="5"/>
    </row>
    <row r="526" spans="7:7" x14ac:dyDescent="0.25">
      <c r="G526" s="5"/>
    </row>
    <row r="527" spans="7:7" x14ac:dyDescent="0.25">
      <c r="G527" s="5"/>
    </row>
    <row r="528" spans="7:7" x14ac:dyDescent="0.25">
      <c r="G528" s="5"/>
    </row>
    <row r="529" spans="7:7" x14ac:dyDescent="0.25">
      <c r="G529" s="5"/>
    </row>
    <row r="530" spans="7:7" x14ac:dyDescent="0.25">
      <c r="G530" s="5"/>
    </row>
    <row r="531" spans="7:7" x14ac:dyDescent="0.25">
      <c r="G531" s="5"/>
    </row>
    <row r="532" spans="7:7" x14ac:dyDescent="0.25">
      <c r="G532" s="5"/>
    </row>
    <row r="533" spans="7:7" x14ac:dyDescent="0.25">
      <c r="G533" s="5"/>
    </row>
    <row r="534" spans="7:7" x14ac:dyDescent="0.25">
      <c r="G534" s="5"/>
    </row>
    <row r="535" spans="7:7" x14ac:dyDescent="0.25">
      <c r="G535" s="5"/>
    </row>
    <row r="536" spans="7:7" x14ac:dyDescent="0.25">
      <c r="G536" s="5"/>
    </row>
    <row r="537" spans="7:7" x14ac:dyDescent="0.25">
      <c r="G537" s="5"/>
    </row>
    <row r="538" spans="7:7" x14ac:dyDescent="0.25">
      <c r="G538" s="5"/>
    </row>
    <row r="539" spans="7:7" x14ac:dyDescent="0.25">
      <c r="G539" s="5"/>
    </row>
    <row r="540" spans="7:7" x14ac:dyDescent="0.25">
      <c r="G540" s="5"/>
    </row>
    <row r="541" spans="7:7" x14ac:dyDescent="0.25">
      <c r="G541" s="5"/>
    </row>
    <row r="542" spans="7:7" x14ac:dyDescent="0.25">
      <c r="G542" s="5"/>
    </row>
    <row r="543" spans="7:7" x14ac:dyDescent="0.25">
      <c r="G543" s="5"/>
    </row>
    <row r="544" spans="7:7" x14ac:dyDescent="0.25">
      <c r="G544" s="5"/>
    </row>
    <row r="545" spans="7:7" x14ac:dyDescent="0.25">
      <c r="G545" s="5"/>
    </row>
    <row r="546" spans="7:7" x14ac:dyDescent="0.25">
      <c r="G546" s="5"/>
    </row>
    <row r="547" spans="7:7" x14ac:dyDescent="0.25">
      <c r="G547" s="5"/>
    </row>
    <row r="548" spans="7:7" x14ac:dyDescent="0.25">
      <c r="G548" s="5"/>
    </row>
    <row r="549" spans="7:7" x14ac:dyDescent="0.25">
      <c r="G549" s="5"/>
    </row>
    <row r="550" spans="7:7" x14ac:dyDescent="0.25">
      <c r="G550" s="5"/>
    </row>
    <row r="551" spans="7:7" x14ac:dyDescent="0.25">
      <c r="G551" s="5"/>
    </row>
    <row r="552" spans="7:7" x14ac:dyDescent="0.25">
      <c r="G552" s="5"/>
    </row>
    <row r="553" spans="7:7" x14ac:dyDescent="0.25">
      <c r="G553" s="5"/>
    </row>
    <row r="554" spans="7:7" x14ac:dyDescent="0.25">
      <c r="G554" s="5"/>
    </row>
    <row r="555" spans="7:7" x14ac:dyDescent="0.25">
      <c r="G555" s="5"/>
    </row>
    <row r="556" spans="7:7" x14ac:dyDescent="0.25">
      <c r="G556" s="5"/>
    </row>
    <row r="557" spans="7:7" x14ac:dyDescent="0.25">
      <c r="G557" s="5"/>
    </row>
    <row r="558" spans="7:7" x14ac:dyDescent="0.25">
      <c r="G558" s="5"/>
    </row>
    <row r="559" spans="7:7" x14ac:dyDescent="0.25">
      <c r="G559" s="5"/>
    </row>
    <row r="560" spans="7:7" x14ac:dyDescent="0.25">
      <c r="G560" s="5"/>
    </row>
    <row r="561" spans="7:7" x14ac:dyDescent="0.25">
      <c r="G561" s="5"/>
    </row>
    <row r="562" spans="7:7" x14ac:dyDescent="0.25">
      <c r="G562" s="5"/>
    </row>
    <row r="563" spans="7:7" x14ac:dyDescent="0.25">
      <c r="G563" s="5"/>
    </row>
    <row r="564" spans="7:7" x14ac:dyDescent="0.25">
      <c r="G564" s="5"/>
    </row>
    <row r="565" spans="7:7" x14ac:dyDescent="0.25">
      <c r="G565" s="5"/>
    </row>
    <row r="566" spans="7:7" x14ac:dyDescent="0.25">
      <c r="G566" s="5"/>
    </row>
    <row r="567" spans="7:7" x14ac:dyDescent="0.25">
      <c r="G567" s="5"/>
    </row>
    <row r="568" spans="7:7" x14ac:dyDescent="0.25">
      <c r="G568" s="5"/>
    </row>
    <row r="569" spans="7:7" x14ac:dyDescent="0.25">
      <c r="G569" s="5"/>
    </row>
    <row r="570" spans="7:7" x14ac:dyDescent="0.25">
      <c r="G570" s="5"/>
    </row>
    <row r="571" spans="7:7" x14ac:dyDescent="0.25">
      <c r="G571" s="5"/>
    </row>
    <row r="572" spans="7:7" x14ac:dyDescent="0.25">
      <c r="G572" s="5"/>
    </row>
    <row r="573" spans="7:7" x14ac:dyDescent="0.25">
      <c r="G573" s="5"/>
    </row>
    <row r="574" spans="7:7" x14ac:dyDescent="0.25">
      <c r="G574" s="5"/>
    </row>
    <row r="575" spans="7:7" x14ac:dyDescent="0.25">
      <c r="G575" s="5"/>
    </row>
    <row r="576" spans="7:7" x14ac:dyDescent="0.25">
      <c r="G576" s="5"/>
    </row>
    <row r="577" spans="7:7" x14ac:dyDescent="0.25">
      <c r="G577" s="5"/>
    </row>
    <row r="578" spans="7:7" x14ac:dyDescent="0.25">
      <c r="G578" s="5"/>
    </row>
    <row r="579" spans="7:7" x14ac:dyDescent="0.25">
      <c r="G579" s="5"/>
    </row>
    <row r="580" spans="7:7" x14ac:dyDescent="0.25">
      <c r="G580" s="5"/>
    </row>
    <row r="581" spans="7:7" x14ac:dyDescent="0.25">
      <c r="G581" s="5"/>
    </row>
    <row r="582" spans="7:7" x14ac:dyDescent="0.25">
      <c r="G582" s="5"/>
    </row>
    <row r="583" spans="7:7" x14ac:dyDescent="0.25">
      <c r="G583" s="5"/>
    </row>
    <row r="584" spans="7:7" x14ac:dyDescent="0.25">
      <c r="G584" s="5"/>
    </row>
    <row r="585" spans="7:7" x14ac:dyDescent="0.25">
      <c r="G585" s="5"/>
    </row>
    <row r="586" spans="7:7" x14ac:dyDescent="0.25">
      <c r="G586" s="5"/>
    </row>
    <row r="587" spans="7:7" x14ac:dyDescent="0.25">
      <c r="G587" s="5"/>
    </row>
    <row r="588" spans="7:7" x14ac:dyDescent="0.25">
      <c r="G588" s="5"/>
    </row>
    <row r="589" spans="7:7" x14ac:dyDescent="0.25">
      <c r="G589" s="5"/>
    </row>
    <row r="590" spans="7:7" x14ac:dyDescent="0.25">
      <c r="G590" s="5"/>
    </row>
    <row r="591" spans="7:7" x14ac:dyDescent="0.25">
      <c r="G591" s="5"/>
    </row>
    <row r="592" spans="7:7" x14ac:dyDescent="0.25">
      <c r="G592" s="5"/>
    </row>
    <row r="593" spans="7:7" x14ac:dyDescent="0.25">
      <c r="G593" s="5"/>
    </row>
    <row r="594" spans="7:7" x14ac:dyDescent="0.25">
      <c r="G594" s="5"/>
    </row>
    <row r="595" spans="7:7" x14ac:dyDescent="0.25">
      <c r="G595" s="5"/>
    </row>
    <row r="596" spans="7:7" x14ac:dyDescent="0.25">
      <c r="G596" s="5"/>
    </row>
    <row r="597" spans="7:7" x14ac:dyDescent="0.25">
      <c r="G597" s="5"/>
    </row>
    <row r="598" spans="7:7" x14ac:dyDescent="0.25">
      <c r="G598" s="5"/>
    </row>
    <row r="599" spans="7:7" x14ac:dyDescent="0.25">
      <c r="G599" s="5"/>
    </row>
    <row r="600" spans="7:7" x14ac:dyDescent="0.25">
      <c r="G600" s="5"/>
    </row>
    <row r="601" spans="7:7" x14ac:dyDescent="0.25">
      <c r="G601" s="5"/>
    </row>
    <row r="602" spans="7:7" x14ac:dyDescent="0.25">
      <c r="G602" s="5"/>
    </row>
    <row r="603" spans="7:7" x14ac:dyDescent="0.25">
      <c r="G603" s="5"/>
    </row>
    <row r="604" spans="7:7" x14ac:dyDescent="0.25">
      <c r="G604" s="5"/>
    </row>
    <row r="605" spans="7:7" x14ac:dyDescent="0.25">
      <c r="G605" s="5"/>
    </row>
    <row r="606" spans="7:7" x14ac:dyDescent="0.25">
      <c r="G606" s="5"/>
    </row>
    <row r="607" spans="7:7" x14ac:dyDescent="0.25">
      <c r="G607" s="5"/>
    </row>
    <row r="608" spans="7:7" x14ac:dyDescent="0.25">
      <c r="G608" s="5"/>
    </row>
    <row r="609" spans="7:7" x14ac:dyDescent="0.25">
      <c r="G609" s="5"/>
    </row>
    <row r="610" spans="7:7" x14ac:dyDescent="0.25">
      <c r="G610" s="5"/>
    </row>
    <row r="611" spans="7:7" x14ac:dyDescent="0.25">
      <c r="G611" s="5"/>
    </row>
    <row r="612" spans="7:7" x14ac:dyDescent="0.25">
      <c r="G612" s="5"/>
    </row>
    <row r="613" spans="7:7" x14ac:dyDescent="0.25">
      <c r="G613" s="5"/>
    </row>
    <row r="614" spans="7:7" x14ac:dyDescent="0.25">
      <c r="G614" s="5"/>
    </row>
    <row r="615" spans="7:7" x14ac:dyDescent="0.25">
      <c r="G615" s="5"/>
    </row>
    <row r="616" spans="7:7" x14ac:dyDescent="0.25">
      <c r="G616" s="5"/>
    </row>
    <row r="617" spans="7:7" x14ac:dyDescent="0.25">
      <c r="G617" s="5"/>
    </row>
    <row r="618" spans="7:7" x14ac:dyDescent="0.25">
      <c r="G618" s="5"/>
    </row>
    <row r="619" spans="7:7" x14ac:dyDescent="0.25">
      <c r="G619" s="5"/>
    </row>
    <row r="620" spans="7:7" x14ac:dyDescent="0.25">
      <c r="G620" s="5"/>
    </row>
    <row r="621" spans="7:7" x14ac:dyDescent="0.25">
      <c r="G621" s="5"/>
    </row>
    <row r="622" spans="7:7" x14ac:dyDescent="0.25">
      <c r="G622" s="5"/>
    </row>
    <row r="623" spans="7:7" x14ac:dyDescent="0.25">
      <c r="G623" s="5"/>
    </row>
    <row r="624" spans="7:7" x14ac:dyDescent="0.25">
      <c r="G624" s="5"/>
    </row>
    <row r="625" spans="7:7" x14ac:dyDescent="0.25">
      <c r="G625" s="5"/>
    </row>
    <row r="626" spans="7:7" x14ac:dyDescent="0.25">
      <c r="G626" s="5"/>
    </row>
    <row r="627" spans="7:7" x14ac:dyDescent="0.25">
      <c r="G627" s="5"/>
    </row>
    <row r="628" spans="7:7" x14ac:dyDescent="0.25">
      <c r="G628" s="5"/>
    </row>
    <row r="629" spans="7:7" x14ac:dyDescent="0.25">
      <c r="G629" s="5"/>
    </row>
    <row r="630" spans="7:7" x14ac:dyDescent="0.25">
      <c r="G630" s="5"/>
    </row>
    <row r="631" spans="7:7" x14ac:dyDescent="0.25">
      <c r="G631" s="5"/>
    </row>
    <row r="632" spans="7:7" x14ac:dyDescent="0.25">
      <c r="G632" s="5"/>
    </row>
    <row r="633" spans="7:7" x14ac:dyDescent="0.25">
      <c r="G633" s="5"/>
    </row>
    <row r="634" spans="7:7" x14ac:dyDescent="0.25">
      <c r="G634" s="5"/>
    </row>
    <row r="635" spans="7:7" x14ac:dyDescent="0.25">
      <c r="G635" s="5"/>
    </row>
    <row r="636" spans="7:7" x14ac:dyDescent="0.25">
      <c r="G636" s="5"/>
    </row>
    <row r="637" spans="7:7" x14ac:dyDescent="0.25">
      <c r="G637" s="5"/>
    </row>
    <row r="638" spans="7:7" x14ac:dyDescent="0.25">
      <c r="G638" s="5"/>
    </row>
    <row r="639" spans="7:7" x14ac:dyDescent="0.25">
      <c r="G639" s="5"/>
    </row>
    <row r="640" spans="7:7" x14ac:dyDescent="0.25">
      <c r="G640" s="5"/>
    </row>
    <row r="641" spans="7:7" x14ac:dyDescent="0.25">
      <c r="G641" s="5"/>
    </row>
    <row r="642" spans="7:7" x14ac:dyDescent="0.25">
      <c r="G642" s="5"/>
    </row>
    <row r="643" spans="7:7" x14ac:dyDescent="0.25">
      <c r="G643" s="5"/>
    </row>
    <row r="644" spans="7:7" x14ac:dyDescent="0.25">
      <c r="G644" s="5"/>
    </row>
    <row r="645" spans="7:7" x14ac:dyDescent="0.25">
      <c r="G645" s="5"/>
    </row>
    <row r="646" spans="7:7" x14ac:dyDescent="0.25">
      <c r="G646" s="5"/>
    </row>
    <row r="647" spans="7:7" x14ac:dyDescent="0.25">
      <c r="G647" s="5"/>
    </row>
    <row r="648" spans="7:7" x14ac:dyDescent="0.25">
      <c r="G648" s="5"/>
    </row>
    <row r="649" spans="7:7" x14ac:dyDescent="0.25">
      <c r="G649" s="5"/>
    </row>
    <row r="650" spans="7:7" x14ac:dyDescent="0.25">
      <c r="G650" s="5"/>
    </row>
    <row r="651" spans="7:7" x14ac:dyDescent="0.25">
      <c r="G651" s="5"/>
    </row>
    <row r="652" spans="7:7" x14ac:dyDescent="0.25">
      <c r="G652" s="5"/>
    </row>
    <row r="653" spans="7:7" x14ac:dyDescent="0.25">
      <c r="G653" s="5"/>
    </row>
    <row r="654" spans="7:7" x14ac:dyDescent="0.25">
      <c r="G654" s="5"/>
    </row>
    <row r="655" spans="7:7" x14ac:dyDescent="0.25">
      <c r="G655" s="5"/>
    </row>
    <row r="656" spans="7:7" x14ac:dyDescent="0.25">
      <c r="G656" s="5"/>
    </row>
    <row r="657" spans="7:7" x14ac:dyDescent="0.25">
      <c r="G657" s="5"/>
    </row>
    <row r="658" spans="7:7" x14ac:dyDescent="0.25">
      <c r="G658" s="5"/>
    </row>
    <row r="659" spans="7:7" x14ac:dyDescent="0.25">
      <c r="G659" s="5"/>
    </row>
    <row r="660" spans="7:7" x14ac:dyDescent="0.25">
      <c r="G660" s="5"/>
    </row>
    <row r="661" spans="7:7" x14ac:dyDescent="0.25">
      <c r="G661" s="5"/>
    </row>
    <row r="662" spans="7:7" x14ac:dyDescent="0.25">
      <c r="G662" s="5"/>
    </row>
    <row r="663" spans="7:7" x14ac:dyDescent="0.25">
      <c r="G663" s="5"/>
    </row>
    <row r="664" spans="7:7" x14ac:dyDescent="0.25">
      <c r="G664" s="5"/>
    </row>
    <row r="665" spans="7:7" x14ac:dyDescent="0.25">
      <c r="G665" s="5"/>
    </row>
    <row r="666" spans="7:7" x14ac:dyDescent="0.25">
      <c r="G666" s="5"/>
    </row>
    <row r="667" spans="7:7" x14ac:dyDescent="0.25">
      <c r="G667" s="5"/>
    </row>
    <row r="668" spans="7:7" x14ac:dyDescent="0.25">
      <c r="G668" s="5"/>
    </row>
    <row r="669" spans="7:7" x14ac:dyDescent="0.25">
      <c r="G669" s="5"/>
    </row>
    <row r="670" spans="7:7" x14ac:dyDescent="0.25">
      <c r="G670" s="5"/>
    </row>
    <row r="671" spans="7:7" x14ac:dyDescent="0.25">
      <c r="G671" s="5"/>
    </row>
    <row r="672" spans="7:7" x14ac:dyDescent="0.25">
      <c r="G672" s="5"/>
    </row>
    <row r="673" spans="7:7" x14ac:dyDescent="0.25">
      <c r="G673" s="5"/>
    </row>
    <row r="674" spans="7:7" x14ac:dyDescent="0.25">
      <c r="G674" s="5"/>
    </row>
    <row r="675" spans="7:7" x14ac:dyDescent="0.25">
      <c r="G675" s="5"/>
    </row>
    <row r="676" spans="7:7" x14ac:dyDescent="0.25">
      <c r="G676" s="5"/>
    </row>
    <row r="677" spans="7:7" x14ac:dyDescent="0.25">
      <c r="G677" s="5"/>
    </row>
    <row r="678" spans="7:7" x14ac:dyDescent="0.25">
      <c r="G678" s="5"/>
    </row>
    <row r="679" spans="7:7" x14ac:dyDescent="0.25">
      <c r="G679" s="5"/>
    </row>
    <row r="680" spans="7:7" x14ac:dyDescent="0.25">
      <c r="G680" s="5"/>
    </row>
    <row r="681" spans="7:7" x14ac:dyDescent="0.25">
      <c r="G681" s="5"/>
    </row>
    <row r="682" spans="7:7" x14ac:dyDescent="0.25">
      <c r="G682" s="5"/>
    </row>
    <row r="683" spans="7:7" x14ac:dyDescent="0.25">
      <c r="G683" s="5"/>
    </row>
    <row r="684" spans="7:7" x14ac:dyDescent="0.25">
      <c r="G684" s="5"/>
    </row>
    <row r="685" spans="7:7" x14ac:dyDescent="0.25">
      <c r="G685" s="5"/>
    </row>
    <row r="686" spans="7:7" x14ac:dyDescent="0.25">
      <c r="G686" s="5"/>
    </row>
    <row r="687" spans="7:7" x14ac:dyDescent="0.25">
      <c r="G687" s="5"/>
    </row>
    <row r="688" spans="7:7" x14ac:dyDescent="0.25">
      <c r="G688" s="5"/>
    </row>
    <row r="689" spans="7:7" x14ac:dyDescent="0.25">
      <c r="G689" s="5"/>
    </row>
    <row r="690" spans="7:7" x14ac:dyDescent="0.25">
      <c r="G690" s="5"/>
    </row>
    <row r="691" spans="7:7" x14ac:dyDescent="0.25">
      <c r="G691" s="5"/>
    </row>
    <row r="692" spans="7:7" x14ac:dyDescent="0.25">
      <c r="G692" s="5"/>
    </row>
    <row r="693" spans="7:7" x14ac:dyDescent="0.25">
      <c r="G693" s="5"/>
    </row>
    <row r="694" spans="7:7" x14ac:dyDescent="0.25">
      <c r="G694" s="5"/>
    </row>
    <row r="695" spans="7:7" x14ac:dyDescent="0.25">
      <c r="G695" s="5"/>
    </row>
    <row r="696" spans="7:7" x14ac:dyDescent="0.25">
      <c r="G696" s="5"/>
    </row>
    <row r="697" spans="7:7" x14ac:dyDescent="0.25">
      <c r="G697" s="5"/>
    </row>
    <row r="698" spans="7:7" x14ac:dyDescent="0.25">
      <c r="G698" s="5"/>
    </row>
    <row r="699" spans="7:7" x14ac:dyDescent="0.25">
      <c r="G699" s="5"/>
    </row>
    <row r="700" spans="7:7" x14ac:dyDescent="0.25">
      <c r="G700" s="5"/>
    </row>
    <row r="701" spans="7:7" x14ac:dyDescent="0.25">
      <c r="G701" s="5"/>
    </row>
    <row r="702" spans="7:7" x14ac:dyDescent="0.25">
      <c r="G702" s="5"/>
    </row>
    <row r="703" spans="7:7" x14ac:dyDescent="0.25">
      <c r="G703" s="5"/>
    </row>
    <row r="704" spans="7:7" x14ac:dyDescent="0.25">
      <c r="G704" s="5"/>
    </row>
    <row r="705" spans="7:7" x14ac:dyDescent="0.25">
      <c r="G705" s="5"/>
    </row>
    <row r="706" spans="7:7" x14ac:dyDescent="0.25">
      <c r="G706" s="5"/>
    </row>
    <row r="707" spans="7:7" x14ac:dyDescent="0.25">
      <c r="G707" s="5"/>
    </row>
    <row r="708" spans="7:7" x14ac:dyDescent="0.25">
      <c r="G708" s="5"/>
    </row>
    <row r="709" spans="7:7" x14ac:dyDescent="0.25">
      <c r="G709" s="5"/>
    </row>
    <row r="710" spans="7:7" x14ac:dyDescent="0.25">
      <c r="G710" s="5"/>
    </row>
    <row r="711" spans="7:7" x14ac:dyDescent="0.25">
      <c r="G711" s="5"/>
    </row>
    <row r="712" spans="7:7" x14ac:dyDescent="0.25">
      <c r="G712" s="5"/>
    </row>
    <row r="713" spans="7:7" x14ac:dyDescent="0.25">
      <c r="G713" s="5"/>
    </row>
    <row r="714" spans="7:7" x14ac:dyDescent="0.25">
      <c r="G714" s="5"/>
    </row>
    <row r="715" spans="7:7" x14ac:dyDescent="0.25">
      <c r="G715" s="5"/>
    </row>
    <row r="716" spans="7:7" x14ac:dyDescent="0.25">
      <c r="G716" s="5"/>
    </row>
    <row r="717" spans="7:7" x14ac:dyDescent="0.25">
      <c r="G717" s="5"/>
    </row>
    <row r="718" spans="7:7" x14ac:dyDescent="0.25">
      <c r="G718" s="5"/>
    </row>
    <row r="719" spans="7:7" x14ac:dyDescent="0.25">
      <c r="G719" s="5"/>
    </row>
    <row r="720" spans="7:7" x14ac:dyDescent="0.25">
      <c r="G720" s="5"/>
    </row>
    <row r="721" spans="7:7" x14ac:dyDescent="0.25">
      <c r="G721" s="5"/>
    </row>
    <row r="722" spans="7:7" x14ac:dyDescent="0.25">
      <c r="G722" s="5"/>
    </row>
    <row r="723" spans="7:7" x14ac:dyDescent="0.25">
      <c r="G723" s="5"/>
    </row>
    <row r="724" spans="7:7" x14ac:dyDescent="0.25">
      <c r="G724" s="5"/>
    </row>
    <row r="725" spans="7:7" x14ac:dyDescent="0.25">
      <c r="G725" s="5"/>
    </row>
    <row r="726" spans="7:7" x14ac:dyDescent="0.25">
      <c r="G726" s="5"/>
    </row>
    <row r="727" spans="7:7" x14ac:dyDescent="0.25">
      <c r="G727" s="5"/>
    </row>
    <row r="728" spans="7:7" x14ac:dyDescent="0.25">
      <c r="G728" s="5"/>
    </row>
    <row r="729" spans="7:7" x14ac:dyDescent="0.25">
      <c r="G729" s="5"/>
    </row>
    <row r="730" spans="7:7" x14ac:dyDescent="0.25">
      <c r="G730" s="5"/>
    </row>
    <row r="731" spans="7:7" x14ac:dyDescent="0.25">
      <c r="G731" s="5"/>
    </row>
    <row r="732" spans="7:7" x14ac:dyDescent="0.25">
      <c r="G732" s="5"/>
    </row>
    <row r="733" spans="7:7" x14ac:dyDescent="0.25">
      <c r="G733" s="5"/>
    </row>
    <row r="734" spans="7:7" x14ac:dyDescent="0.25">
      <c r="G734" s="5"/>
    </row>
    <row r="735" spans="7:7" x14ac:dyDescent="0.25">
      <c r="G735" s="5"/>
    </row>
    <row r="736" spans="7:7" x14ac:dyDescent="0.25">
      <c r="G736" s="5"/>
    </row>
    <row r="737" spans="7:7" x14ac:dyDescent="0.25">
      <c r="G737" s="5"/>
    </row>
    <row r="738" spans="7:7" x14ac:dyDescent="0.25">
      <c r="G738" s="5"/>
    </row>
    <row r="739" spans="7:7" x14ac:dyDescent="0.25">
      <c r="G739" s="5"/>
    </row>
    <row r="740" spans="7:7" x14ac:dyDescent="0.25">
      <c r="G740" s="5"/>
    </row>
    <row r="741" spans="7:7" x14ac:dyDescent="0.25">
      <c r="G741" s="5"/>
    </row>
    <row r="742" spans="7:7" x14ac:dyDescent="0.25">
      <c r="G742" s="5"/>
    </row>
    <row r="743" spans="7:7" x14ac:dyDescent="0.25">
      <c r="G743" s="5"/>
    </row>
    <row r="744" spans="7:7" x14ac:dyDescent="0.25">
      <c r="G744" s="5"/>
    </row>
    <row r="745" spans="7:7" x14ac:dyDescent="0.25">
      <c r="G745" s="5"/>
    </row>
    <row r="746" spans="7:7" x14ac:dyDescent="0.25">
      <c r="G746" s="5"/>
    </row>
    <row r="747" spans="7:7" x14ac:dyDescent="0.25">
      <c r="G747" s="5"/>
    </row>
    <row r="748" spans="7:7" x14ac:dyDescent="0.25">
      <c r="G748" s="5"/>
    </row>
    <row r="749" spans="7:7" x14ac:dyDescent="0.25">
      <c r="G749" s="5"/>
    </row>
    <row r="750" spans="7:7" x14ac:dyDescent="0.25">
      <c r="G750" s="5"/>
    </row>
    <row r="751" spans="7:7" x14ac:dyDescent="0.25">
      <c r="G751" s="5"/>
    </row>
    <row r="752" spans="7:7" x14ac:dyDescent="0.25">
      <c r="G752" s="5"/>
    </row>
    <row r="753" spans="7:7" x14ac:dyDescent="0.25">
      <c r="G753" s="5"/>
    </row>
    <row r="754" spans="7:7" x14ac:dyDescent="0.25">
      <c r="G754" s="5"/>
    </row>
    <row r="755" spans="7:7" x14ac:dyDescent="0.25">
      <c r="G755" s="5"/>
    </row>
    <row r="756" spans="7:7" x14ac:dyDescent="0.25">
      <c r="G756" s="5"/>
    </row>
    <row r="757" spans="7:7" x14ac:dyDescent="0.25">
      <c r="G757" s="5"/>
    </row>
    <row r="758" spans="7:7" x14ac:dyDescent="0.25">
      <c r="G758" s="5"/>
    </row>
    <row r="759" spans="7:7" x14ac:dyDescent="0.25">
      <c r="G759" s="5"/>
    </row>
    <row r="760" spans="7:7" x14ac:dyDescent="0.25">
      <c r="G760" s="5"/>
    </row>
    <row r="761" spans="7:7" x14ac:dyDescent="0.25">
      <c r="G761" s="5"/>
    </row>
    <row r="762" spans="7:7" x14ac:dyDescent="0.25">
      <c r="G762" s="5"/>
    </row>
    <row r="763" spans="7:7" x14ac:dyDescent="0.25">
      <c r="G763" s="5"/>
    </row>
    <row r="764" spans="7:7" x14ac:dyDescent="0.25">
      <c r="G764" s="5"/>
    </row>
    <row r="765" spans="7:7" x14ac:dyDescent="0.25">
      <c r="G765" s="5"/>
    </row>
    <row r="766" spans="7:7" x14ac:dyDescent="0.25">
      <c r="G766" s="5"/>
    </row>
    <row r="767" spans="7:7" x14ac:dyDescent="0.25">
      <c r="G767" s="5"/>
    </row>
    <row r="768" spans="7:7" x14ac:dyDescent="0.25">
      <c r="G768" s="5"/>
    </row>
    <row r="769" spans="7:7" x14ac:dyDescent="0.25">
      <c r="G769" s="5"/>
    </row>
    <row r="770" spans="7:7" x14ac:dyDescent="0.25">
      <c r="G770" s="5"/>
    </row>
    <row r="771" spans="7:7" x14ac:dyDescent="0.25">
      <c r="G771" s="5"/>
    </row>
    <row r="772" spans="7:7" x14ac:dyDescent="0.25">
      <c r="G772" s="5"/>
    </row>
    <row r="773" spans="7:7" x14ac:dyDescent="0.25">
      <c r="G773" s="5"/>
    </row>
    <row r="774" spans="7:7" x14ac:dyDescent="0.25">
      <c r="G774" s="5"/>
    </row>
    <row r="775" spans="7:7" x14ac:dyDescent="0.25">
      <c r="G775" s="5"/>
    </row>
    <row r="776" spans="7:7" x14ac:dyDescent="0.25">
      <c r="G776" s="5"/>
    </row>
    <row r="777" spans="7:7" x14ac:dyDescent="0.25">
      <c r="G777" s="5"/>
    </row>
    <row r="778" spans="7:7" x14ac:dyDescent="0.25">
      <c r="G778" s="5"/>
    </row>
    <row r="779" spans="7:7" x14ac:dyDescent="0.25">
      <c r="G779" s="5"/>
    </row>
    <row r="780" spans="7:7" x14ac:dyDescent="0.25">
      <c r="G780" s="5"/>
    </row>
    <row r="781" spans="7:7" x14ac:dyDescent="0.25">
      <c r="G781" s="5"/>
    </row>
    <row r="782" spans="7:7" x14ac:dyDescent="0.25">
      <c r="G782" s="5"/>
    </row>
    <row r="783" spans="7:7" x14ac:dyDescent="0.25">
      <c r="G783" s="5"/>
    </row>
    <row r="784" spans="7:7" x14ac:dyDescent="0.25">
      <c r="G784" s="5"/>
    </row>
    <row r="785" spans="7:7" x14ac:dyDescent="0.25">
      <c r="G785" s="5"/>
    </row>
    <row r="786" spans="7:7" x14ac:dyDescent="0.25">
      <c r="G786" s="5"/>
    </row>
    <row r="787" spans="7:7" x14ac:dyDescent="0.25">
      <c r="G787" s="5"/>
    </row>
    <row r="788" spans="7:7" x14ac:dyDescent="0.25">
      <c r="G788" s="5"/>
    </row>
    <row r="789" spans="7:7" x14ac:dyDescent="0.25">
      <c r="G789" s="5"/>
    </row>
    <row r="790" spans="7:7" x14ac:dyDescent="0.25">
      <c r="G790" s="5"/>
    </row>
    <row r="791" spans="7:7" x14ac:dyDescent="0.25">
      <c r="G791" s="5"/>
    </row>
    <row r="792" spans="7:7" x14ac:dyDescent="0.25">
      <c r="G792" s="5"/>
    </row>
    <row r="793" spans="7:7" x14ac:dyDescent="0.25">
      <c r="G793" s="5"/>
    </row>
    <row r="794" spans="7:7" x14ac:dyDescent="0.25">
      <c r="G794" s="5"/>
    </row>
    <row r="795" spans="7:7" x14ac:dyDescent="0.25">
      <c r="G795" s="5"/>
    </row>
    <row r="796" spans="7:7" x14ac:dyDescent="0.25">
      <c r="G796" s="5"/>
    </row>
    <row r="797" spans="7:7" x14ac:dyDescent="0.25">
      <c r="G797" s="5"/>
    </row>
    <row r="798" spans="7:7" x14ac:dyDescent="0.25">
      <c r="G798" s="5"/>
    </row>
    <row r="799" spans="7:7" x14ac:dyDescent="0.25">
      <c r="G799" s="5"/>
    </row>
    <row r="800" spans="7:7" x14ac:dyDescent="0.25">
      <c r="G800" s="5"/>
    </row>
    <row r="801" spans="7:7" x14ac:dyDescent="0.25">
      <c r="G801" s="5"/>
    </row>
    <row r="802" spans="7:7" x14ac:dyDescent="0.25">
      <c r="G802" s="5"/>
    </row>
    <row r="803" spans="7:7" x14ac:dyDescent="0.25">
      <c r="G803" s="5"/>
    </row>
    <row r="804" spans="7:7" x14ac:dyDescent="0.25">
      <c r="G804" s="5"/>
    </row>
    <row r="805" spans="7:7" x14ac:dyDescent="0.25">
      <c r="G805" s="5"/>
    </row>
    <row r="806" spans="7:7" x14ac:dyDescent="0.25">
      <c r="G806" s="5"/>
    </row>
    <row r="807" spans="7:7" x14ac:dyDescent="0.25">
      <c r="G807" s="5"/>
    </row>
    <row r="808" spans="7:7" x14ac:dyDescent="0.25">
      <c r="G808" s="5"/>
    </row>
    <row r="809" spans="7:7" x14ac:dyDescent="0.25">
      <c r="G809" s="5"/>
    </row>
    <row r="810" spans="7:7" x14ac:dyDescent="0.25">
      <c r="G810" s="5"/>
    </row>
    <row r="811" spans="7:7" x14ac:dyDescent="0.25">
      <c r="G811" s="5"/>
    </row>
    <row r="812" spans="7:7" x14ac:dyDescent="0.25">
      <c r="G812" s="5"/>
    </row>
    <row r="813" spans="7:7" x14ac:dyDescent="0.25">
      <c r="G813" s="5"/>
    </row>
    <row r="814" spans="7:7" x14ac:dyDescent="0.25">
      <c r="G814" s="5"/>
    </row>
    <row r="815" spans="7:7" x14ac:dyDescent="0.25">
      <c r="G815" s="5"/>
    </row>
    <row r="816" spans="7:7" x14ac:dyDescent="0.25">
      <c r="G816" s="5"/>
    </row>
    <row r="817" spans="7:7" x14ac:dyDescent="0.25">
      <c r="G817" s="5"/>
    </row>
    <row r="818" spans="7:7" x14ac:dyDescent="0.25">
      <c r="G818" s="5"/>
    </row>
    <row r="819" spans="7:7" x14ac:dyDescent="0.25">
      <c r="G819" s="5"/>
    </row>
    <row r="820" spans="7:7" x14ac:dyDescent="0.25">
      <c r="G820" s="5"/>
    </row>
    <row r="821" spans="7:7" x14ac:dyDescent="0.25">
      <c r="G821" s="5"/>
    </row>
    <row r="822" spans="7:7" x14ac:dyDescent="0.25">
      <c r="G822" s="5"/>
    </row>
    <row r="823" spans="7:7" x14ac:dyDescent="0.25">
      <c r="G823" s="5"/>
    </row>
    <row r="824" spans="7:7" x14ac:dyDescent="0.25">
      <c r="G824" s="5"/>
    </row>
    <row r="825" spans="7:7" x14ac:dyDescent="0.25">
      <c r="G825" s="5"/>
    </row>
    <row r="826" spans="7:7" x14ac:dyDescent="0.25">
      <c r="G826" s="5"/>
    </row>
    <row r="827" spans="7:7" x14ac:dyDescent="0.25">
      <c r="G827" s="5"/>
    </row>
    <row r="828" spans="7:7" x14ac:dyDescent="0.25">
      <c r="G828" s="5"/>
    </row>
    <row r="829" spans="7:7" x14ac:dyDescent="0.25">
      <c r="G829" s="5"/>
    </row>
    <row r="830" spans="7:7" x14ac:dyDescent="0.25">
      <c r="G830" s="5"/>
    </row>
    <row r="831" spans="7:7" x14ac:dyDescent="0.25">
      <c r="G831" s="5"/>
    </row>
    <row r="832" spans="7:7" x14ac:dyDescent="0.25">
      <c r="G832" s="5"/>
    </row>
    <row r="833" spans="7:7" x14ac:dyDescent="0.25">
      <c r="G833" s="5"/>
    </row>
    <row r="834" spans="7:7" x14ac:dyDescent="0.25">
      <c r="G834" s="5"/>
    </row>
    <row r="835" spans="7:7" x14ac:dyDescent="0.25">
      <c r="G835" s="5"/>
    </row>
    <row r="836" spans="7:7" x14ac:dyDescent="0.25">
      <c r="G836" s="5"/>
    </row>
    <row r="837" spans="7:7" x14ac:dyDescent="0.25">
      <c r="G837" s="5"/>
    </row>
    <row r="838" spans="7:7" x14ac:dyDescent="0.25">
      <c r="G838" s="5"/>
    </row>
    <row r="839" spans="7:7" x14ac:dyDescent="0.25">
      <c r="G839" s="5"/>
    </row>
    <row r="840" spans="7:7" x14ac:dyDescent="0.25">
      <c r="G840" s="5"/>
    </row>
    <row r="841" spans="7:7" x14ac:dyDescent="0.25">
      <c r="G841" s="5"/>
    </row>
    <row r="842" spans="7:7" x14ac:dyDescent="0.25">
      <c r="G842" s="5"/>
    </row>
    <row r="843" spans="7:7" x14ac:dyDescent="0.25">
      <c r="G843" s="5"/>
    </row>
    <row r="844" spans="7:7" x14ac:dyDescent="0.25">
      <c r="G844" s="5"/>
    </row>
    <row r="845" spans="7:7" x14ac:dyDescent="0.25">
      <c r="G845" s="5"/>
    </row>
    <row r="846" spans="7:7" x14ac:dyDescent="0.25">
      <c r="G846" s="5"/>
    </row>
    <row r="847" spans="7:7" x14ac:dyDescent="0.25">
      <c r="G847" s="5"/>
    </row>
    <row r="848" spans="7:7" x14ac:dyDescent="0.25">
      <c r="G848" s="5"/>
    </row>
    <row r="849" spans="7:7" x14ac:dyDescent="0.25">
      <c r="G849" s="5"/>
    </row>
    <row r="850" spans="7:7" x14ac:dyDescent="0.25">
      <c r="G850" s="5"/>
    </row>
    <row r="851" spans="7:7" x14ac:dyDescent="0.25">
      <c r="G851" s="5"/>
    </row>
    <row r="852" spans="7:7" x14ac:dyDescent="0.25">
      <c r="G852" s="5"/>
    </row>
    <row r="853" spans="7:7" x14ac:dyDescent="0.25">
      <c r="G853" s="5"/>
    </row>
    <row r="854" spans="7:7" x14ac:dyDescent="0.25">
      <c r="G854" s="5"/>
    </row>
    <row r="855" spans="7:7" x14ac:dyDescent="0.25">
      <c r="G855" s="5"/>
    </row>
    <row r="856" spans="7:7" x14ac:dyDescent="0.25">
      <c r="G856" s="5"/>
    </row>
    <row r="857" spans="7:7" x14ac:dyDescent="0.25">
      <c r="G857" s="5"/>
    </row>
    <row r="858" spans="7:7" x14ac:dyDescent="0.25">
      <c r="G858" s="5"/>
    </row>
    <row r="859" spans="7:7" x14ac:dyDescent="0.25">
      <c r="G859" s="5"/>
    </row>
    <row r="860" spans="7:7" x14ac:dyDescent="0.25">
      <c r="G860" s="5"/>
    </row>
    <row r="861" spans="7:7" x14ac:dyDescent="0.25">
      <c r="G861" s="5"/>
    </row>
    <row r="862" spans="7:7" x14ac:dyDescent="0.25">
      <c r="G862" s="5"/>
    </row>
    <row r="863" spans="7:7" x14ac:dyDescent="0.25">
      <c r="G863" s="5"/>
    </row>
    <row r="864" spans="7:7" x14ac:dyDescent="0.25">
      <c r="G864" s="5"/>
    </row>
    <row r="865" spans="7:7" x14ac:dyDescent="0.25">
      <c r="G865" s="5"/>
    </row>
    <row r="866" spans="7:7" x14ac:dyDescent="0.25">
      <c r="G866" s="5"/>
    </row>
    <row r="867" spans="7:7" x14ac:dyDescent="0.25">
      <c r="G867" s="5"/>
    </row>
    <row r="868" spans="7:7" x14ac:dyDescent="0.25">
      <c r="G868" s="5"/>
    </row>
    <row r="869" spans="7:7" x14ac:dyDescent="0.25">
      <c r="G869" s="5"/>
    </row>
    <row r="870" spans="7:7" x14ac:dyDescent="0.25">
      <c r="G870" s="5"/>
    </row>
    <row r="871" spans="7:7" x14ac:dyDescent="0.25">
      <c r="G871" s="5"/>
    </row>
    <row r="872" spans="7:7" x14ac:dyDescent="0.25">
      <c r="G872" s="5"/>
    </row>
    <row r="873" spans="7:7" x14ac:dyDescent="0.25">
      <c r="G873" s="5"/>
    </row>
    <row r="874" spans="7:7" x14ac:dyDescent="0.25">
      <c r="G874" s="5"/>
    </row>
    <row r="875" spans="7:7" x14ac:dyDescent="0.25">
      <c r="G875" s="5"/>
    </row>
    <row r="876" spans="7:7" x14ac:dyDescent="0.25">
      <c r="G876" s="5"/>
    </row>
    <row r="877" spans="7:7" x14ac:dyDescent="0.25">
      <c r="G877" s="5"/>
    </row>
    <row r="878" spans="7:7" x14ac:dyDescent="0.25">
      <c r="G878" s="5"/>
    </row>
    <row r="879" spans="7:7" x14ac:dyDescent="0.25">
      <c r="G879" s="5"/>
    </row>
    <row r="880" spans="7:7" x14ac:dyDescent="0.25">
      <c r="G880" s="5"/>
    </row>
    <row r="881" spans="7:7" x14ac:dyDescent="0.25">
      <c r="G881" s="5"/>
    </row>
    <row r="882" spans="7:7" x14ac:dyDescent="0.25">
      <c r="G882" s="5"/>
    </row>
    <row r="883" spans="7:7" x14ac:dyDescent="0.25">
      <c r="G883" s="5"/>
    </row>
    <row r="884" spans="7:7" x14ac:dyDescent="0.25">
      <c r="G884" s="5"/>
    </row>
    <row r="885" spans="7:7" x14ac:dyDescent="0.25">
      <c r="G885" s="5"/>
    </row>
    <row r="886" spans="7:7" x14ac:dyDescent="0.25">
      <c r="G886" s="5"/>
    </row>
    <row r="887" spans="7:7" x14ac:dyDescent="0.25">
      <c r="G887" s="5"/>
    </row>
    <row r="888" spans="7:7" x14ac:dyDescent="0.25">
      <c r="G888" s="5"/>
    </row>
    <row r="889" spans="7:7" x14ac:dyDescent="0.25">
      <c r="G889" s="5"/>
    </row>
    <row r="890" spans="7:7" x14ac:dyDescent="0.25">
      <c r="G890" s="5"/>
    </row>
    <row r="891" spans="7:7" x14ac:dyDescent="0.25">
      <c r="G891" s="5"/>
    </row>
    <row r="892" spans="7:7" x14ac:dyDescent="0.25">
      <c r="G892" s="5"/>
    </row>
    <row r="893" spans="7:7" x14ac:dyDescent="0.25">
      <c r="G893" s="5"/>
    </row>
    <row r="894" spans="7:7" x14ac:dyDescent="0.25">
      <c r="G894" s="5"/>
    </row>
    <row r="895" spans="7:7" x14ac:dyDescent="0.25">
      <c r="G895" s="5"/>
    </row>
    <row r="896" spans="7:7" x14ac:dyDescent="0.25">
      <c r="G896" s="5"/>
    </row>
    <row r="897" spans="7:7" x14ac:dyDescent="0.25">
      <c r="G897" s="5"/>
    </row>
    <row r="898" spans="7:7" x14ac:dyDescent="0.25">
      <c r="G898" s="5"/>
    </row>
    <row r="899" spans="7:7" x14ac:dyDescent="0.25">
      <c r="G899" s="5"/>
    </row>
    <row r="900" spans="7:7" x14ac:dyDescent="0.25">
      <c r="G900" s="5"/>
    </row>
    <row r="901" spans="7:7" x14ac:dyDescent="0.25">
      <c r="G901" s="5"/>
    </row>
    <row r="902" spans="7:7" x14ac:dyDescent="0.25">
      <c r="G902" s="5"/>
    </row>
    <row r="903" spans="7:7" x14ac:dyDescent="0.25">
      <c r="G903" s="5"/>
    </row>
    <row r="904" spans="7:7" x14ac:dyDescent="0.25">
      <c r="G904" s="5"/>
    </row>
    <row r="905" spans="7:7" x14ac:dyDescent="0.25">
      <c r="G905" s="5"/>
    </row>
    <row r="906" spans="7:7" x14ac:dyDescent="0.25">
      <c r="G906" s="5"/>
    </row>
    <row r="907" spans="7:7" x14ac:dyDescent="0.25">
      <c r="G907" s="5"/>
    </row>
    <row r="908" spans="7:7" x14ac:dyDescent="0.25">
      <c r="G908" s="5"/>
    </row>
    <row r="909" spans="7:7" x14ac:dyDescent="0.25">
      <c r="G909" s="5"/>
    </row>
    <row r="910" spans="7:7" x14ac:dyDescent="0.25">
      <c r="G910" s="5"/>
    </row>
    <row r="911" spans="7:7" x14ac:dyDescent="0.25">
      <c r="G911" s="5"/>
    </row>
    <row r="912" spans="7:7" x14ac:dyDescent="0.25">
      <c r="G912" s="5"/>
    </row>
    <row r="913" spans="7:7" x14ac:dyDescent="0.25">
      <c r="G913" s="5"/>
    </row>
    <row r="914" spans="7:7" x14ac:dyDescent="0.25">
      <c r="G914" s="5"/>
    </row>
    <row r="915" spans="7:7" x14ac:dyDescent="0.25">
      <c r="G915" s="5"/>
    </row>
    <row r="916" spans="7:7" x14ac:dyDescent="0.25">
      <c r="G916" s="5"/>
    </row>
    <row r="917" spans="7:7" x14ac:dyDescent="0.25">
      <c r="G917" s="5"/>
    </row>
    <row r="918" spans="7:7" x14ac:dyDescent="0.25">
      <c r="G918" s="5"/>
    </row>
    <row r="919" spans="7:7" x14ac:dyDescent="0.25">
      <c r="G919" s="5"/>
    </row>
    <row r="920" spans="7:7" x14ac:dyDescent="0.25">
      <c r="G920" s="5"/>
    </row>
    <row r="921" spans="7:7" x14ac:dyDescent="0.25">
      <c r="G921" s="5"/>
    </row>
    <row r="922" spans="7:7" x14ac:dyDescent="0.25">
      <c r="G922" s="5"/>
    </row>
    <row r="923" spans="7:7" x14ac:dyDescent="0.25">
      <c r="G923" s="5"/>
    </row>
    <row r="924" spans="7:7" x14ac:dyDescent="0.25">
      <c r="G924" s="5"/>
    </row>
    <row r="925" spans="7:7" x14ac:dyDescent="0.25">
      <c r="G925" s="5"/>
    </row>
    <row r="926" spans="7:7" x14ac:dyDescent="0.25">
      <c r="G926" s="5"/>
    </row>
    <row r="927" spans="7:7" x14ac:dyDescent="0.25">
      <c r="G927" s="5"/>
    </row>
    <row r="928" spans="7:7" x14ac:dyDescent="0.25">
      <c r="G928" s="5"/>
    </row>
    <row r="929" spans="7:7" x14ac:dyDescent="0.25">
      <c r="G929" s="5"/>
    </row>
    <row r="930" spans="7:7" x14ac:dyDescent="0.25">
      <c r="G930" s="5"/>
    </row>
    <row r="931" spans="7:7" x14ac:dyDescent="0.25">
      <c r="G931" s="5"/>
    </row>
    <row r="932" spans="7:7" x14ac:dyDescent="0.25">
      <c r="G932" s="5"/>
    </row>
    <row r="933" spans="7:7" x14ac:dyDescent="0.25">
      <c r="G933" s="5"/>
    </row>
    <row r="934" spans="7:7" x14ac:dyDescent="0.25">
      <c r="G934" s="5"/>
    </row>
    <row r="935" spans="7:7" x14ac:dyDescent="0.25">
      <c r="G935" s="5"/>
    </row>
    <row r="936" spans="7:7" x14ac:dyDescent="0.25">
      <c r="G936" s="5"/>
    </row>
    <row r="937" spans="7:7" x14ac:dyDescent="0.25">
      <c r="G937" s="5"/>
    </row>
    <row r="938" spans="7:7" x14ac:dyDescent="0.25">
      <c r="G938" s="5"/>
    </row>
    <row r="939" spans="7:7" x14ac:dyDescent="0.25">
      <c r="G939" s="5"/>
    </row>
    <row r="940" spans="7:7" x14ac:dyDescent="0.25">
      <c r="G940" s="5"/>
    </row>
    <row r="941" spans="7:7" x14ac:dyDescent="0.25">
      <c r="G941" s="5"/>
    </row>
    <row r="942" spans="7:7" x14ac:dyDescent="0.25">
      <c r="G942" s="5"/>
    </row>
    <row r="943" spans="7:7" x14ac:dyDescent="0.25">
      <c r="G943" s="5"/>
    </row>
    <row r="944" spans="7:7" x14ac:dyDescent="0.25">
      <c r="G944" s="5"/>
    </row>
    <row r="945" spans="7:7" x14ac:dyDescent="0.25">
      <c r="G945" s="5"/>
    </row>
    <row r="946" spans="7:7" x14ac:dyDescent="0.25">
      <c r="G946" s="5"/>
    </row>
    <row r="947" spans="7:7" x14ac:dyDescent="0.25">
      <c r="G947" s="5"/>
    </row>
    <row r="948" spans="7:7" x14ac:dyDescent="0.25">
      <c r="G948" s="5"/>
    </row>
    <row r="949" spans="7:7" x14ac:dyDescent="0.25">
      <c r="G949" s="5"/>
    </row>
    <row r="950" spans="7:7" x14ac:dyDescent="0.25">
      <c r="G950" s="5"/>
    </row>
    <row r="951" spans="7:7" x14ac:dyDescent="0.25">
      <c r="G951" s="5"/>
    </row>
    <row r="952" spans="7:7" x14ac:dyDescent="0.25">
      <c r="G952" s="5"/>
    </row>
    <row r="953" spans="7:7" x14ac:dyDescent="0.25">
      <c r="G953" s="5"/>
    </row>
    <row r="954" spans="7:7" x14ac:dyDescent="0.25">
      <c r="G954" s="5"/>
    </row>
    <row r="955" spans="7:7" x14ac:dyDescent="0.25">
      <c r="G955" s="5"/>
    </row>
    <row r="956" spans="7:7" x14ac:dyDescent="0.25">
      <c r="G956" s="5"/>
    </row>
    <row r="957" spans="7:7" x14ac:dyDescent="0.25">
      <c r="G957" s="5"/>
    </row>
    <row r="958" spans="7:7" x14ac:dyDescent="0.25">
      <c r="G958" s="5"/>
    </row>
    <row r="959" spans="7:7" x14ac:dyDescent="0.25">
      <c r="G959" s="5"/>
    </row>
    <row r="960" spans="7:7" x14ac:dyDescent="0.25">
      <c r="G960" s="5"/>
    </row>
    <row r="961" spans="7:7" x14ac:dyDescent="0.25">
      <c r="G961" s="5"/>
    </row>
    <row r="962" spans="7:7" x14ac:dyDescent="0.25">
      <c r="G962" s="5"/>
    </row>
    <row r="963" spans="7:7" x14ac:dyDescent="0.25">
      <c r="G963" s="5"/>
    </row>
    <row r="964" spans="7:7" x14ac:dyDescent="0.25">
      <c r="G964" s="5"/>
    </row>
    <row r="965" spans="7:7" x14ac:dyDescent="0.25">
      <c r="G965" s="5"/>
    </row>
    <row r="966" spans="7:7" x14ac:dyDescent="0.25">
      <c r="G966" s="5"/>
    </row>
    <row r="967" spans="7:7" x14ac:dyDescent="0.25">
      <c r="G967" s="5"/>
    </row>
    <row r="968" spans="7:7" x14ac:dyDescent="0.25">
      <c r="G968" s="5"/>
    </row>
    <row r="969" spans="7:7" x14ac:dyDescent="0.25">
      <c r="G969" s="5"/>
    </row>
    <row r="970" spans="7:7" x14ac:dyDescent="0.25">
      <c r="G970" s="5"/>
    </row>
    <row r="971" spans="7:7" x14ac:dyDescent="0.25">
      <c r="G971" s="5"/>
    </row>
    <row r="972" spans="7:7" x14ac:dyDescent="0.25">
      <c r="G972" s="5"/>
    </row>
    <row r="973" spans="7:7" x14ac:dyDescent="0.25">
      <c r="G973" s="5"/>
    </row>
    <row r="974" spans="7:7" x14ac:dyDescent="0.25">
      <c r="G974" s="5"/>
    </row>
    <row r="975" spans="7:7" x14ac:dyDescent="0.25">
      <c r="G975" s="5"/>
    </row>
    <row r="976" spans="7:7" x14ac:dyDescent="0.25">
      <c r="G976" s="5"/>
    </row>
    <row r="977" spans="7:7" x14ac:dyDescent="0.25">
      <c r="G977" s="5"/>
    </row>
    <row r="978" spans="7:7" x14ac:dyDescent="0.25">
      <c r="G978" s="5"/>
    </row>
    <row r="979" spans="7:7" x14ac:dyDescent="0.25">
      <c r="G979" s="5"/>
    </row>
    <row r="980" spans="7:7" x14ac:dyDescent="0.25">
      <c r="G980" s="5"/>
    </row>
    <row r="981" spans="7:7" x14ac:dyDescent="0.25">
      <c r="G981" s="5"/>
    </row>
    <row r="982" spans="7:7" x14ac:dyDescent="0.25">
      <c r="G982" s="5"/>
    </row>
    <row r="983" spans="7:7" x14ac:dyDescent="0.25">
      <c r="G983" s="5"/>
    </row>
    <row r="984" spans="7:7" x14ac:dyDescent="0.25">
      <c r="G984" s="5"/>
    </row>
    <row r="985" spans="7:7" x14ac:dyDescent="0.25">
      <c r="G985" s="5"/>
    </row>
    <row r="986" spans="7:7" x14ac:dyDescent="0.25">
      <c r="G986" s="5"/>
    </row>
    <row r="987" spans="7:7" x14ac:dyDescent="0.25">
      <c r="G987" s="5"/>
    </row>
    <row r="988" spans="7:7" x14ac:dyDescent="0.25">
      <c r="G988" s="5"/>
    </row>
    <row r="989" spans="7:7" x14ac:dyDescent="0.25">
      <c r="G989" s="5"/>
    </row>
    <row r="990" spans="7:7" x14ac:dyDescent="0.25">
      <c r="G990" s="5"/>
    </row>
    <row r="991" spans="7:7" x14ac:dyDescent="0.25">
      <c r="G991" s="5"/>
    </row>
    <row r="992" spans="7:7" x14ac:dyDescent="0.25">
      <c r="G992" s="5"/>
    </row>
    <row r="993" spans="7:7" x14ac:dyDescent="0.25">
      <c r="G993" s="5"/>
    </row>
    <row r="994" spans="7:7" x14ac:dyDescent="0.25">
      <c r="G994" s="5"/>
    </row>
    <row r="995" spans="7:7" x14ac:dyDescent="0.25">
      <c r="G995" s="5"/>
    </row>
    <row r="996" spans="7:7" x14ac:dyDescent="0.25">
      <c r="G996" s="5"/>
    </row>
    <row r="997" spans="7:7" x14ac:dyDescent="0.25">
      <c r="G997" s="5"/>
    </row>
    <row r="998" spans="7:7" x14ac:dyDescent="0.25">
      <c r="G998" s="5"/>
    </row>
    <row r="999" spans="7:7" x14ac:dyDescent="0.25">
      <c r="G999" s="5"/>
    </row>
    <row r="1000" spans="7:7" x14ac:dyDescent="0.25">
      <c r="G1000" s="5"/>
    </row>
    <row r="1001" spans="7:7" x14ac:dyDescent="0.25">
      <c r="G1001" s="5"/>
    </row>
    <row r="1002" spans="7:7" x14ac:dyDescent="0.25">
      <c r="G1002" s="5"/>
    </row>
    <row r="1003" spans="7:7" x14ac:dyDescent="0.25">
      <c r="G1003" s="5"/>
    </row>
    <row r="1004" spans="7:7" x14ac:dyDescent="0.25">
      <c r="G1004" s="5"/>
    </row>
    <row r="1005" spans="7:7" x14ac:dyDescent="0.25">
      <c r="G1005" s="5"/>
    </row>
    <row r="1006" spans="7:7" x14ac:dyDescent="0.25">
      <c r="G1006" s="5"/>
    </row>
    <row r="1007" spans="7:7" x14ac:dyDescent="0.25">
      <c r="G1007" s="5"/>
    </row>
    <row r="1008" spans="7:7" x14ac:dyDescent="0.25">
      <c r="G1008" s="5"/>
    </row>
    <row r="1009" spans="7:7" x14ac:dyDescent="0.25">
      <c r="G1009" s="5"/>
    </row>
    <row r="1010" spans="7:7" x14ac:dyDescent="0.25">
      <c r="G1010" s="5"/>
    </row>
    <row r="1011" spans="7:7" x14ac:dyDescent="0.25">
      <c r="G1011" s="5"/>
    </row>
    <row r="1012" spans="7:7" x14ac:dyDescent="0.25">
      <c r="G1012" s="5"/>
    </row>
    <row r="1013" spans="7:7" x14ac:dyDescent="0.25">
      <c r="G1013" s="5"/>
    </row>
    <row r="1014" spans="7:7" x14ac:dyDescent="0.25">
      <c r="G1014" s="5"/>
    </row>
    <row r="1015" spans="7:7" x14ac:dyDescent="0.25">
      <c r="G1015" s="5"/>
    </row>
    <row r="1016" spans="7:7" x14ac:dyDescent="0.25">
      <c r="G1016" s="5"/>
    </row>
    <row r="1017" spans="7:7" x14ac:dyDescent="0.25">
      <c r="G1017" s="5"/>
    </row>
    <row r="1018" spans="7:7" x14ac:dyDescent="0.25">
      <c r="G1018" s="5"/>
    </row>
    <row r="1019" spans="7:7" x14ac:dyDescent="0.25">
      <c r="G1019" s="5"/>
    </row>
    <row r="1020" spans="7:7" x14ac:dyDescent="0.25">
      <c r="G1020" s="5"/>
    </row>
    <row r="1021" spans="7:7" x14ac:dyDescent="0.25">
      <c r="G1021" s="5"/>
    </row>
    <row r="1022" spans="7:7" x14ac:dyDescent="0.25">
      <c r="G1022" s="5"/>
    </row>
    <row r="1023" spans="7:7" x14ac:dyDescent="0.25">
      <c r="G1023" s="5"/>
    </row>
    <row r="1024" spans="7:7" x14ac:dyDescent="0.25">
      <c r="G1024" s="5"/>
    </row>
    <row r="1025" spans="7:7" x14ac:dyDescent="0.25">
      <c r="G1025" s="5"/>
    </row>
    <row r="1026" spans="7:7" x14ac:dyDescent="0.25">
      <c r="G1026" s="5"/>
    </row>
    <row r="1027" spans="7:7" x14ac:dyDescent="0.25">
      <c r="G1027" s="5"/>
    </row>
    <row r="1028" spans="7:7" x14ac:dyDescent="0.25">
      <c r="G1028" s="5"/>
    </row>
    <row r="1029" spans="7:7" x14ac:dyDescent="0.25">
      <c r="G1029" s="5"/>
    </row>
    <row r="1030" spans="7:7" x14ac:dyDescent="0.25">
      <c r="G1030" s="5"/>
    </row>
    <row r="1031" spans="7:7" x14ac:dyDescent="0.25">
      <c r="G1031" s="5"/>
    </row>
    <row r="1032" spans="7:7" x14ac:dyDescent="0.25">
      <c r="G1032" s="5"/>
    </row>
    <row r="1033" spans="7:7" x14ac:dyDescent="0.25">
      <c r="G1033" s="5"/>
    </row>
    <row r="1034" spans="7:7" x14ac:dyDescent="0.25">
      <c r="G1034" s="5"/>
    </row>
    <row r="1035" spans="7:7" x14ac:dyDescent="0.25">
      <c r="G1035" s="5"/>
    </row>
    <row r="1036" spans="7:7" x14ac:dyDescent="0.25">
      <c r="G1036" s="5"/>
    </row>
    <row r="1037" spans="7:7" x14ac:dyDescent="0.25">
      <c r="G1037" s="5"/>
    </row>
    <row r="1038" spans="7:7" x14ac:dyDescent="0.25">
      <c r="G1038" s="5"/>
    </row>
    <row r="1039" spans="7:7" x14ac:dyDescent="0.25">
      <c r="G1039" s="5"/>
    </row>
    <row r="1040" spans="7:7" x14ac:dyDescent="0.25">
      <c r="G1040" s="5"/>
    </row>
    <row r="1041" spans="7:7" x14ac:dyDescent="0.25">
      <c r="G1041" s="5"/>
    </row>
    <row r="1042" spans="7:7" x14ac:dyDescent="0.25">
      <c r="G1042" s="5"/>
    </row>
    <row r="1043" spans="7:7" x14ac:dyDescent="0.25">
      <c r="G1043" s="5"/>
    </row>
    <row r="1044" spans="7:7" x14ac:dyDescent="0.25">
      <c r="G1044" s="5"/>
    </row>
    <row r="1045" spans="7:7" x14ac:dyDescent="0.25">
      <c r="G1045" s="5"/>
    </row>
    <row r="1046" spans="7:7" x14ac:dyDescent="0.25">
      <c r="G1046" s="5"/>
    </row>
    <row r="1047" spans="7:7" x14ac:dyDescent="0.25">
      <c r="G1047" s="5"/>
    </row>
    <row r="1048" spans="7:7" x14ac:dyDescent="0.25">
      <c r="G1048" s="5"/>
    </row>
    <row r="1049" spans="7:7" x14ac:dyDescent="0.25">
      <c r="G1049" s="5"/>
    </row>
    <row r="1050" spans="7:7" x14ac:dyDescent="0.25">
      <c r="G1050" s="5"/>
    </row>
    <row r="1051" spans="7:7" x14ac:dyDescent="0.25">
      <c r="G1051" s="5"/>
    </row>
    <row r="1052" spans="7:7" x14ac:dyDescent="0.25">
      <c r="G1052" s="5"/>
    </row>
    <row r="1053" spans="7:7" x14ac:dyDescent="0.25">
      <c r="G1053" s="5"/>
    </row>
    <row r="1054" spans="7:7" x14ac:dyDescent="0.25">
      <c r="G1054" s="5"/>
    </row>
    <row r="1055" spans="7:7" x14ac:dyDescent="0.25">
      <c r="G1055" s="5"/>
    </row>
    <row r="1056" spans="7:7" x14ac:dyDescent="0.25">
      <c r="G1056" s="5"/>
    </row>
    <row r="1057" spans="7:7" x14ac:dyDescent="0.25">
      <c r="G1057" s="5"/>
    </row>
    <row r="1058" spans="7:7" x14ac:dyDescent="0.25">
      <c r="G1058" s="5"/>
    </row>
    <row r="1059" spans="7:7" x14ac:dyDescent="0.25">
      <c r="G1059" s="5"/>
    </row>
    <row r="1060" spans="7:7" x14ac:dyDescent="0.25">
      <c r="G1060" s="5"/>
    </row>
    <row r="1061" spans="7:7" x14ac:dyDescent="0.25">
      <c r="G1061" s="5"/>
    </row>
    <row r="1062" spans="7:7" x14ac:dyDescent="0.25">
      <c r="G1062" s="5"/>
    </row>
    <row r="1063" spans="7:7" x14ac:dyDescent="0.25">
      <c r="G1063" s="5"/>
    </row>
    <row r="1064" spans="7:7" x14ac:dyDescent="0.25">
      <c r="G1064" s="5"/>
    </row>
    <row r="1065" spans="7:7" x14ac:dyDescent="0.25">
      <c r="G1065" s="5"/>
    </row>
    <row r="1066" spans="7:7" x14ac:dyDescent="0.25">
      <c r="G1066" s="5"/>
    </row>
    <row r="1067" spans="7:7" x14ac:dyDescent="0.25">
      <c r="G1067" s="5"/>
    </row>
    <row r="1068" spans="7:7" x14ac:dyDescent="0.25">
      <c r="G1068" s="5"/>
    </row>
    <row r="1069" spans="7:7" x14ac:dyDescent="0.25">
      <c r="G1069" s="5"/>
    </row>
    <row r="1070" spans="7:7" x14ac:dyDescent="0.25">
      <c r="G1070" s="5"/>
    </row>
    <row r="1071" spans="7:7" x14ac:dyDescent="0.25">
      <c r="G1071" s="5"/>
    </row>
    <row r="1072" spans="7:7" x14ac:dyDescent="0.25">
      <c r="G1072" s="5"/>
    </row>
    <row r="1073" spans="7:7" x14ac:dyDescent="0.25">
      <c r="G1073" s="5"/>
    </row>
    <row r="1074" spans="7:7" x14ac:dyDescent="0.25">
      <c r="G1074" s="5"/>
    </row>
    <row r="1075" spans="7:7" x14ac:dyDescent="0.25">
      <c r="G1075" s="5"/>
    </row>
    <row r="1076" spans="7:7" x14ac:dyDescent="0.25">
      <c r="G1076" s="5"/>
    </row>
    <row r="1077" spans="7:7" x14ac:dyDescent="0.25">
      <c r="G1077" s="5"/>
    </row>
    <row r="1078" spans="7:7" x14ac:dyDescent="0.25">
      <c r="G1078" s="5"/>
    </row>
    <row r="1079" spans="7:7" x14ac:dyDescent="0.25">
      <c r="G1079" s="5"/>
    </row>
    <row r="1080" spans="7:7" x14ac:dyDescent="0.25">
      <c r="G1080" s="5"/>
    </row>
    <row r="1081" spans="7:7" x14ac:dyDescent="0.25">
      <c r="G1081" s="5"/>
    </row>
    <row r="1082" spans="7:7" x14ac:dyDescent="0.25">
      <c r="G1082" s="5"/>
    </row>
    <row r="1083" spans="7:7" x14ac:dyDescent="0.25">
      <c r="G1083" s="5"/>
    </row>
    <row r="1084" spans="7:7" x14ac:dyDescent="0.25">
      <c r="G1084" s="5"/>
    </row>
    <row r="1085" spans="7:7" x14ac:dyDescent="0.25">
      <c r="G1085" s="5"/>
    </row>
    <row r="1086" spans="7:7" x14ac:dyDescent="0.25">
      <c r="G1086" s="5"/>
    </row>
    <row r="1087" spans="7:7" x14ac:dyDescent="0.25">
      <c r="G1087" s="5"/>
    </row>
    <row r="1088" spans="7:7" x14ac:dyDescent="0.25">
      <c r="G1088" s="5"/>
    </row>
    <row r="1089" spans="7:7" x14ac:dyDescent="0.25">
      <c r="G1089" s="5"/>
    </row>
    <row r="1090" spans="7:7" x14ac:dyDescent="0.25">
      <c r="G1090" s="5"/>
    </row>
    <row r="1091" spans="7:7" x14ac:dyDescent="0.25">
      <c r="G1091" s="5"/>
    </row>
    <row r="1092" spans="7:7" x14ac:dyDescent="0.25">
      <c r="G1092" s="5"/>
    </row>
    <row r="1093" spans="7:7" x14ac:dyDescent="0.25">
      <c r="G1093" s="5"/>
    </row>
    <row r="1094" spans="7:7" x14ac:dyDescent="0.25">
      <c r="G1094" s="5"/>
    </row>
    <row r="1095" spans="7:7" x14ac:dyDescent="0.25">
      <c r="G1095" s="5"/>
    </row>
    <row r="1096" spans="7:7" x14ac:dyDescent="0.25">
      <c r="G1096" s="5"/>
    </row>
    <row r="1097" spans="7:7" x14ac:dyDescent="0.25">
      <c r="G1097" s="5"/>
    </row>
    <row r="1098" spans="7:7" x14ac:dyDescent="0.25">
      <c r="G1098" s="5"/>
    </row>
    <row r="1099" spans="7:7" x14ac:dyDescent="0.25">
      <c r="G1099" s="5"/>
    </row>
    <row r="1100" spans="7:7" x14ac:dyDescent="0.25">
      <c r="G1100" s="5"/>
    </row>
    <row r="1101" spans="7:7" x14ac:dyDescent="0.25">
      <c r="G1101" s="5"/>
    </row>
    <row r="1102" spans="7:7" x14ac:dyDescent="0.25">
      <c r="G1102" s="5"/>
    </row>
    <row r="1103" spans="7:7" x14ac:dyDescent="0.25">
      <c r="G1103" s="5"/>
    </row>
    <row r="1104" spans="7:7" x14ac:dyDescent="0.25">
      <c r="G1104" s="5"/>
    </row>
    <row r="1105" spans="7:7" x14ac:dyDescent="0.25">
      <c r="G1105" s="5"/>
    </row>
    <row r="1106" spans="7:7" x14ac:dyDescent="0.25">
      <c r="G1106" s="5"/>
    </row>
    <row r="1107" spans="7:7" x14ac:dyDescent="0.25">
      <c r="G1107" s="5"/>
    </row>
    <row r="1108" spans="7:7" x14ac:dyDescent="0.25">
      <c r="G1108" s="5"/>
    </row>
    <row r="1109" spans="7:7" x14ac:dyDescent="0.25">
      <c r="G1109" s="5"/>
    </row>
    <row r="1110" spans="7:7" x14ac:dyDescent="0.25">
      <c r="G1110" s="5"/>
    </row>
    <row r="1111" spans="7:7" x14ac:dyDescent="0.25">
      <c r="G1111" s="5"/>
    </row>
    <row r="1112" spans="7:7" x14ac:dyDescent="0.25">
      <c r="G1112" s="5"/>
    </row>
    <row r="1113" spans="7:7" x14ac:dyDescent="0.25">
      <c r="G1113" s="5"/>
    </row>
    <row r="1114" spans="7:7" x14ac:dyDescent="0.25">
      <c r="G1114" s="5"/>
    </row>
    <row r="1115" spans="7:7" x14ac:dyDescent="0.25">
      <c r="G1115" s="5"/>
    </row>
    <row r="1116" spans="7:7" x14ac:dyDescent="0.25">
      <c r="G1116" s="5"/>
    </row>
    <row r="1117" spans="7:7" x14ac:dyDescent="0.25">
      <c r="G1117" s="5"/>
    </row>
    <row r="1118" spans="7:7" x14ac:dyDescent="0.25">
      <c r="G1118" s="5"/>
    </row>
    <row r="1119" spans="7:7" x14ac:dyDescent="0.25">
      <c r="G1119" s="5"/>
    </row>
    <row r="1120" spans="7:7" x14ac:dyDescent="0.25">
      <c r="G1120" s="5"/>
    </row>
  </sheetData>
  <dataConsolidate/>
  <mergeCells count="1">
    <mergeCell ref="M1:R1"/>
  </mergeCells>
  <conditionalFormatting sqref="B11:F16 A10">
    <cfRule type="colorScale" priority="8">
      <colorScale>
        <cfvo type="min"/>
        <cfvo type="percentile" val="50"/>
        <cfvo type="max"/>
        <color rgb="FFFFABAB"/>
        <color rgb="FFFCFCFF"/>
        <color theme="0"/>
      </colorScale>
    </cfRule>
  </conditionalFormatting>
  <conditionalFormatting sqref="N3:R7">
    <cfRule type="colorScale" priority="9">
      <colorScale>
        <cfvo type="min"/>
        <cfvo type="percentile" val="50"/>
        <cfvo type="max"/>
        <color rgb="FFFFABAB"/>
        <color rgb="FFFCFCFF"/>
        <color theme="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ERC</vt:lpstr>
    </vt:vector>
  </TitlesOfParts>
  <Company>Zadig Asset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SMaillard</dc:creator>
  <cp:lastModifiedBy>Brian Fagan</cp:lastModifiedBy>
  <dcterms:created xsi:type="dcterms:W3CDTF">2020-01-29T10:11:04Z</dcterms:created>
  <dcterms:modified xsi:type="dcterms:W3CDTF">2020-04-14T00:04:44Z</dcterms:modified>
</cp:coreProperties>
</file>