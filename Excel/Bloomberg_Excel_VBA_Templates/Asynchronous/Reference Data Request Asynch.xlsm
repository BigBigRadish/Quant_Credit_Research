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9095" windowHeight="8445"/>
  </bookViews>
  <sheets>
    <sheet name="referenceDataRequest" sheetId="1" r:id="rId1"/>
  </sheets>
  <calcPr calcId="145621"/>
</workbook>
</file>

<file path=xl/calcChain.xml><?xml version="1.0" encoding="utf-8"?>
<calcChain xmlns="http://schemas.openxmlformats.org/spreadsheetml/2006/main">
  <c r="C10" i="1" l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B9" i="1"/>
  <c r="C9" i="1" l="1"/>
</calcChain>
</file>

<file path=xl/sharedStrings.xml><?xml version="1.0" encoding="utf-8"?>
<sst xmlns="http://schemas.openxmlformats.org/spreadsheetml/2006/main" count="208" uniqueCount="208">
  <si>
    <t>NAME</t>
  </si>
  <si>
    <t>PX_LAST</t>
  </si>
  <si>
    <t>PE_RATIO</t>
  </si>
  <si>
    <t>BEST_EPS</t>
  </si>
  <si>
    <t>Securities down</t>
  </si>
  <si>
    <t>Fields across</t>
  </si>
  <si>
    <t>ABF LN</t>
  </si>
  <si>
    <t>ADM LN</t>
  </si>
  <si>
    <t>AGK LN</t>
  </si>
  <si>
    <t>AMEC LN</t>
  </si>
  <si>
    <t>ANTO LN</t>
  </si>
  <si>
    <t>ARM LN</t>
  </si>
  <si>
    <t>AV/ LN</t>
  </si>
  <si>
    <t>AZN LN</t>
  </si>
  <si>
    <t>BA/ LN</t>
  </si>
  <si>
    <t>BARC LN</t>
  </si>
  <si>
    <t>BATS LN</t>
  </si>
  <si>
    <t>BG/ LN</t>
  </si>
  <si>
    <t>BLND LN</t>
  </si>
  <si>
    <t>BLT LN</t>
  </si>
  <si>
    <t>BNZL LN</t>
  </si>
  <si>
    <t>BP/ LN</t>
  </si>
  <si>
    <t>BRBY LN</t>
  </si>
  <si>
    <t>BSY LN</t>
  </si>
  <si>
    <t>BT/A LN</t>
  </si>
  <si>
    <t>CCL LN</t>
  </si>
  <si>
    <t>CNA LN</t>
  </si>
  <si>
    <t>CPG LN</t>
  </si>
  <si>
    <t>CPI LN</t>
  </si>
  <si>
    <t>DGE LN</t>
  </si>
  <si>
    <t>ENRC LN</t>
  </si>
  <si>
    <t>EXPN LN</t>
  </si>
  <si>
    <t>FRES LN</t>
  </si>
  <si>
    <t>GFS LN</t>
  </si>
  <si>
    <t>GSK LN</t>
  </si>
  <si>
    <t>HMSO LN</t>
  </si>
  <si>
    <t>HSBA LN</t>
  </si>
  <si>
    <t>IHG LN</t>
  </si>
  <si>
    <t>IMT LN</t>
  </si>
  <si>
    <t>ITRK LN</t>
  </si>
  <si>
    <t>JMAT LN</t>
  </si>
  <si>
    <t>KGF LN</t>
  </si>
  <si>
    <t>LAND LN</t>
  </si>
  <si>
    <t>LGEN LN</t>
  </si>
  <si>
    <t>LLOY LN</t>
  </si>
  <si>
    <t>LSE LN</t>
  </si>
  <si>
    <t>MKS LN</t>
  </si>
  <si>
    <t>MRW LN</t>
  </si>
  <si>
    <t>NG/ LN</t>
  </si>
  <si>
    <t>NXT LN</t>
  </si>
  <si>
    <t>OML LN</t>
  </si>
  <si>
    <t>PFC LN</t>
  </si>
  <si>
    <t>PRU LN</t>
  </si>
  <si>
    <t>PSON LN</t>
  </si>
  <si>
    <t>RB/ LN</t>
  </si>
  <si>
    <t>RBS LN</t>
  </si>
  <si>
    <t>RDSA LN</t>
  </si>
  <si>
    <t>RDSB LN</t>
  </si>
  <si>
    <t>REL LN</t>
  </si>
  <si>
    <t>REX LN</t>
  </si>
  <si>
    <t>RIO LN</t>
  </si>
  <si>
    <t>RR/ LN</t>
  </si>
  <si>
    <t>RRS LN</t>
  </si>
  <si>
    <t>RSA LN</t>
  </si>
  <si>
    <t>RSL LN</t>
  </si>
  <si>
    <t>SAB LN</t>
  </si>
  <si>
    <t>SBRY LN</t>
  </si>
  <si>
    <t>SDR LN</t>
  </si>
  <si>
    <t>SGE LN</t>
  </si>
  <si>
    <t>SHP LN</t>
  </si>
  <si>
    <t>SL/ LN</t>
  </si>
  <si>
    <t>SMIN LN</t>
  </si>
  <si>
    <t>SN/ LN</t>
  </si>
  <si>
    <t>SRP LN</t>
  </si>
  <si>
    <t>SSE LN</t>
  </si>
  <si>
    <t>STAN LN</t>
  </si>
  <si>
    <t>SVT LN</t>
  </si>
  <si>
    <t>TLW LN</t>
  </si>
  <si>
    <t>TSCO LN</t>
  </si>
  <si>
    <t>TT/ LN</t>
  </si>
  <si>
    <t>ULVR LN</t>
  </si>
  <si>
    <t>UU/ LN</t>
  </si>
  <si>
    <t>VED LN</t>
  </si>
  <si>
    <t>VOD LN</t>
  </si>
  <si>
    <t>WOS LN</t>
  </si>
  <si>
    <t>WPP LN</t>
  </si>
  <si>
    <t>WTB LN</t>
  </si>
  <si>
    <t>ASTRAZENECA PLC</t>
  </si>
  <si>
    <t>BAE SYSTEMS PLC</t>
  </si>
  <si>
    <t>BARCLAYS PLC</t>
  </si>
  <si>
    <t>BRITISH AMERICAN TOBACCO PLC</t>
  </si>
  <si>
    <t>BG GROUP PLC</t>
  </si>
  <si>
    <t>BRITISH LAND CO PLC</t>
  </si>
  <si>
    <t>BHP BILLITON PLC</t>
  </si>
  <si>
    <t>BUNZL PLC</t>
  </si>
  <si>
    <t>BP PLC</t>
  </si>
  <si>
    <t>KINGFISHER PLC</t>
  </si>
  <si>
    <t>LAND SECURITIES GROUP PLC</t>
  </si>
  <si>
    <t>LEGAL &amp; GENERAL GROUP PLC</t>
  </si>
  <si>
    <t>LLOYDS BANKING GROUP PLC</t>
  </si>
  <si>
    <t>LONDON STOCK EXCHANGE GROUP</t>
  </si>
  <si>
    <t>MARKS &amp; SPENCER GROUP PLC</t>
  </si>
  <si>
    <t>WM MORRISON SUPERMARKETS</t>
  </si>
  <si>
    <t>NATIONAL GRID PLC</t>
  </si>
  <si>
    <t>INTERCONTINENTAL HOTELS GROU</t>
  </si>
  <si>
    <t>IMPERIAL TOBACCO GROUP PLC</t>
  </si>
  <si>
    <t>INTERTEK GROUP PLC</t>
  </si>
  <si>
    <t>JOHNSON MATTHEY PLC</t>
  </si>
  <si>
    <t>DIAGEO PLC</t>
  </si>
  <si>
    <t>EURASIAN NATURAL RESOURCES</t>
  </si>
  <si>
    <t>EXPERIAN PLC</t>
  </si>
  <si>
    <t>FRESNILLO PLC</t>
  </si>
  <si>
    <t>G4S PLC</t>
  </si>
  <si>
    <t>GLAXOSMITHKLINE PLC</t>
  </si>
  <si>
    <t>HAMMERSON PLC</t>
  </si>
  <si>
    <t>HSBC HOLDINGS PLC</t>
  </si>
  <si>
    <t>ANGLO AMERICAN PLC</t>
  </si>
  <si>
    <t>ASSOCIATED BRITISH FOODS PLC</t>
  </si>
  <si>
    <t>ADMIRAL GROUP PLC</t>
  </si>
  <si>
    <t>AGGREKO PLC</t>
  </si>
  <si>
    <t>AMEC PLC</t>
  </si>
  <si>
    <t>ANTOFAGASTA PLC</t>
  </si>
  <si>
    <t>ARM HOLDINGS PLC</t>
  </si>
  <si>
    <t>AVIVA PLC</t>
  </si>
  <si>
    <t>BURBERRY GROUP PLC</t>
  </si>
  <si>
    <t>BRITISH SKY BROADCASTING GRO</t>
  </si>
  <si>
    <t>BT GROUP PLC</t>
  </si>
  <si>
    <t>CARNIVAL PLC</t>
  </si>
  <si>
    <t>CENTRICA PLC</t>
  </si>
  <si>
    <t>COMPASS GROUP PLC</t>
  </si>
  <si>
    <t>WHITBREAD PLC</t>
  </si>
  <si>
    <t>NEXT PLC</t>
  </si>
  <si>
    <t>OLD MUTUAL PLC</t>
  </si>
  <si>
    <t>PETROFAC LTD</t>
  </si>
  <si>
    <t>PRUDENTIAL PLC</t>
  </si>
  <si>
    <t>PEARSON PLC</t>
  </si>
  <si>
    <t>RECKITT BENCKISER GROUP PLC</t>
  </si>
  <si>
    <t>ROYAL BANK OF SCOTLAND GROUP</t>
  </si>
  <si>
    <t>ROYAL DUTCH SHELL PLC-A SHS</t>
  </si>
  <si>
    <t>ROYAL DUTCH SHELL PLC-B SHS</t>
  </si>
  <si>
    <t>REED ELSEVIER PLC</t>
  </si>
  <si>
    <t>TULLOW OIL PLC</t>
  </si>
  <si>
    <t>TESCO PLC</t>
  </si>
  <si>
    <t>TUI TRAVEL PLC</t>
  </si>
  <si>
    <t>UNILEVER PLC</t>
  </si>
  <si>
    <t>UNITED UTILITIES GROUP PLC</t>
  </si>
  <si>
    <t>VEDANTA RESOURCES PLC</t>
  </si>
  <si>
    <t>VODAFONE GROUP PLC</t>
  </si>
  <si>
    <t>WOLSELEY PLC</t>
  </si>
  <si>
    <t>WPP PLC</t>
  </si>
  <si>
    <t>SAGE GROUP PLC/THE</t>
  </si>
  <si>
    <t>SHIRE PLC</t>
  </si>
  <si>
    <t>STANDARD LIFE PLC</t>
  </si>
  <si>
    <t>SMITHS GROUP PLC</t>
  </si>
  <si>
    <t>SMITH &amp; NEPHEW PLC</t>
  </si>
  <si>
    <t>SERCO GROUP PLC</t>
  </si>
  <si>
    <t>STANDARD CHARTERED PLC</t>
  </si>
  <si>
    <t>SEVERN TRENT PLC</t>
  </si>
  <si>
    <t>REXAM PLC</t>
  </si>
  <si>
    <t>RIO TINTO PLC</t>
  </si>
  <si>
    <t>RANDGOLD RESOURCES LTD</t>
  </si>
  <si>
    <t>RSA INSURANCE GROUP PLC</t>
  </si>
  <si>
    <t>RESOLUTION LTD</t>
  </si>
  <si>
    <t>SABMILLER PLC</t>
  </si>
  <si>
    <t>SAINSBURY (J) PLC</t>
  </si>
  <si>
    <t>SCHRODERS PLC</t>
  </si>
  <si>
    <t>TRAIL_12M_EPS</t>
  </si>
  <si>
    <t>ADN LN</t>
  </si>
  <si>
    <t>BAB LN</t>
  </si>
  <si>
    <t>CRDA LN</t>
  </si>
  <si>
    <t>CRH LN</t>
  </si>
  <si>
    <t>EVR LN</t>
  </si>
  <si>
    <t>EZJ LN</t>
  </si>
  <si>
    <t>GKN LN</t>
  </si>
  <si>
    <t>GLEN LN</t>
  </si>
  <si>
    <t>HL/ LN</t>
  </si>
  <si>
    <t>IAG LN</t>
  </si>
  <si>
    <t>IMI LN</t>
  </si>
  <si>
    <t>ITV LN</t>
  </si>
  <si>
    <t>MGGT LN</t>
  </si>
  <si>
    <t>MRO LN</t>
  </si>
  <si>
    <t>POLY LN</t>
  </si>
  <si>
    <t>TATE LN</t>
  </si>
  <si>
    <t>WEIR LN</t>
  </si>
  <si>
    <t>WG/ LN</t>
  </si>
  <si>
    <t>WMH LN</t>
  </si>
  <si>
    <t>ABERDEEN ASSET MGMT PLC</t>
  </si>
  <si>
    <t>BABCOCK INTL GROUP PLC</t>
  </si>
  <si>
    <t>MEGGITT PLC</t>
  </si>
  <si>
    <t>MELROSE INDUSTRIES PLC</t>
  </si>
  <si>
    <t>EVRAZ PLC</t>
  </si>
  <si>
    <t>EASYJET PLC</t>
  </si>
  <si>
    <t>GKN PLC</t>
  </si>
  <si>
    <t>GLENCORE XSTRATA PLC</t>
  </si>
  <si>
    <t>HARGREAVES LANSDOWN PLC</t>
  </si>
  <si>
    <t>CAPITA PLC</t>
  </si>
  <si>
    <t>CRODA INTERNATIONAL PLC</t>
  </si>
  <si>
    <t>CRH PLC</t>
  </si>
  <si>
    <t>INTL CONSOLIDATED AIRLINE-DI</t>
  </si>
  <si>
    <t>IMI PLC</t>
  </si>
  <si>
    <t>ITV PLC</t>
  </si>
  <si>
    <t>POLYMETAL INTERNATIONAL PLC</t>
  </si>
  <si>
    <t>ROLLS-ROYCE HOLDINGS PLC</t>
  </si>
  <si>
    <t>SSE PLC</t>
  </si>
  <si>
    <t>TATE &amp; LYLE PLC</t>
  </si>
  <si>
    <t>WEIR GROUP PLC/THE</t>
  </si>
  <si>
    <t>WOOD GROUP (JOHN) PLC</t>
  </si>
  <si>
    <t>WILLIAM HILL PLC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</si>
</sst>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3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AAL LN</v>
        <stp/>
        <stp>##V3_BDSV12</stp>
        <stp>ukX INDEX</stp>
        <stp>INDX MEMBERS</stp>
        <stp>[Reference Data Request Asynch.xlsm]referenceDataRequest!R9C2_x0000_!</stp>
        <stp>cols=1;rows=101</stp>
        <tr r="B9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228600</xdr:colOff>
      <xdr:row>2</xdr:row>
      <xdr:rowOff>133351</xdr:rowOff>
    </xdr:to>
    <xdr:grpSp>
      <xdr:nvGrpSpPr>
        <xdr:cNvPr id="2" name="Group 1"/>
        <xdr:cNvGrpSpPr/>
      </xdr:nvGrpSpPr>
      <xdr:grpSpPr>
        <a:xfrm>
          <a:off x="0" y="0"/>
          <a:ext cx="9963150" cy="514351"/>
          <a:chOff x="0" y="0"/>
          <a:chExt cx="9134475" cy="514351"/>
        </a:xfrm>
      </xdr:grpSpPr>
      <xdr:sp macro="" textlink="">
        <xdr:nvSpPr>
          <xdr:cNvPr id="3" name="BannerTitle"/>
          <xdr:cNvSpPr>
            <a:spLocks noChangeArrowheads="1"/>
          </xdr:cNvSpPr>
        </xdr:nvSpPr>
        <xdr:spPr bwMode="auto">
          <a:xfrm>
            <a:off x="1" y="1"/>
            <a:ext cx="9134474" cy="514350"/>
          </a:xfrm>
          <a:prstGeom prst="rect">
            <a:avLst/>
          </a:prstGeom>
          <a:gradFill rotWithShape="1">
            <a:gsLst>
              <a:gs pos="0">
                <a:srgbClr val="477AB7"/>
              </a:gs>
              <a:gs pos="100000">
                <a:srgbClr val="B8CCE4">
                  <a:alpha val="74001"/>
                </a:srgbClr>
              </a:gs>
            </a:gsLst>
            <a:lin ang="0" scaled="1"/>
          </a:gradFill>
          <a:ln w="9525">
            <a:solidFill>
              <a:srgbClr val="99CCFF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ctr" upright="1"/>
          <a:lstStyle/>
          <a:p>
            <a:pPr algn="ctr" rtl="0">
              <a:defRPr sz="1000"/>
            </a:pPr>
            <a:r>
              <a:rPr lang="en-GB" sz="2600" b="1" i="0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V3 Reference Data Request Sample</a:t>
            </a:r>
            <a:endParaRPr lang="en-GB" sz="22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" name="Picture 3" descr="BLOOMBERG-logo-blk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</a:blip>
          <a:srcRect/>
          <a:stretch>
            <a:fillRect/>
          </a:stretch>
        </xdr:blipFill>
        <xdr:spPr bwMode="auto">
          <a:xfrm>
            <a:off x="0" y="0"/>
            <a:ext cx="1285875" cy="2667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3</xdr:row>
          <xdr:rowOff>85725</xdr:rowOff>
        </xdr:from>
        <xdr:to>
          <xdr:col>2</xdr:col>
          <xdr:colOff>561975</xdr:colOff>
          <xdr:row>6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Data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7:H110"/>
  <sheetViews>
    <sheetView tabSelected="1" workbookViewId="0">
      <selection activeCell="D12" sqref="D12"/>
    </sheetView>
  </sheetViews>
  <sheetFormatPr defaultRowHeight="15" x14ac:dyDescent="0.25"/>
  <cols>
    <col min="1" max="1" width="15.28515625" bestFit="1" customWidth="1"/>
    <col min="2" max="2" width="10.85546875" bestFit="1" customWidth="1"/>
    <col min="3" max="3" width="17" bestFit="1" customWidth="1"/>
    <col min="4" max="4" width="33.28515625" bestFit="1" customWidth="1"/>
    <col min="5" max="5" width="8.42578125" bestFit="1" customWidth="1"/>
    <col min="6" max="6" width="9.5703125" bestFit="1" customWidth="1"/>
    <col min="7" max="7" width="15" bestFit="1" customWidth="1"/>
  </cols>
  <sheetData>
    <row r="7" spans="1:8" x14ac:dyDescent="0.25">
      <c r="D7" s="1" t="s">
        <v>5</v>
      </c>
    </row>
    <row r="8" spans="1:8" x14ac:dyDescent="0.25">
      <c r="D8" s="2" t="s">
        <v>0</v>
      </c>
      <c r="E8" s="2" t="s">
        <v>1</v>
      </c>
      <c r="F8" s="2" t="s">
        <v>2</v>
      </c>
      <c r="G8" s="2" t="s">
        <v>166</v>
      </c>
      <c r="H8" s="2" t="s">
        <v>3</v>
      </c>
    </row>
    <row r="9" spans="1:8" x14ac:dyDescent="0.25">
      <c r="A9" s="1" t="s">
        <v>4</v>
      </c>
      <c r="B9" t="str">
        <f>_xll.BDS("ukX INDEX","INDX MEMBERS","cols=1;rows=101")</f>
        <v>AAL LN</v>
      </c>
      <c r="C9" s="2" t="str">
        <f>B9&amp;" Equity"</f>
        <v>AAL LN Equity</v>
      </c>
      <c r="D9" t="s">
        <v>116</v>
      </c>
      <c r="E9">
        <v>1653.5</v>
      </c>
      <c r="G9">
        <v>-1.1286989999999999</v>
      </c>
      <c r="H9">
        <v>2.15</v>
      </c>
    </row>
    <row r="10" spans="1:8" x14ac:dyDescent="0.25">
      <c r="B10" t="s">
        <v>6</v>
      </c>
      <c r="C10" s="2" t="str">
        <f t="shared" ref="C10:C73" si="0">B10&amp;" Equity"</f>
        <v>ABF LN Equity</v>
      </c>
      <c r="D10" t="s">
        <v>117</v>
      </c>
      <c r="E10">
        <v>1941</v>
      </c>
      <c r="F10">
        <v>25.03153121784009</v>
      </c>
      <c r="G10">
        <v>0.77542200000000006</v>
      </c>
      <c r="H10">
        <v>0.96499999999999997</v>
      </c>
    </row>
    <row r="11" spans="1:8" x14ac:dyDescent="0.25">
      <c r="B11" t="s">
        <v>7</v>
      </c>
      <c r="C11" s="2" t="str">
        <f t="shared" si="0"/>
        <v>ADM LN Equity</v>
      </c>
      <c r="D11" t="s">
        <v>118</v>
      </c>
      <c r="E11">
        <v>1292</v>
      </c>
      <c r="F11">
        <v>13.58572783538977</v>
      </c>
      <c r="G11">
        <v>0.95099800000000001</v>
      </c>
      <c r="H11">
        <v>0.97499999999999998</v>
      </c>
    </row>
    <row r="12" spans="1:8" x14ac:dyDescent="0.25">
      <c r="B12" t="s">
        <v>167</v>
      </c>
      <c r="C12" s="2" t="str">
        <f t="shared" si="0"/>
        <v>ADN LN Equity</v>
      </c>
      <c r="D12" t="s">
        <v>186</v>
      </c>
      <c r="E12">
        <v>484.1</v>
      </c>
      <c r="F12">
        <v>20.841226369188725</v>
      </c>
      <c r="G12">
        <v>0.23227999999999999</v>
      </c>
      <c r="H12">
        <v>0.3</v>
      </c>
    </row>
    <row r="13" spans="1:8" x14ac:dyDescent="0.25">
      <c r="B13" t="s">
        <v>8</v>
      </c>
      <c r="C13" s="2" t="str">
        <f t="shared" si="0"/>
        <v>AGK LN Equity</v>
      </c>
      <c r="D13" t="s">
        <v>119</v>
      </c>
      <c r="E13">
        <v>1862</v>
      </c>
      <c r="F13">
        <v>17.877905999852139</v>
      </c>
      <c r="G13">
        <v>1.041509</v>
      </c>
      <c r="H13">
        <v>0.93400000000000005</v>
      </c>
    </row>
    <row r="14" spans="1:8" x14ac:dyDescent="0.25">
      <c r="B14" t="s">
        <v>9</v>
      </c>
      <c r="C14" s="2" t="str">
        <f t="shared" si="0"/>
        <v>AMEC LN Equity</v>
      </c>
      <c r="D14" t="s">
        <v>120</v>
      </c>
      <c r="E14">
        <v>1067</v>
      </c>
      <c r="F14">
        <v>15.92537313432836</v>
      </c>
      <c r="G14">
        <v>0.66999999999999993</v>
      </c>
      <c r="H14">
        <v>0.875</v>
      </c>
    </row>
    <row r="15" spans="1:8" x14ac:dyDescent="0.25">
      <c r="B15" t="s">
        <v>10</v>
      </c>
      <c r="C15" s="2" t="str">
        <f t="shared" si="0"/>
        <v>ANTO LN Equity</v>
      </c>
      <c r="D15" t="s">
        <v>121</v>
      </c>
      <c r="E15">
        <v>1002</v>
      </c>
      <c r="F15">
        <v>14.381904939315342</v>
      </c>
      <c r="G15">
        <v>1.046805</v>
      </c>
      <c r="H15">
        <v>1.1460000000000001</v>
      </c>
    </row>
    <row r="16" spans="1:8" x14ac:dyDescent="0.25">
      <c r="B16" t="s">
        <v>11</v>
      </c>
      <c r="C16" s="2" t="str">
        <f t="shared" si="0"/>
        <v>ARM LN Equity</v>
      </c>
      <c r="D16" t="s">
        <v>122</v>
      </c>
      <c r="E16">
        <v>1050</v>
      </c>
      <c r="F16">
        <v>89.848028477546549</v>
      </c>
      <c r="G16">
        <v>0.116864</v>
      </c>
      <c r="H16">
        <v>0.19900000000000001</v>
      </c>
    </row>
    <row r="17" spans="2:8" x14ac:dyDescent="0.25">
      <c r="B17" t="s">
        <v>12</v>
      </c>
      <c r="C17" s="2" t="str">
        <f t="shared" si="0"/>
        <v>AV/ LN Equity</v>
      </c>
      <c r="D17" t="s">
        <v>123</v>
      </c>
      <c r="E17">
        <v>337</v>
      </c>
      <c r="G17">
        <v>-9.5000000000000001E-2</v>
      </c>
      <c r="H17">
        <v>0.40800000000000003</v>
      </c>
    </row>
    <row r="18" spans="2:8" x14ac:dyDescent="0.25">
      <c r="B18" t="s">
        <v>13</v>
      </c>
      <c r="C18" s="2" t="str">
        <f t="shared" si="0"/>
        <v>AZN LN Equity</v>
      </c>
      <c r="D18" t="s">
        <v>87</v>
      </c>
      <c r="E18">
        <v>3485.5</v>
      </c>
      <c r="F18">
        <v>11.580287304560565</v>
      </c>
      <c r="G18">
        <v>4.5223089999999999</v>
      </c>
      <c r="H18">
        <v>5.407</v>
      </c>
    </row>
    <row r="19" spans="2:8" x14ac:dyDescent="0.25">
      <c r="B19" t="s">
        <v>14</v>
      </c>
      <c r="C19" s="2" t="str">
        <f t="shared" si="0"/>
        <v>BA/ LN Equity</v>
      </c>
      <c r="D19" t="s">
        <v>88</v>
      </c>
      <c r="E19">
        <v>427</v>
      </c>
      <c r="F19">
        <v>13.018292682926832</v>
      </c>
      <c r="G19">
        <v>0.32799999999999996</v>
      </c>
      <c r="H19">
        <v>0.42299999999999999</v>
      </c>
    </row>
    <row r="20" spans="2:8" x14ac:dyDescent="0.25">
      <c r="B20" t="s">
        <v>168</v>
      </c>
      <c r="C20" s="2" t="str">
        <f t="shared" si="0"/>
        <v>BAB LN Equity</v>
      </c>
      <c r="D20" t="s">
        <v>187</v>
      </c>
      <c r="E20">
        <v>1182</v>
      </c>
      <c r="F20">
        <v>22.30188679245283</v>
      </c>
      <c r="G20">
        <v>0.53</v>
      </c>
      <c r="H20">
        <v>0.70000000000000007</v>
      </c>
    </row>
    <row r="21" spans="2:8" x14ac:dyDescent="0.25">
      <c r="B21" t="s">
        <v>15</v>
      </c>
      <c r="C21" s="2" t="str">
        <f t="shared" si="0"/>
        <v>BARC LN Equity</v>
      </c>
      <c r="D21" t="s">
        <v>89</v>
      </c>
      <c r="E21">
        <v>333.85</v>
      </c>
      <c r="G21">
        <v>-8.5153000000000006E-2</v>
      </c>
      <c r="H21">
        <v>0.36499999999999999</v>
      </c>
    </row>
    <row r="22" spans="2:8" x14ac:dyDescent="0.25">
      <c r="B22" t="s">
        <v>16</v>
      </c>
      <c r="C22" s="2" t="str">
        <f t="shared" si="0"/>
        <v>BATS LN Equity</v>
      </c>
      <c r="D22" t="s">
        <v>90</v>
      </c>
      <c r="E22">
        <v>3752</v>
      </c>
      <c r="F22">
        <v>18.940713346034517</v>
      </c>
      <c r="G22">
        <v>1.980918</v>
      </c>
      <c r="H22">
        <v>2.2829999999999999</v>
      </c>
    </row>
    <row r="23" spans="2:8" x14ac:dyDescent="0.25">
      <c r="B23" t="s">
        <v>17</v>
      </c>
      <c r="C23" s="2" t="str">
        <f t="shared" si="0"/>
        <v>BG/ LN Equity</v>
      </c>
      <c r="D23" t="s">
        <v>91</v>
      </c>
      <c r="E23">
        <v>1237</v>
      </c>
      <c r="F23">
        <v>18.221495098039213</v>
      </c>
      <c r="G23">
        <v>1.02</v>
      </c>
      <c r="H23">
        <v>1.2530000000000001</v>
      </c>
    </row>
    <row r="24" spans="2:8" x14ac:dyDescent="0.25">
      <c r="B24" t="s">
        <v>18</v>
      </c>
      <c r="C24" s="2" t="str">
        <f t="shared" si="0"/>
        <v>BLND LN Equity</v>
      </c>
      <c r="D24" t="s">
        <v>92</v>
      </c>
      <c r="E24">
        <v>641</v>
      </c>
      <c r="F24">
        <v>20.200555909214103</v>
      </c>
      <c r="G24">
        <v>0.31731799999999999</v>
      </c>
      <c r="H24">
        <v>0.30599999999999999</v>
      </c>
    </row>
    <row r="25" spans="2:8" x14ac:dyDescent="0.25">
      <c r="B25" t="s">
        <v>19</v>
      </c>
      <c r="C25" s="2" t="str">
        <f t="shared" si="0"/>
        <v>BLT LN Equity</v>
      </c>
      <c r="D25" t="s">
        <v>93</v>
      </c>
      <c r="E25">
        <v>2001</v>
      </c>
      <c r="F25">
        <v>16.472090882692946</v>
      </c>
      <c r="G25">
        <v>1.82521</v>
      </c>
      <c r="H25">
        <v>2.4660000000000002</v>
      </c>
    </row>
    <row r="26" spans="2:8" x14ac:dyDescent="0.25">
      <c r="B26" t="s">
        <v>20</v>
      </c>
      <c r="C26" s="2" t="str">
        <f t="shared" si="0"/>
        <v>BNZL LN Equity</v>
      </c>
      <c r="D26" t="s">
        <v>94</v>
      </c>
      <c r="E26">
        <v>1331</v>
      </c>
      <c r="F26">
        <v>22.224225909005906</v>
      </c>
      <c r="G26">
        <v>0.59889599999999998</v>
      </c>
      <c r="H26">
        <v>0.77100000000000002</v>
      </c>
    </row>
    <row r="27" spans="2:8" x14ac:dyDescent="0.25">
      <c r="B27" t="s">
        <v>21</v>
      </c>
      <c r="C27" s="2" t="str">
        <f t="shared" si="0"/>
        <v>BP/ LN Equity</v>
      </c>
      <c r="D27" t="s">
        <v>95</v>
      </c>
      <c r="E27">
        <v>483.3</v>
      </c>
      <c r="F27">
        <v>6.1635308118634455</v>
      </c>
      <c r="G27">
        <v>1.178153</v>
      </c>
      <c r="H27">
        <v>0.84499999999999997</v>
      </c>
    </row>
    <row r="28" spans="2:8" x14ac:dyDescent="0.25">
      <c r="B28" t="s">
        <v>22</v>
      </c>
      <c r="C28" s="2" t="str">
        <f t="shared" si="0"/>
        <v>BRBY LN Equity</v>
      </c>
      <c r="D28" t="s">
        <v>124</v>
      </c>
      <c r="E28">
        <v>1532</v>
      </c>
      <c r="F28">
        <v>26.277873070325903</v>
      </c>
      <c r="G28">
        <v>0.58299999999999996</v>
      </c>
      <c r="H28">
        <v>0.77300000000000002</v>
      </c>
    </row>
    <row r="29" spans="2:8" x14ac:dyDescent="0.25">
      <c r="B29" t="s">
        <v>23</v>
      </c>
      <c r="C29" s="2" t="str">
        <f t="shared" si="0"/>
        <v>BSY LN Equity</v>
      </c>
      <c r="D29" t="s">
        <v>125</v>
      </c>
      <c r="E29">
        <v>779</v>
      </c>
      <c r="F29">
        <v>13.666666666666666</v>
      </c>
      <c r="G29">
        <v>0.57000000000000006</v>
      </c>
      <c r="H29">
        <v>0.57799999999999996</v>
      </c>
    </row>
    <row r="30" spans="2:8" x14ac:dyDescent="0.25">
      <c r="B30" t="s">
        <v>24</v>
      </c>
      <c r="C30" s="2" t="str">
        <f t="shared" si="0"/>
        <v>BT/A LN Equity</v>
      </c>
      <c r="D30" t="s">
        <v>126</v>
      </c>
      <c r="E30">
        <v>321.5</v>
      </c>
      <c r="F30">
        <v>12.043904997377687</v>
      </c>
      <c r="G30">
        <v>0.26694000000000001</v>
      </c>
      <c r="H30">
        <v>0.25700000000000001</v>
      </c>
    </row>
    <row r="31" spans="2:8" x14ac:dyDescent="0.25">
      <c r="B31" t="s">
        <v>25</v>
      </c>
      <c r="C31" s="2" t="str">
        <f t="shared" si="0"/>
        <v>CCL LN Equity</v>
      </c>
      <c r="D31" t="s">
        <v>127</v>
      </c>
      <c r="E31">
        <v>2253</v>
      </c>
      <c r="F31">
        <v>17.864863010626141</v>
      </c>
      <c r="G31">
        <v>1.894855</v>
      </c>
      <c r="H31">
        <v>1.6360000000000001</v>
      </c>
    </row>
    <row r="32" spans="2:8" x14ac:dyDescent="0.25">
      <c r="B32" t="s">
        <v>26</v>
      </c>
      <c r="C32" s="2" t="str">
        <f t="shared" si="0"/>
        <v>CNA LN Equity</v>
      </c>
      <c r="D32" t="s">
        <v>128</v>
      </c>
      <c r="E32">
        <v>392.8</v>
      </c>
      <c r="F32">
        <v>15.967479178575966</v>
      </c>
      <c r="G32">
        <v>0.246</v>
      </c>
      <c r="H32">
        <v>0.27900000000000003</v>
      </c>
    </row>
    <row r="33" spans="2:8" x14ac:dyDescent="0.25">
      <c r="B33" t="s">
        <v>27</v>
      </c>
      <c r="C33" s="2" t="str">
        <f t="shared" si="0"/>
        <v>CPG LN Equity</v>
      </c>
      <c r="D33" t="s">
        <v>129</v>
      </c>
      <c r="E33">
        <v>910.5</v>
      </c>
      <c r="F33">
        <v>27.844036697247706</v>
      </c>
      <c r="G33">
        <v>0.32700000000000001</v>
      </c>
      <c r="H33">
        <v>0.46800000000000003</v>
      </c>
    </row>
    <row r="34" spans="2:8" x14ac:dyDescent="0.25">
      <c r="B34" t="s">
        <v>28</v>
      </c>
      <c r="C34" s="2" t="str">
        <f t="shared" si="0"/>
        <v>CPI LN Equity</v>
      </c>
      <c r="D34" t="s">
        <v>195</v>
      </c>
      <c r="E34">
        <v>1018</v>
      </c>
      <c r="F34">
        <v>27.451487989299853</v>
      </c>
      <c r="G34">
        <v>0.370836</v>
      </c>
      <c r="H34">
        <v>0.56400000000000006</v>
      </c>
    </row>
    <row r="35" spans="2:8" x14ac:dyDescent="0.25">
      <c r="B35" t="s">
        <v>169</v>
      </c>
      <c r="C35" s="2" t="str">
        <f t="shared" si="0"/>
        <v>CRDA LN Equity</v>
      </c>
      <c r="D35" t="s">
        <v>196</v>
      </c>
      <c r="E35">
        <v>2612</v>
      </c>
      <c r="F35">
        <v>20.092307692307692</v>
      </c>
      <c r="G35">
        <v>1.3</v>
      </c>
      <c r="H35">
        <v>1.3660000000000001</v>
      </c>
    </row>
    <row r="36" spans="2:8" x14ac:dyDescent="0.25">
      <c r="B36" t="s">
        <v>170</v>
      </c>
      <c r="C36" s="2" t="str">
        <f t="shared" si="0"/>
        <v>CRH LN Equity</v>
      </c>
      <c r="D36" t="s">
        <v>197</v>
      </c>
      <c r="E36">
        <v>1414</v>
      </c>
      <c r="F36">
        <v>21.650781192762462</v>
      </c>
      <c r="G36">
        <v>0.76464900000000002</v>
      </c>
      <c r="H36">
        <v>0.76600000000000001</v>
      </c>
    </row>
    <row r="37" spans="2:8" x14ac:dyDescent="0.25">
      <c r="B37" t="s">
        <v>29</v>
      </c>
      <c r="C37" s="2" t="str">
        <f t="shared" si="0"/>
        <v>DGE LN Equity</v>
      </c>
      <c r="D37" t="s">
        <v>108</v>
      </c>
      <c r="E37">
        <v>2063</v>
      </c>
      <c r="F37">
        <v>20.325123152709356</v>
      </c>
      <c r="G37">
        <v>1.0150000000000001</v>
      </c>
      <c r="H37">
        <v>1.03</v>
      </c>
    </row>
    <row r="38" spans="2:8" x14ac:dyDescent="0.25">
      <c r="B38" t="s">
        <v>30</v>
      </c>
      <c r="C38" s="2" t="str">
        <f t="shared" si="0"/>
        <v>ENRC LN Equity</v>
      </c>
      <c r="D38" t="s">
        <v>109</v>
      </c>
      <c r="E38">
        <v>266.2</v>
      </c>
      <c r="G38">
        <v>-0.62434499999999993</v>
      </c>
      <c r="H38">
        <v>0.499</v>
      </c>
    </row>
    <row r="39" spans="2:8" x14ac:dyDescent="0.25">
      <c r="B39" t="s">
        <v>171</v>
      </c>
      <c r="C39" s="2" t="str">
        <f t="shared" si="0"/>
        <v>EVR LN Equity</v>
      </c>
      <c r="D39" t="s">
        <v>190</v>
      </c>
      <c r="E39">
        <v>155.4</v>
      </c>
      <c r="G39">
        <v>-0.230018</v>
      </c>
      <c r="H39">
        <v>1.9E-2</v>
      </c>
    </row>
    <row r="40" spans="2:8" x14ac:dyDescent="0.25">
      <c r="B40" t="s">
        <v>31</v>
      </c>
      <c r="C40" s="2" t="str">
        <f t="shared" si="0"/>
        <v>EXPN LN Equity</v>
      </c>
      <c r="D40" t="s">
        <v>110</v>
      </c>
      <c r="E40">
        <v>1288</v>
      </c>
      <c r="F40">
        <v>76.794444444444423</v>
      </c>
      <c r="G40">
        <v>0.252</v>
      </c>
      <c r="H40">
        <v>0.95200000000000007</v>
      </c>
    </row>
    <row r="41" spans="2:8" x14ac:dyDescent="0.25">
      <c r="B41" t="s">
        <v>172</v>
      </c>
      <c r="C41" s="2" t="str">
        <f t="shared" si="0"/>
        <v>EZJ LN Equity</v>
      </c>
      <c r="D41" t="s">
        <v>191</v>
      </c>
      <c r="E41">
        <v>1285</v>
      </c>
      <c r="F41">
        <v>22.539391313651851</v>
      </c>
      <c r="G41">
        <v>0.57011300000000009</v>
      </c>
      <c r="H41">
        <v>0.82900000000000007</v>
      </c>
    </row>
    <row r="42" spans="2:8" x14ac:dyDescent="0.25">
      <c r="B42" t="s">
        <v>32</v>
      </c>
      <c r="C42" s="2" t="str">
        <f t="shared" si="0"/>
        <v>FRES LN Equity</v>
      </c>
      <c r="D42" t="s">
        <v>111</v>
      </c>
      <c r="E42">
        <v>1076</v>
      </c>
      <c r="F42">
        <v>15.751163783108629</v>
      </c>
      <c r="G42">
        <v>1.0263939999999998</v>
      </c>
      <c r="H42">
        <v>0.871</v>
      </c>
    </row>
    <row r="43" spans="2:8" x14ac:dyDescent="0.25">
      <c r="B43" t="s">
        <v>33</v>
      </c>
      <c r="C43" s="2" t="str">
        <f t="shared" si="0"/>
        <v>GFS LN Equity</v>
      </c>
      <c r="D43" t="s">
        <v>112</v>
      </c>
      <c r="E43">
        <v>250</v>
      </c>
      <c r="F43">
        <v>31.645569620253163</v>
      </c>
      <c r="G43">
        <v>7.9000000000000001E-2</v>
      </c>
      <c r="H43">
        <v>0.217</v>
      </c>
    </row>
    <row r="44" spans="2:8" x14ac:dyDescent="0.25">
      <c r="B44" t="s">
        <v>173</v>
      </c>
      <c r="C44" s="2" t="str">
        <f t="shared" si="0"/>
        <v>GKN LN Equity</v>
      </c>
      <c r="D44" t="s">
        <v>192</v>
      </c>
      <c r="E44">
        <v>311.89999999999998</v>
      </c>
      <c r="F44">
        <v>10.327814367433257</v>
      </c>
      <c r="G44">
        <v>0.30199999999999999</v>
      </c>
      <c r="H44">
        <v>0.26700000000000002</v>
      </c>
    </row>
    <row r="45" spans="2:8" x14ac:dyDescent="0.25">
      <c r="B45" t="s">
        <v>174</v>
      </c>
      <c r="C45" s="2" t="str">
        <f t="shared" si="0"/>
        <v>GLEN LN Equity</v>
      </c>
      <c r="D45" t="s">
        <v>193</v>
      </c>
      <c r="E45">
        <v>351</v>
      </c>
      <c r="F45">
        <v>36.569345343346299</v>
      </c>
      <c r="G45">
        <v>0.14421299999999998</v>
      </c>
      <c r="H45">
        <v>0.47100000000000003</v>
      </c>
    </row>
    <row r="46" spans="2:8" x14ac:dyDescent="0.25">
      <c r="B46" t="s">
        <v>34</v>
      </c>
      <c r="C46" s="2" t="str">
        <f t="shared" si="0"/>
        <v>GSK LN Equity</v>
      </c>
      <c r="D46" t="s">
        <v>113</v>
      </c>
      <c r="E46">
        <v>1773</v>
      </c>
      <c r="F46">
        <v>20.618412835746955</v>
      </c>
      <c r="G46">
        <v>0.85991099999999998</v>
      </c>
      <c r="H46">
        <v>1.1679999999999999</v>
      </c>
    </row>
    <row r="47" spans="2:8" x14ac:dyDescent="0.25">
      <c r="B47" t="s">
        <v>175</v>
      </c>
      <c r="C47" s="2" t="str">
        <f t="shared" si="0"/>
        <v>HL/ LN Equity</v>
      </c>
      <c r="D47" t="s">
        <v>194</v>
      </c>
      <c r="E47">
        <v>1033</v>
      </c>
      <c r="F47">
        <v>36.970362867869426</v>
      </c>
      <c r="G47">
        <v>0.27941300000000002</v>
      </c>
      <c r="H47">
        <v>0.315</v>
      </c>
    </row>
    <row r="48" spans="2:8" x14ac:dyDescent="0.25">
      <c r="B48" t="s">
        <v>35</v>
      </c>
      <c r="C48" s="2" t="str">
        <f t="shared" si="0"/>
        <v>HMSO LN Equity</v>
      </c>
      <c r="D48" t="s">
        <v>114</v>
      </c>
      <c r="E48">
        <v>545</v>
      </c>
      <c r="F48">
        <v>43.253968253968253</v>
      </c>
      <c r="G48">
        <v>0.126</v>
      </c>
      <c r="H48">
        <v>0.219</v>
      </c>
    </row>
    <row r="49" spans="2:8" x14ac:dyDescent="0.25">
      <c r="B49" t="s">
        <v>36</v>
      </c>
      <c r="C49" s="2" t="str">
        <f t="shared" si="0"/>
        <v>HSBA LN Equity</v>
      </c>
      <c r="D49" t="s">
        <v>115</v>
      </c>
      <c r="E49">
        <v>767.8</v>
      </c>
      <c r="F49">
        <v>11.771711447519882</v>
      </c>
      <c r="G49">
        <v>0.979993</v>
      </c>
      <c r="H49">
        <v>0.97799999999999998</v>
      </c>
    </row>
    <row r="50" spans="2:8" x14ac:dyDescent="0.25">
      <c r="B50" t="s">
        <v>176</v>
      </c>
      <c r="C50" s="2" t="str">
        <f t="shared" si="0"/>
        <v>IAG LN Equity</v>
      </c>
      <c r="D50" t="s">
        <v>198</v>
      </c>
      <c r="E50">
        <v>285.2</v>
      </c>
      <c r="G50">
        <v>-0.49</v>
      </c>
      <c r="H50">
        <v>0.10300000000000001</v>
      </c>
    </row>
    <row r="51" spans="2:8" x14ac:dyDescent="0.25">
      <c r="B51" t="s">
        <v>37</v>
      </c>
      <c r="C51" s="2" t="str">
        <f t="shared" si="0"/>
        <v>IHG LN Equity</v>
      </c>
      <c r="D51" t="s">
        <v>104</v>
      </c>
      <c r="E51">
        <v>1945</v>
      </c>
      <c r="F51">
        <v>15.417109814025823</v>
      </c>
      <c r="G51">
        <v>1.895532</v>
      </c>
      <c r="H51">
        <v>1.5509999999999999</v>
      </c>
    </row>
    <row r="52" spans="2:8" x14ac:dyDescent="0.25">
      <c r="B52" t="s">
        <v>177</v>
      </c>
      <c r="C52" s="2" t="str">
        <f t="shared" si="0"/>
        <v>IMI LN Equity</v>
      </c>
      <c r="D52" t="s">
        <v>199</v>
      </c>
      <c r="E52">
        <v>1355</v>
      </c>
      <c r="F52">
        <v>18.673840361404274</v>
      </c>
      <c r="G52">
        <v>0.72561399999999998</v>
      </c>
      <c r="H52">
        <v>0.877</v>
      </c>
    </row>
    <row r="53" spans="2:8" x14ac:dyDescent="0.25">
      <c r="B53" t="s">
        <v>38</v>
      </c>
      <c r="C53" s="2" t="str">
        <f t="shared" si="0"/>
        <v>IMT LN Equity</v>
      </c>
      <c r="D53" t="s">
        <v>105</v>
      </c>
      <c r="E53">
        <v>2395</v>
      </c>
      <c r="F53">
        <v>48.500533607123394</v>
      </c>
      <c r="G53">
        <v>0.49380900000000005</v>
      </c>
      <c r="H53">
        <v>2.1070000000000002</v>
      </c>
    </row>
    <row r="54" spans="2:8" x14ac:dyDescent="0.25">
      <c r="B54" t="s">
        <v>39</v>
      </c>
      <c r="C54" s="2" t="str">
        <f t="shared" si="0"/>
        <v>ITRK LN Equity</v>
      </c>
      <c r="D54" t="s">
        <v>106</v>
      </c>
      <c r="E54">
        <v>3235</v>
      </c>
      <c r="F54">
        <v>29.893031920398599</v>
      </c>
      <c r="G54">
        <v>1.082192</v>
      </c>
      <c r="H54">
        <v>1.496</v>
      </c>
    </row>
    <row r="55" spans="2:8" x14ac:dyDescent="0.25">
      <c r="B55" t="s">
        <v>178</v>
      </c>
      <c r="C55" s="2" t="str">
        <f t="shared" si="0"/>
        <v>ITV LN Equity</v>
      </c>
      <c r="D55" t="s">
        <v>200</v>
      </c>
      <c r="E55">
        <v>134.69999999999999</v>
      </c>
      <c r="F55">
        <v>19.614695287557293</v>
      </c>
      <c r="G55">
        <v>6.8672999999999998E-2</v>
      </c>
      <c r="H55">
        <v>0.10100000000000001</v>
      </c>
    </row>
    <row r="56" spans="2:8" x14ac:dyDescent="0.25">
      <c r="B56" t="s">
        <v>40</v>
      </c>
      <c r="C56" s="2" t="str">
        <f t="shared" si="0"/>
        <v>JMAT LN Equity</v>
      </c>
      <c r="D56" t="s">
        <v>107</v>
      </c>
      <c r="E56">
        <v>2687</v>
      </c>
      <c r="F56">
        <v>18.06463063645721</v>
      </c>
      <c r="G56">
        <v>1.4874369999999999</v>
      </c>
      <c r="H56">
        <v>1.4590000000000001</v>
      </c>
    </row>
    <row r="57" spans="2:8" x14ac:dyDescent="0.25">
      <c r="B57" t="s">
        <v>41</v>
      </c>
      <c r="C57" s="2" t="str">
        <f t="shared" si="0"/>
        <v>KGF LN Equity</v>
      </c>
      <c r="D57" t="s">
        <v>96</v>
      </c>
      <c r="E57">
        <v>335.5</v>
      </c>
      <c r="F57">
        <v>13.913714235948394</v>
      </c>
      <c r="G57">
        <v>0.24112899999999998</v>
      </c>
      <c r="H57">
        <v>0.24</v>
      </c>
    </row>
    <row r="58" spans="2:8" x14ac:dyDescent="0.25">
      <c r="B58" t="s">
        <v>42</v>
      </c>
      <c r="C58" s="2" t="str">
        <f t="shared" si="0"/>
        <v>LAND LN Equity</v>
      </c>
      <c r="D58" t="s">
        <v>97</v>
      </c>
      <c r="E58">
        <v>992.5</v>
      </c>
      <c r="F58">
        <v>14.503914961025751</v>
      </c>
      <c r="G58">
        <v>0.68429800000000007</v>
      </c>
      <c r="H58">
        <v>0.38600000000000001</v>
      </c>
    </row>
    <row r="59" spans="2:8" x14ac:dyDescent="0.25">
      <c r="B59" t="s">
        <v>43</v>
      </c>
      <c r="C59" s="2" t="str">
        <f t="shared" si="0"/>
        <v>LGEN LN Equity</v>
      </c>
      <c r="D59" t="s">
        <v>98</v>
      </c>
      <c r="E59">
        <v>186.9</v>
      </c>
      <c r="F59">
        <v>13.450784369776711</v>
      </c>
      <c r="G59">
        <v>0.13895099999999999</v>
      </c>
      <c r="H59">
        <v>0.153</v>
      </c>
    </row>
    <row r="60" spans="2:8" x14ac:dyDescent="0.25">
      <c r="B60" t="s">
        <v>44</v>
      </c>
      <c r="C60" s="2" t="str">
        <f t="shared" si="0"/>
        <v>LLOY LN Equity</v>
      </c>
      <c r="D60" t="s">
        <v>99</v>
      </c>
      <c r="E60">
        <v>62.96</v>
      </c>
      <c r="F60">
        <v>475.16980441111451</v>
      </c>
      <c r="G60">
        <v>1.3249999999999998E-3</v>
      </c>
      <c r="H60">
        <v>0.04</v>
      </c>
    </row>
    <row r="61" spans="2:8" x14ac:dyDescent="0.25">
      <c r="B61" t="s">
        <v>45</v>
      </c>
      <c r="C61" s="2" t="str">
        <f t="shared" si="0"/>
        <v>LSE LN Equity</v>
      </c>
      <c r="D61" t="s">
        <v>100</v>
      </c>
      <c r="E61">
        <v>1423</v>
      </c>
      <c r="F61">
        <v>17.692425329386211</v>
      </c>
      <c r="G61">
        <v>0.80429899999999999</v>
      </c>
      <c r="H61">
        <v>0.94100000000000006</v>
      </c>
    </row>
    <row r="62" spans="2:8" x14ac:dyDescent="0.25">
      <c r="B62" t="s">
        <v>179</v>
      </c>
      <c r="C62" s="2" t="str">
        <f t="shared" si="0"/>
        <v>MGGT LN Equity</v>
      </c>
      <c r="D62" t="s">
        <v>188</v>
      </c>
      <c r="E62">
        <v>532.5</v>
      </c>
      <c r="F62">
        <v>17.292441985074916</v>
      </c>
      <c r="G62">
        <v>0.30793800000000005</v>
      </c>
      <c r="H62">
        <v>0.38200000000000001</v>
      </c>
    </row>
    <row r="63" spans="2:8" x14ac:dyDescent="0.25">
      <c r="B63" t="s">
        <v>46</v>
      </c>
      <c r="C63" s="2" t="str">
        <f t="shared" si="0"/>
        <v>MKS LN Equity</v>
      </c>
      <c r="D63" t="s">
        <v>101</v>
      </c>
      <c r="E63">
        <v>475.2</v>
      </c>
      <c r="F63">
        <v>16.288364795162551</v>
      </c>
      <c r="G63">
        <v>0.291742</v>
      </c>
      <c r="H63">
        <v>0.33700000000000002</v>
      </c>
    </row>
    <row r="64" spans="2:8" x14ac:dyDescent="0.25">
      <c r="B64" t="s">
        <v>180</v>
      </c>
      <c r="C64" s="2" t="str">
        <f t="shared" si="0"/>
        <v>MRO LN Equity</v>
      </c>
      <c r="D64" t="s">
        <v>189</v>
      </c>
      <c r="E64">
        <v>262.89999999999998</v>
      </c>
      <c r="F64">
        <v>48.107678131960071</v>
      </c>
      <c r="G64">
        <v>5.4648239970207214E-2</v>
      </c>
      <c r="H64">
        <v>0.17400000000000002</v>
      </c>
    </row>
    <row r="65" spans="2:8" x14ac:dyDescent="0.25">
      <c r="B65" t="s">
        <v>47</v>
      </c>
      <c r="C65" s="2" t="str">
        <f t="shared" si="0"/>
        <v>MRW LN Equity</v>
      </c>
      <c r="D65" t="s">
        <v>102</v>
      </c>
      <c r="E65">
        <v>282.60000000000002</v>
      </c>
      <c r="F65">
        <v>10.605162458758288</v>
      </c>
      <c r="G65">
        <v>0.26647399999999999</v>
      </c>
      <c r="H65">
        <v>0.25800000000000001</v>
      </c>
    </row>
    <row r="66" spans="2:8" x14ac:dyDescent="0.25">
      <c r="B66" t="s">
        <v>48</v>
      </c>
      <c r="C66" s="2" t="str">
        <f t="shared" si="0"/>
        <v>NG/ LN Equity</v>
      </c>
      <c r="D66" t="s">
        <v>103</v>
      </c>
      <c r="E66">
        <v>840.5</v>
      </c>
      <c r="F66">
        <v>13.41869357323605</v>
      </c>
      <c r="G66">
        <v>0.62636500000000006</v>
      </c>
      <c r="H66">
        <v>0.54800000000000004</v>
      </c>
    </row>
    <row r="67" spans="2:8" x14ac:dyDescent="0.25">
      <c r="B67" t="s">
        <v>49</v>
      </c>
      <c r="C67" s="2" t="str">
        <f t="shared" si="0"/>
        <v>NXT LN Equity</v>
      </c>
      <c r="D67" t="s">
        <v>131</v>
      </c>
      <c r="E67">
        <v>4749</v>
      </c>
      <c r="F67">
        <v>14.835988753514529</v>
      </c>
      <c r="G67">
        <v>3.2009999999999996</v>
      </c>
      <c r="H67">
        <v>3.157</v>
      </c>
    </row>
    <row r="68" spans="2:8" x14ac:dyDescent="0.25">
      <c r="B68" t="s">
        <v>50</v>
      </c>
      <c r="C68" s="2" t="str">
        <f t="shared" si="0"/>
        <v>OML LN Equity</v>
      </c>
      <c r="D68" t="s">
        <v>132</v>
      </c>
      <c r="E68">
        <v>219.8</v>
      </c>
      <c r="F68">
        <v>9.396294621786657</v>
      </c>
      <c r="G68">
        <v>0.23392199999999999</v>
      </c>
      <c r="H68">
        <v>0.2</v>
      </c>
    </row>
    <row r="69" spans="2:8" x14ac:dyDescent="0.25">
      <c r="B69" t="s">
        <v>51</v>
      </c>
      <c r="C69" s="2" t="str">
        <f t="shared" si="0"/>
        <v>PFC LN Equity</v>
      </c>
      <c r="D69" t="s">
        <v>133</v>
      </c>
      <c r="E69">
        <v>1403</v>
      </c>
      <c r="F69">
        <v>11.340543806191437</v>
      </c>
      <c r="G69">
        <v>1.858824</v>
      </c>
      <c r="H69">
        <v>1.9450000000000001</v>
      </c>
    </row>
    <row r="70" spans="2:8" x14ac:dyDescent="0.25">
      <c r="B70" t="s">
        <v>181</v>
      </c>
      <c r="C70" s="2" t="str">
        <f t="shared" si="0"/>
        <v>POLY LN Equity</v>
      </c>
      <c r="D70" t="s">
        <v>201</v>
      </c>
      <c r="E70">
        <v>674</v>
      </c>
      <c r="F70">
        <v>9.8278761787657647</v>
      </c>
      <c r="G70">
        <v>1.030421</v>
      </c>
      <c r="H70">
        <v>1.1759999999999999</v>
      </c>
    </row>
    <row r="71" spans="2:8" x14ac:dyDescent="0.25">
      <c r="B71" t="s">
        <v>52</v>
      </c>
      <c r="C71" s="2" t="str">
        <f t="shared" si="0"/>
        <v>PRU LN Equity</v>
      </c>
      <c r="D71" t="s">
        <v>134</v>
      </c>
      <c r="E71">
        <v>1203</v>
      </c>
      <c r="F71">
        <v>13.917232379603796</v>
      </c>
      <c r="G71">
        <v>0.86439599999999994</v>
      </c>
      <c r="H71">
        <v>0.82600000000000007</v>
      </c>
    </row>
    <row r="72" spans="2:8" x14ac:dyDescent="0.25">
      <c r="B72" t="s">
        <v>53</v>
      </c>
      <c r="C72" s="2" t="str">
        <f t="shared" si="0"/>
        <v>PSON LN Equity</v>
      </c>
      <c r="D72" t="s">
        <v>135</v>
      </c>
      <c r="E72">
        <v>1265</v>
      </c>
      <c r="F72">
        <v>35.9375</v>
      </c>
      <c r="G72">
        <v>0.35199999999999998</v>
      </c>
      <c r="H72">
        <v>0.78900000000000003</v>
      </c>
    </row>
    <row r="73" spans="2:8" x14ac:dyDescent="0.25">
      <c r="B73" t="s">
        <v>54</v>
      </c>
      <c r="C73" s="2" t="str">
        <f t="shared" si="0"/>
        <v>RB/ LN Equity</v>
      </c>
      <c r="D73" t="s">
        <v>136</v>
      </c>
      <c r="E73">
        <v>4926</v>
      </c>
      <c r="F73">
        <v>19.505728174254337</v>
      </c>
      <c r="G73">
        <v>2.5254120000000002</v>
      </c>
      <c r="H73">
        <v>2.6920000000000002</v>
      </c>
    </row>
    <row r="74" spans="2:8" x14ac:dyDescent="0.25">
      <c r="B74" t="s">
        <v>55</v>
      </c>
      <c r="C74" s="2" t="str">
        <f t="shared" ref="C74:C110" si="1">B74&amp;" Equity"</f>
        <v>RBS LN Equity</v>
      </c>
      <c r="D74" t="s">
        <v>137</v>
      </c>
      <c r="E74">
        <v>349.6</v>
      </c>
      <c r="G74">
        <v>-0.34670400000000001</v>
      </c>
      <c r="H74">
        <v>0.193</v>
      </c>
    </row>
    <row r="75" spans="2:8" x14ac:dyDescent="0.25">
      <c r="B75" t="s">
        <v>56</v>
      </c>
      <c r="C75" s="2" t="str">
        <f t="shared" si="1"/>
        <v>RDSA LN Equity</v>
      </c>
      <c r="D75" t="s">
        <v>138</v>
      </c>
      <c r="E75">
        <v>2263</v>
      </c>
      <c r="F75">
        <v>8.2021749713057783</v>
      </c>
      <c r="G75">
        <v>4.1454339999999998</v>
      </c>
      <c r="H75">
        <v>4.2309999999999999</v>
      </c>
    </row>
    <row r="76" spans="2:8" x14ac:dyDescent="0.25">
      <c r="B76" t="s">
        <v>57</v>
      </c>
      <c r="C76" s="2" t="str">
        <f t="shared" si="1"/>
        <v>RDSB LN Equity</v>
      </c>
      <c r="D76" t="s">
        <v>139</v>
      </c>
      <c r="E76">
        <v>2338.5</v>
      </c>
      <c r="F76">
        <v>8.4758224349971538</v>
      </c>
      <c r="G76">
        <v>4.1454339999999998</v>
      </c>
      <c r="H76">
        <v>4.2309999999999999</v>
      </c>
    </row>
    <row r="77" spans="2:8" x14ac:dyDescent="0.25">
      <c r="B77" t="s">
        <v>58</v>
      </c>
      <c r="C77" s="2" t="str">
        <f t="shared" si="1"/>
        <v>REL LN Equity</v>
      </c>
      <c r="D77" t="s">
        <v>140</v>
      </c>
      <c r="E77">
        <v>775.5</v>
      </c>
      <c r="F77">
        <v>16.867129216782303</v>
      </c>
      <c r="G77">
        <v>0.45977000000000001</v>
      </c>
      <c r="H77">
        <v>0.55000000000000004</v>
      </c>
    </row>
    <row r="78" spans="2:8" x14ac:dyDescent="0.25">
      <c r="B78" t="s">
        <v>59</v>
      </c>
      <c r="C78" s="2" t="str">
        <f t="shared" si="1"/>
        <v>REX LN Equity</v>
      </c>
      <c r="D78" t="s">
        <v>158</v>
      </c>
      <c r="E78">
        <v>540</v>
      </c>
      <c r="F78">
        <v>17.82178217821782</v>
      </c>
      <c r="G78">
        <v>0.30300000000000005</v>
      </c>
      <c r="H78">
        <v>0.41200000000000003</v>
      </c>
    </row>
    <row r="79" spans="2:8" x14ac:dyDescent="0.25">
      <c r="B79" t="s">
        <v>60</v>
      </c>
      <c r="C79" s="2" t="str">
        <f t="shared" si="1"/>
        <v>RIO LN Equity</v>
      </c>
      <c r="D79" t="s">
        <v>159</v>
      </c>
      <c r="E79">
        <v>3042.5</v>
      </c>
      <c r="G79">
        <v>-1.6130000000000004</v>
      </c>
      <c r="H79">
        <v>5.4960000000000004</v>
      </c>
    </row>
    <row r="80" spans="2:8" x14ac:dyDescent="0.25">
      <c r="B80" t="s">
        <v>61</v>
      </c>
      <c r="C80" s="2" t="str">
        <f t="shared" si="1"/>
        <v>RR/ LN Equity</v>
      </c>
      <c r="D80" t="s">
        <v>202</v>
      </c>
      <c r="E80">
        <v>1222</v>
      </c>
      <c r="F80">
        <v>9.9163601277928315</v>
      </c>
      <c r="G80">
        <v>1.232307</v>
      </c>
      <c r="H80">
        <v>0.66</v>
      </c>
    </row>
    <row r="81" spans="2:8" x14ac:dyDescent="0.25">
      <c r="B81" t="s">
        <v>62</v>
      </c>
      <c r="C81" s="2" t="str">
        <f t="shared" si="1"/>
        <v>RRS LN Equity</v>
      </c>
      <c r="D81" t="s">
        <v>160</v>
      </c>
      <c r="E81">
        <v>5035</v>
      </c>
      <c r="F81">
        <v>16.891747812359746</v>
      </c>
      <c r="G81">
        <v>4.4785699999999995</v>
      </c>
      <c r="H81">
        <v>4.157</v>
      </c>
    </row>
    <row r="82" spans="2:8" x14ac:dyDescent="0.25">
      <c r="B82" t="s">
        <v>63</v>
      </c>
      <c r="C82" s="2" t="str">
        <f t="shared" si="1"/>
        <v>RSA LN Equity</v>
      </c>
      <c r="D82" t="s">
        <v>161</v>
      </c>
      <c r="E82">
        <v>115.5</v>
      </c>
      <c r="F82">
        <v>12.186372364894806</v>
      </c>
      <c r="G82">
        <v>9.4778000000000001E-2</v>
      </c>
      <c r="H82">
        <v>0.122</v>
      </c>
    </row>
    <row r="83" spans="2:8" x14ac:dyDescent="0.25">
      <c r="B83" t="s">
        <v>64</v>
      </c>
      <c r="C83" s="2" t="str">
        <f t="shared" si="1"/>
        <v>RSL LN Equity</v>
      </c>
      <c r="D83" t="s">
        <v>162</v>
      </c>
      <c r="E83">
        <v>299</v>
      </c>
      <c r="G83">
        <v>-5.2264999999999999E-2</v>
      </c>
      <c r="H83">
        <v>0.24099999999999999</v>
      </c>
    </row>
    <row r="84" spans="2:8" x14ac:dyDescent="0.25">
      <c r="B84" t="s">
        <v>65</v>
      </c>
      <c r="C84" s="2" t="str">
        <f t="shared" si="1"/>
        <v>SAB LN Equity</v>
      </c>
      <c r="D84" t="s">
        <v>163</v>
      </c>
      <c r="E84">
        <v>3536</v>
      </c>
      <c r="F84">
        <v>25.799765838100008</v>
      </c>
      <c r="G84">
        <v>2.059259</v>
      </c>
      <c r="H84">
        <v>2.681</v>
      </c>
    </row>
    <row r="85" spans="2:8" x14ac:dyDescent="0.25">
      <c r="B85" t="s">
        <v>66</v>
      </c>
      <c r="C85" s="2" t="str">
        <f t="shared" si="1"/>
        <v>SBRY LN Equity</v>
      </c>
      <c r="D85" t="s">
        <v>164</v>
      </c>
      <c r="E85">
        <v>382</v>
      </c>
      <c r="F85">
        <v>11.705762483337676</v>
      </c>
      <c r="G85">
        <v>0.32633499999999999</v>
      </c>
      <c r="H85">
        <v>0.316</v>
      </c>
    </row>
    <row r="86" spans="2:8" x14ac:dyDescent="0.25">
      <c r="B86" t="s">
        <v>67</v>
      </c>
      <c r="C86" s="2" t="str">
        <f t="shared" si="1"/>
        <v>SDR LN Equity</v>
      </c>
      <c r="D86" t="s">
        <v>165</v>
      </c>
      <c r="E86">
        <v>2536</v>
      </c>
      <c r="F86">
        <v>24.204824739316138</v>
      </c>
      <c r="G86">
        <v>1.047725</v>
      </c>
      <c r="H86">
        <v>1.26</v>
      </c>
    </row>
    <row r="87" spans="2:8" x14ac:dyDescent="0.25">
      <c r="B87" t="s">
        <v>68</v>
      </c>
      <c r="C87" s="2" t="str">
        <f t="shared" si="1"/>
        <v>SGE LN Equity</v>
      </c>
      <c r="D87" t="s">
        <v>150</v>
      </c>
      <c r="E87">
        <v>367.2</v>
      </c>
      <c r="F87">
        <v>111.61094595958397</v>
      </c>
      <c r="G87">
        <v>3.2899999999999999E-2</v>
      </c>
      <c r="H87">
        <v>0.219</v>
      </c>
    </row>
    <row r="88" spans="2:8" x14ac:dyDescent="0.25">
      <c r="B88" t="s">
        <v>69</v>
      </c>
      <c r="C88" s="2" t="str">
        <f t="shared" si="1"/>
        <v>SHP LN Equity</v>
      </c>
      <c r="D88" t="s">
        <v>151</v>
      </c>
      <c r="E88">
        <v>2155</v>
      </c>
      <c r="F88">
        <v>31.477118508955439</v>
      </c>
      <c r="G88">
        <v>1.028648</v>
      </c>
      <c r="H88">
        <v>2.2469999999999999</v>
      </c>
    </row>
    <row r="89" spans="2:8" x14ac:dyDescent="0.25">
      <c r="B89" t="s">
        <v>70</v>
      </c>
      <c r="C89" s="2" t="str">
        <f t="shared" si="1"/>
        <v>SL/ LN Equity</v>
      </c>
      <c r="D89" t="s">
        <v>152</v>
      </c>
      <c r="E89">
        <v>421.7</v>
      </c>
      <c r="F89">
        <v>13.800755072015633</v>
      </c>
      <c r="G89">
        <v>0.30556299999999997</v>
      </c>
      <c r="H89">
        <v>0.24199999999999999</v>
      </c>
    </row>
    <row r="90" spans="2:8" x14ac:dyDescent="0.25">
      <c r="B90" t="s">
        <v>71</v>
      </c>
      <c r="C90" s="2" t="str">
        <f t="shared" si="1"/>
        <v>SMIN LN Equity</v>
      </c>
      <c r="D90" t="s">
        <v>153</v>
      </c>
      <c r="E90">
        <v>1370</v>
      </c>
      <c r="F90">
        <v>17.174548572632045</v>
      </c>
      <c r="G90">
        <v>0.79769200000000007</v>
      </c>
      <c r="H90">
        <v>0.93800000000000006</v>
      </c>
    </row>
    <row r="91" spans="2:8" x14ac:dyDescent="0.25">
      <c r="B91" t="s">
        <v>72</v>
      </c>
      <c r="C91" s="2" t="str">
        <f t="shared" si="1"/>
        <v>SN/ LN Equity</v>
      </c>
      <c r="D91" t="s">
        <v>154</v>
      </c>
      <c r="E91">
        <v>794.5</v>
      </c>
      <c r="F91">
        <v>15.052718221217923</v>
      </c>
      <c r="G91">
        <v>0.79303699999999999</v>
      </c>
      <c r="H91">
        <v>0.76600000000000001</v>
      </c>
    </row>
    <row r="92" spans="2:8" x14ac:dyDescent="0.25">
      <c r="B92" t="s">
        <v>73</v>
      </c>
      <c r="C92" s="2" t="str">
        <f t="shared" si="1"/>
        <v>SRP LN Equity</v>
      </c>
      <c r="D92" t="s">
        <v>155</v>
      </c>
      <c r="E92">
        <v>647.5</v>
      </c>
      <c r="F92">
        <v>12.965844261687785</v>
      </c>
      <c r="G92">
        <v>0.49938899999999997</v>
      </c>
      <c r="H92">
        <v>0.434</v>
      </c>
    </row>
    <row r="93" spans="2:8" x14ac:dyDescent="0.25">
      <c r="B93" t="s">
        <v>74</v>
      </c>
      <c r="C93" s="2" t="str">
        <f t="shared" si="1"/>
        <v>SSE LN Equity</v>
      </c>
      <c r="D93" t="s">
        <v>203</v>
      </c>
      <c r="E93">
        <v>1662</v>
      </c>
      <c r="F93">
        <v>37.150124951382963</v>
      </c>
      <c r="G93">
        <v>0.44737399999999999</v>
      </c>
      <c r="H93">
        <v>1.181</v>
      </c>
    </row>
    <row r="94" spans="2:8" x14ac:dyDescent="0.25">
      <c r="B94" t="s">
        <v>75</v>
      </c>
      <c r="C94" s="2" t="str">
        <f t="shared" si="1"/>
        <v>STAN LN Equity</v>
      </c>
      <c r="D94" t="s">
        <v>156</v>
      </c>
      <c r="E94">
        <v>1616</v>
      </c>
      <c r="F94">
        <v>11.907865633622389</v>
      </c>
      <c r="G94">
        <v>2.0390220000000001</v>
      </c>
      <c r="H94">
        <v>2.3290000000000002</v>
      </c>
    </row>
    <row r="95" spans="2:8" x14ac:dyDescent="0.25">
      <c r="B95" t="s">
        <v>76</v>
      </c>
      <c r="C95" s="2" t="str">
        <f t="shared" si="1"/>
        <v>SVT LN Equity</v>
      </c>
      <c r="D95" t="s">
        <v>157</v>
      </c>
      <c r="E95">
        <v>2045</v>
      </c>
      <c r="F95">
        <v>21.857444570803157</v>
      </c>
      <c r="G95">
        <v>0.935608</v>
      </c>
      <c r="H95">
        <v>0.86899999999999999</v>
      </c>
    </row>
    <row r="96" spans="2:8" x14ac:dyDescent="0.25">
      <c r="B96" t="s">
        <v>182</v>
      </c>
      <c r="C96" s="2" t="str">
        <f t="shared" si="1"/>
        <v>TATE LN Equity</v>
      </c>
      <c r="D96" t="s">
        <v>204</v>
      </c>
      <c r="E96">
        <v>857</v>
      </c>
      <c r="F96">
        <v>14.982517482517482</v>
      </c>
      <c r="G96">
        <v>0.57200000000000006</v>
      </c>
      <c r="H96">
        <v>0.55400000000000005</v>
      </c>
    </row>
    <row r="97" spans="2:8" x14ac:dyDescent="0.25">
      <c r="B97" t="s">
        <v>77</v>
      </c>
      <c r="C97" s="2" t="str">
        <f t="shared" si="1"/>
        <v>TLW LN Equity</v>
      </c>
      <c r="D97" t="s">
        <v>141</v>
      </c>
      <c r="E97">
        <v>1073</v>
      </c>
      <c r="F97">
        <v>23.417704511319695</v>
      </c>
      <c r="G97">
        <v>0.688446</v>
      </c>
      <c r="H97">
        <v>0.72099999999999997</v>
      </c>
    </row>
    <row r="98" spans="2:8" x14ac:dyDescent="0.25">
      <c r="B98" t="s">
        <v>78</v>
      </c>
      <c r="C98" s="2" t="str">
        <f t="shared" si="1"/>
        <v>TSCO LN Equity</v>
      </c>
      <c r="D98" t="s">
        <v>142</v>
      </c>
      <c r="E98">
        <v>386</v>
      </c>
      <c r="F98">
        <v>22.312138728323699</v>
      </c>
      <c r="G98">
        <v>0.17299999999999999</v>
      </c>
      <c r="H98">
        <v>0.33200000000000002</v>
      </c>
    </row>
    <row r="99" spans="2:8" x14ac:dyDescent="0.25">
      <c r="B99" t="s">
        <v>79</v>
      </c>
      <c r="C99" s="2" t="str">
        <f t="shared" si="1"/>
        <v>TT/ LN Equity</v>
      </c>
      <c r="D99" t="s">
        <v>143</v>
      </c>
      <c r="E99">
        <v>373.2</v>
      </c>
      <c r="F99">
        <v>25.021455441900294</v>
      </c>
      <c r="G99">
        <v>0.14915200000000001</v>
      </c>
      <c r="H99">
        <v>0.28100000000000003</v>
      </c>
    </row>
    <row r="100" spans="2:8" x14ac:dyDescent="0.25">
      <c r="B100" t="s">
        <v>80</v>
      </c>
      <c r="C100" s="2" t="str">
        <f t="shared" si="1"/>
        <v>ULVR LN Equity</v>
      </c>
      <c r="D100" t="s">
        <v>144</v>
      </c>
      <c r="E100">
        <v>2885</v>
      </c>
      <c r="F100">
        <v>21.328310022944905</v>
      </c>
      <c r="G100">
        <v>1.58371</v>
      </c>
      <c r="H100">
        <v>1.6719999999999999</v>
      </c>
    </row>
    <row r="101" spans="2:8" x14ac:dyDescent="0.25">
      <c r="B101" t="s">
        <v>81</v>
      </c>
      <c r="C101" s="2" t="str">
        <f t="shared" si="1"/>
        <v>UU/ LN Equity</v>
      </c>
      <c r="D101" t="s">
        <v>145</v>
      </c>
      <c r="E101">
        <v>781.5</v>
      </c>
      <c r="F101">
        <v>17.96551724137931</v>
      </c>
      <c r="G101">
        <v>0.435</v>
      </c>
      <c r="H101">
        <v>0.41200000000000003</v>
      </c>
    </row>
    <row r="102" spans="2:8" x14ac:dyDescent="0.25">
      <c r="B102" t="s">
        <v>82</v>
      </c>
      <c r="C102" s="2" t="str">
        <f t="shared" si="1"/>
        <v>VED LN Equity</v>
      </c>
      <c r="D102" t="s">
        <v>146</v>
      </c>
      <c r="E102">
        <v>1335</v>
      </c>
      <c r="F102">
        <v>34.777198110852183</v>
      </c>
      <c r="G102">
        <v>0.57676800000000006</v>
      </c>
      <c r="H102">
        <v>1.905</v>
      </c>
    </row>
    <row r="103" spans="2:8" x14ac:dyDescent="0.25">
      <c r="B103" t="s">
        <v>83</v>
      </c>
      <c r="C103" s="2" t="str">
        <f t="shared" si="1"/>
        <v>VOD LN Equity</v>
      </c>
      <c r="D103" t="s">
        <v>147</v>
      </c>
      <c r="E103">
        <v>196.8</v>
      </c>
      <c r="F103">
        <v>225.66219820176318</v>
      </c>
      <c r="G103">
        <v>8.7210000000000065E-3</v>
      </c>
      <c r="H103">
        <v>0.16400000000000001</v>
      </c>
    </row>
    <row r="104" spans="2:8" x14ac:dyDescent="0.25">
      <c r="B104" t="s">
        <v>183</v>
      </c>
      <c r="C104" s="2" t="str">
        <f t="shared" si="1"/>
        <v>WEIR LN Equity</v>
      </c>
      <c r="D104" t="s">
        <v>205</v>
      </c>
      <c r="E104">
        <v>2404</v>
      </c>
      <c r="F104">
        <v>16.342624065261724</v>
      </c>
      <c r="G104">
        <v>1.4710000000000001</v>
      </c>
      <c r="H104">
        <v>1.522</v>
      </c>
    </row>
    <row r="105" spans="2:8" x14ac:dyDescent="0.25">
      <c r="B105" t="s">
        <v>184</v>
      </c>
      <c r="C105" s="2" t="str">
        <f t="shared" si="1"/>
        <v>WG/ LN Equity</v>
      </c>
      <c r="D105" t="s">
        <v>206</v>
      </c>
      <c r="E105">
        <v>848</v>
      </c>
      <c r="F105">
        <v>19.501846684615654</v>
      </c>
      <c r="G105">
        <v>0.65333299999999994</v>
      </c>
      <c r="H105">
        <v>0.98399999999999999</v>
      </c>
    </row>
    <row r="106" spans="2:8" x14ac:dyDescent="0.25">
      <c r="B106" t="s">
        <v>185</v>
      </c>
      <c r="C106" s="2" t="str">
        <f t="shared" si="1"/>
        <v>WMH LN Equity</v>
      </c>
      <c r="D106" t="s">
        <v>207</v>
      </c>
      <c r="E106">
        <v>452.8</v>
      </c>
      <c r="F106">
        <v>18.084362895677302</v>
      </c>
      <c r="G106">
        <v>0.250382051281</v>
      </c>
      <c r="H106">
        <v>0.28800000000000003</v>
      </c>
    </row>
    <row r="107" spans="2:8" x14ac:dyDescent="0.25">
      <c r="B107" t="s">
        <v>84</v>
      </c>
      <c r="C107" s="2" t="str">
        <f t="shared" si="1"/>
        <v>WOS LN Equity</v>
      </c>
      <c r="D107" t="s">
        <v>148</v>
      </c>
      <c r="E107">
        <v>3431</v>
      </c>
      <c r="F107">
        <v>1106.7741935483862</v>
      </c>
      <c r="G107">
        <v>3.1000000000000028E-2</v>
      </c>
      <c r="H107">
        <v>1.82</v>
      </c>
    </row>
    <row r="108" spans="2:8" x14ac:dyDescent="0.25">
      <c r="B108" t="s">
        <v>85</v>
      </c>
      <c r="C108" s="2" t="str">
        <f t="shared" si="1"/>
        <v>WPP LN Equity</v>
      </c>
      <c r="D108" t="s">
        <v>149</v>
      </c>
      <c r="E108">
        <v>1178</v>
      </c>
      <c r="F108">
        <v>17.803867278063763</v>
      </c>
      <c r="G108">
        <v>0.66165399999999996</v>
      </c>
      <c r="H108">
        <v>0.81900000000000006</v>
      </c>
    </row>
    <row r="109" spans="2:8" x14ac:dyDescent="0.25">
      <c r="B109" t="s">
        <v>86</v>
      </c>
      <c r="C109" s="2" t="str">
        <f t="shared" si="1"/>
        <v>WTB LN Equity</v>
      </c>
      <c r="D109" t="s">
        <v>130</v>
      </c>
      <c r="E109">
        <v>2887</v>
      </c>
      <c r="F109">
        <v>16.893947905548377</v>
      </c>
      <c r="G109">
        <v>1.708896</v>
      </c>
      <c r="H109">
        <v>1.667</v>
      </c>
    </row>
    <row r="110" spans="2:8" x14ac:dyDescent="0.25">
      <c r="C110" s="2" t="str">
        <f t="shared" si="1"/>
        <v xml:space="preserve"> Equity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Request">
                <anchor moveWithCells="1" sizeWithCells="1">
                  <from>
                    <xdr:col>0</xdr:col>
                    <xdr:colOff>447675</xdr:colOff>
                    <xdr:row>3</xdr:row>
                    <xdr:rowOff>85725</xdr:rowOff>
                  </from>
                  <to>
                    <xdr:col>2</xdr:col>
                    <xdr:colOff>561975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referenceDataRequest</vt:lpstr>
    </vt:vector>
  </TitlesOfParts>
  <Company>Grizli777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Morgan</dc:creator>
  <cp:lastModifiedBy>mwilliams59</cp:lastModifiedBy>
  <dcterms:created xsi:type="dcterms:W3CDTF">2009-10-14T16:48:14Z</dcterms:created>
  <dcterms:modified xsi:type="dcterms:W3CDTF">2013-05-23T06:45:37Z</dcterms:modified>
</cp:coreProperties>
</file>