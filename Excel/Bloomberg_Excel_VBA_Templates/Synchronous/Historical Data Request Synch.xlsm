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35" windowWidth="18960" windowHeight="11760"/>
  </bookViews>
  <sheets>
    <sheet name="HistoricalDataRequest" sheetId="1" r:id="rId1"/>
  </sheets>
  <calcPr calcId="145621"/>
</workbook>
</file>

<file path=xl/calcChain.xml><?xml version="1.0" encoding="utf-8"?>
<calcChain xmlns="http://schemas.openxmlformats.org/spreadsheetml/2006/main">
  <c r="D11" i="1" l="1"/>
  <c r="C7" i="1"/>
  <c r="C8" i="1"/>
</calcChain>
</file>

<file path=xl/comments1.xml><?xml version="1.0" encoding="utf-8"?>
<comments xmlns="http://schemas.openxmlformats.org/spreadsheetml/2006/main">
  <authors>
    <author>mwilliams59</author>
    <author>Morgan</author>
  </authors>
  <commentList>
    <comment ref="C9" authorId="0">
      <text>
        <r>
          <rPr>
            <b/>
            <sz val="8"/>
            <color indexed="81"/>
            <rFont val="Tahoma"/>
            <family val="2"/>
          </rPr>
          <t>Choice of ACTUAL, CALENDAR, FISCAL based on required calendar type</t>
        </r>
      </text>
    </comment>
    <comment ref="C10" authorId="0">
      <text>
        <r>
          <rPr>
            <b/>
            <sz val="8"/>
            <color indexed="81"/>
            <rFont val="Tahoma"/>
            <family val="2"/>
          </rPr>
          <t>Choice of DAILY, WEEKLY, MONTHLY, QUARTERLY, SEMI_ANNUAL or YEARLY periodicity</t>
        </r>
      </text>
    </comment>
    <comment ref="C11" authorId="0">
      <text>
        <r>
          <rPr>
            <b/>
            <sz val="8"/>
            <color indexed="81"/>
            <rFont val="Tahoma"/>
            <family val="2"/>
          </rPr>
          <t>If required, enter calendar code of your choice from the CDR page to adjust the settlement calendar your data follows. 5D gives Mon-Fri week.</t>
        </r>
      </text>
    </comment>
    <comment ref="D11" authorId="0">
      <text>
        <r>
          <rPr>
            <b/>
            <sz val="8"/>
            <color indexed="81"/>
            <rFont val="Tahoma"/>
            <family val="2"/>
          </rPr>
          <t>CDR codes can only be used with daily periodicity. This cell determines whether that is the case.</t>
        </r>
      </text>
    </comment>
    <comment ref="C12" authorId="1">
      <text>
        <r>
          <rPr>
            <b/>
            <sz val="8"/>
            <color indexed="81"/>
            <rFont val="Tahoma"/>
            <family val="2"/>
          </rPr>
          <t>Enter required currency ISO code</t>
        </r>
      </text>
    </comment>
  </commentList>
</comments>
</file>

<file path=xl/sharedStrings.xml><?xml version="1.0" encoding="utf-8"?>
<sst xmlns="http://schemas.openxmlformats.org/spreadsheetml/2006/main" count="22" uniqueCount="16">
  <si>
    <t>Securities</t>
  </si>
  <si>
    <t>Fields</t>
  </si>
  <si>
    <t>Start Date</t>
  </si>
  <si>
    <t>End Date</t>
  </si>
  <si>
    <t>Period Adjustment</t>
  </si>
  <si>
    <t>Periodicity</t>
  </si>
  <si>
    <t>CDR Code</t>
  </si>
  <si>
    <t>VOD LN Equity</t>
  </si>
  <si>
    <t>5D</t>
  </si>
  <si>
    <t>Currency</t>
  </si>
  <si>
    <t>IBM US Equity</t>
  </si>
  <si>
    <t>FP FP Equity</t>
  </si>
  <si>
    <t>FISCAL</t>
  </si>
  <si>
    <t>YEARLY</t>
  </si>
  <si>
    <t>PE_RATIO</t>
  </si>
  <si>
    <t>TRAIL_12M_EPS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</si>
</sst>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0" applyFont="1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37764</v>
        <stp/>
        <stp>##V3_BADDPERIODS</stp>
        <stp>23/05/2013</stp>
        <stp>[Historical Data Request Synch.xlsm]HistoricalDataRequest!R7C3</stp>
        <stp>numberofperiods=-10</stp>
        <stp>per=y</stp>
        <tr r="C7" s="1"/>
      </tp>
      <tp>
        <v>0</v>
        <stp/>
        <stp>##V3_BTODAY</stp>
        <stp>[Historical Data Request Synch.xlsm]HistoricalDataRequest!R8C3</stp>
        <stp/>
        <tr r="C8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10</xdr:col>
      <xdr:colOff>526478</xdr:colOff>
      <xdr:row>2</xdr:row>
      <xdr:rowOff>133351</xdr:rowOff>
    </xdr:to>
    <xdr:grpSp>
      <xdr:nvGrpSpPr>
        <xdr:cNvPr id="5" name="Group 4"/>
        <xdr:cNvGrpSpPr/>
      </xdr:nvGrpSpPr>
      <xdr:grpSpPr>
        <a:xfrm>
          <a:off x="1" y="0"/>
          <a:ext cx="9203752" cy="514351"/>
          <a:chOff x="1" y="0"/>
          <a:chExt cx="8660827" cy="514351"/>
        </a:xfrm>
      </xdr:grpSpPr>
      <xdr:sp macro="" textlink="">
        <xdr:nvSpPr>
          <xdr:cNvPr id="3" name="BannerTitle"/>
          <xdr:cNvSpPr>
            <a:spLocks noChangeArrowheads="1"/>
          </xdr:cNvSpPr>
        </xdr:nvSpPr>
        <xdr:spPr bwMode="auto">
          <a:xfrm>
            <a:off x="2" y="1"/>
            <a:ext cx="8660826" cy="514350"/>
          </a:xfrm>
          <a:prstGeom prst="rect">
            <a:avLst/>
          </a:prstGeom>
          <a:gradFill rotWithShape="1">
            <a:gsLst>
              <a:gs pos="0">
                <a:srgbClr val="477AB7"/>
              </a:gs>
              <a:gs pos="100000">
                <a:srgbClr val="B8CCE4">
                  <a:alpha val="74001"/>
                </a:srgbClr>
              </a:gs>
            </a:gsLst>
            <a:lin ang="0" scaled="1"/>
          </a:gradFill>
          <a:ln w="9525">
            <a:solidFill>
              <a:srgbClr val="99CCFF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 upright="1"/>
          <a:lstStyle/>
          <a:p>
            <a:pPr algn="ctr" rtl="0">
              <a:defRPr sz="1000"/>
            </a:pPr>
            <a:r>
              <a:rPr lang="en-GB" sz="2600" b="1" i="0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V3 Historical Data Request Sample</a:t>
            </a:r>
            <a:endParaRPr lang="en-GB" sz="22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" name="Picture 3" descr="BLOOMBERG-logo-blk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1" y="0"/>
            <a:ext cx="1219199" cy="2667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7</xdr:row>
          <xdr:rowOff>28575</xdr:rowOff>
        </xdr:from>
        <xdr:to>
          <xdr:col>6</xdr:col>
          <xdr:colOff>314325</xdr:colOff>
          <xdr:row>9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Data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L24"/>
  <sheetViews>
    <sheetView tabSelected="1" workbookViewId="0"/>
  </sheetViews>
  <sheetFormatPr defaultRowHeight="15" x14ac:dyDescent="0.25"/>
  <cols>
    <col min="2" max="2" width="18" bestFit="1" customWidth="1"/>
    <col min="3" max="3" width="14.85546875" bestFit="1" customWidth="1"/>
    <col min="4" max="4" width="13.28515625" bestFit="1" customWidth="1"/>
    <col min="5" max="5" width="13.140625" bestFit="1" customWidth="1"/>
    <col min="6" max="6" width="10.7109375" bestFit="1" customWidth="1"/>
    <col min="7" max="7" width="14.85546875" bestFit="1" customWidth="1"/>
    <col min="8" max="8" width="11.85546875" bestFit="1" customWidth="1"/>
    <col min="10" max="10" width="15.140625" bestFit="1" customWidth="1"/>
    <col min="11" max="11" width="14.85546875" bestFit="1" customWidth="1"/>
    <col min="12" max="12" width="11.85546875" bestFit="1" customWidth="1"/>
    <col min="14" max="14" width="10.140625" bestFit="1" customWidth="1"/>
  </cols>
  <sheetData>
    <row r="5" spans="2:12" x14ac:dyDescent="0.25">
      <c r="B5" s="1" t="s">
        <v>0</v>
      </c>
      <c r="C5" t="s">
        <v>7</v>
      </c>
      <c r="D5" t="s">
        <v>10</v>
      </c>
      <c r="E5" t="s">
        <v>11</v>
      </c>
    </row>
    <row r="6" spans="2:12" x14ac:dyDescent="0.25">
      <c r="B6" s="1" t="s">
        <v>1</v>
      </c>
      <c r="C6" t="s">
        <v>15</v>
      </c>
      <c r="D6" t="s">
        <v>14</v>
      </c>
    </row>
    <row r="7" spans="2:12" x14ac:dyDescent="0.25">
      <c r="B7" s="1" t="s">
        <v>2</v>
      </c>
      <c r="C7" s="2">
        <f>_xll.BAddPeriods(C8,"numberofperiods=-10","per=y")</f>
        <v>37764</v>
      </c>
    </row>
    <row r="8" spans="2:12" x14ac:dyDescent="0.25">
      <c r="B8" s="1" t="s">
        <v>3</v>
      </c>
      <c r="C8" s="2">
        <f>_xll.BToday()</f>
        <v>41417</v>
      </c>
    </row>
    <row r="9" spans="2:12" x14ac:dyDescent="0.25">
      <c r="B9" s="1" t="s">
        <v>4</v>
      </c>
      <c r="C9" t="s">
        <v>12</v>
      </c>
    </row>
    <row r="10" spans="2:12" x14ac:dyDescent="0.25">
      <c r="B10" s="1" t="s">
        <v>5</v>
      </c>
      <c r="C10" t="s">
        <v>13</v>
      </c>
    </row>
    <row r="11" spans="2:12" x14ac:dyDescent="0.25">
      <c r="B11" s="1" t="s">
        <v>6</v>
      </c>
      <c r="C11" t="s">
        <v>8</v>
      </c>
      <c r="D11" s="3" t="str">
        <f>IF(NOT(C10="DAILY"),"",C11)</f>
        <v/>
      </c>
    </row>
    <row r="12" spans="2:12" x14ac:dyDescent="0.25">
      <c r="B12" s="1" t="s">
        <v>9</v>
      </c>
      <c r="D12" s="3"/>
    </row>
    <row r="14" spans="2:12" x14ac:dyDescent="0.25">
      <c r="C14" t="s">
        <v>15</v>
      </c>
      <c r="D14" t="s">
        <v>14</v>
      </c>
      <c r="G14" t="s">
        <v>15</v>
      </c>
      <c r="H14" t="s">
        <v>14</v>
      </c>
      <c r="K14" t="s">
        <v>15</v>
      </c>
      <c r="L14" t="s">
        <v>14</v>
      </c>
    </row>
    <row r="15" spans="2:12" x14ac:dyDescent="0.25">
      <c r="B15" s="4">
        <v>38077</v>
      </c>
      <c r="C15">
        <v>-0.13150000000000001</v>
      </c>
      <c r="F15" s="4">
        <v>37986</v>
      </c>
      <c r="G15">
        <v>4.34</v>
      </c>
      <c r="H15">
        <v>21.354800000000001</v>
      </c>
      <c r="J15" s="4">
        <v>37986</v>
      </c>
      <c r="K15">
        <v>2.7749999999999999</v>
      </c>
      <c r="L15">
        <v>13.279299999999999</v>
      </c>
    </row>
    <row r="16" spans="2:12" x14ac:dyDescent="0.25">
      <c r="B16" s="4">
        <v>38442</v>
      </c>
      <c r="C16">
        <v>8.1199999999999994E-2</v>
      </c>
      <c r="D16">
        <v>17.303000000000001</v>
      </c>
      <c r="F16" s="4">
        <v>38352</v>
      </c>
      <c r="G16">
        <v>4.5199999999999996</v>
      </c>
      <c r="H16">
        <v>21.809699999999999</v>
      </c>
      <c r="J16" s="4">
        <v>38352</v>
      </c>
      <c r="K16">
        <v>4.4974999999999996</v>
      </c>
      <c r="L16">
        <v>8.9327000000000005</v>
      </c>
    </row>
    <row r="17" spans="2:12" x14ac:dyDescent="0.25">
      <c r="B17" s="4">
        <v>38807</v>
      </c>
      <c r="C17">
        <v>-0.27660000000000001</v>
      </c>
      <c r="F17" s="4">
        <v>38717</v>
      </c>
      <c r="G17">
        <v>5.16</v>
      </c>
      <c r="H17">
        <v>15.930199999999999</v>
      </c>
      <c r="J17" s="4">
        <v>38717</v>
      </c>
      <c r="K17">
        <v>5.1753999999999998</v>
      </c>
      <c r="L17">
        <v>10.250299999999999</v>
      </c>
    </row>
    <row r="18" spans="2:12" x14ac:dyDescent="0.25">
      <c r="B18" s="4">
        <v>39172</v>
      </c>
      <c r="C18">
        <v>-8.9399999999999993E-2</v>
      </c>
      <c r="F18" s="4">
        <v>39082</v>
      </c>
      <c r="G18">
        <v>6.06</v>
      </c>
      <c r="H18">
        <v>16.031400000000001</v>
      </c>
      <c r="J18" s="4">
        <v>39082</v>
      </c>
      <c r="K18">
        <v>5.1322000000000001</v>
      </c>
      <c r="L18">
        <v>10.6485</v>
      </c>
    </row>
    <row r="19" spans="2:12" x14ac:dyDescent="0.25">
      <c r="B19" s="4">
        <v>39538</v>
      </c>
      <c r="C19">
        <v>0.12559999999999999</v>
      </c>
      <c r="D19">
        <v>12.0129</v>
      </c>
      <c r="F19" s="4">
        <v>39447</v>
      </c>
      <c r="G19">
        <v>7.14</v>
      </c>
      <c r="H19">
        <v>15.1401</v>
      </c>
      <c r="J19" s="4">
        <v>39447</v>
      </c>
      <c r="K19">
        <v>5.84</v>
      </c>
      <c r="L19">
        <v>9.7311999999999994</v>
      </c>
    </row>
    <row r="20" spans="2:12" x14ac:dyDescent="0.25">
      <c r="B20" s="4">
        <v>39903</v>
      </c>
      <c r="C20">
        <v>5.8400000000000001E-2</v>
      </c>
      <c r="D20">
        <v>21.031400000000001</v>
      </c>
      <c r="F20" s="4">
        <v>39813</v>
      </c>
      <c r="G20">
        <v>8.93</v>
      </c>
      <c r="H20">
        <v>9.4244000000000003</v>
      </c>
      <c r="J20" s="4">
        <v>39813</v>
      </c>
      <c r="K20">
        <v>4.74</v>
      </c>
      <c r="L20">
        <v>8.2088999999999999</v>
      </c>
    </row>
    <row r="21" spans="2:12" x14ac:dyDescent="0.25">
      <c r="B21" s="4">
        <v>40268</v>
      </c>
      <c r="C21">
        <v>0.16439999999999999</v>
      </c>
      <c r="D21">
        <v>9.2475000000000005</v>
      </c>
      <c r="F21" s="4">
        <v>40178</v>
      </c>
      <c r="G21">
        <v>10.01</v>
      </c>
      <c r="H21">
        <v>13.0769</v>
      </c>
      <c r="J21" s="4">
        <v>40178</v>
      </c>
      <c r="K21">
        <v>3.79</v>
      </c>
      <c r="L21">
        <v>11.874700000000001</v>
      </c>
    </row>
    <row r="22" spans="2:12" x14ac:dyDescent="0.25">
      <c r="B22" s="4">
        <v>40633</v>
      </c>
      <c r="C22">
        <v>0.152</v>
      </c>
      <c r="D22">
        <v>11.6089</v>
      </c>
      <c r="F22" s="4">
        <v>40543</v>
      </c>
      <c r="G22">
        <v>11.52</v>
      </c>
      <c r="H22">
        <v>12.739599999999999</v>
      </c>
      <c r="J22" s="4">
        <v>40543</v>
      </c>
      <c r="K22">
        <v>4.7300000000000004</v>
      </c>
      <c r="L22">
        <v>8.3826999999999998</v>
      </c>
    </row>
    <row r="23" spans="2:12" x14ac:dyDescent="0.25">
      <c r="B23" s="4">
        <v>40999</v>
      </c>
      <c r="C23">
        <v>0.13739999999999999</v>
      </c>
      <c r="D23">
        <v>12.535399999999999</v>
      </c>
      <c r="F23" s="4">
        <v>40908</v>
      </c>
      <c r="G23">
        <v>13.44</v>
      </c>
      <c r="H23">
        <v>13.6815</v>
      </c>
      <c r="J23" s="4">
        <v>40908</v>
      </c>
      <c r="K23">
        <v>5.46</v>
      </c>
      <c r="L23">
        <v>7.2343999999999999</v>
      </c>
    </row>
    <row r="24" spans="2:12" x14ac:dyDescent="0.25">
      <c r="B24" s="4">
        <v>41364</v>
      </c>
      <c r="C24">
        <v>8.6999999999999994E-3</v>
      </c>
      <c r="D24">
        <v>213.96629999999999</v>
      </c>
      <c r="F24" s="4">
        <v>41274</v>
      </c>
      <c r="G24">
        <v>15.25</v>
      </c>
      <c r="H24">
        <v>12.560700000000001</v>
      </c>
      <c r="J24" s="4">
        <v>41274</v>
      </c>
      <c r="K24">
        <v>4.74</v>
      </c>
      <c r="L24">
        <v>8.23</v>
      </c>
    </row>
  </sheetData>
  <dataValidations count="2">
    <dataValidation type="list" allowBlank="1" showInputMessage="1" showErrorMessage="1" sqref="C9">
      <formula1>"ACTUAL,CALENDAR,FISCAL"</formula1>
    </dataValidation>
    <dataValidation type="list" allowBlank="1" showInputMessage="1" showErrorMessage="1" sqref="C10">
      <formula1>"DAILY,WEEKLY,MONTHLY,QUARTERLY,SEMI_ANNUAL,YEARLY"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_xludf.Request">
                <anchor moveWithCells="1" sizeWithCells="1">
                  <from>
                    <xdr:col>5</xdr:col>
                    <xdr:colOff>76200</xdr:colOff>
                    <xdr:row>7</xdr:row>
                    <xdr:rowOff>28575</xdr:rowOff>
                  </from>
                  <to>
                    <xdr:col>6</xdr:col>
                    <xdr:colOff>314325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HistoricalDataRequest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mwilliams59</dc:creator>
  <cp:lastModifiedBy>mwilliams59</cp:lastModifiedBy>
  <dcterms:created xsi:type="dcterms:W3CDTF">2009-10-29T12:57:45Z</dcterms:created>
  <dcterms:modified xsi:type="dcterms:W3CDTF">2013-05-23T06:36:19Z</dcterms:modified>
</cp:coreProperties>
</file>