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9095" windowHeight="8445"/>
  </bookViews>
  <sheets>
    <sheet name="referenceDataRequest" sheetId="1" r:id="rId1"/>
  </sheets>
  <calcPr calcId="145621"/>
</workbook>
</file>

<file path=xl/calcChain.xml><?xml version="1.0" encoding="utf-8"?>
<calcChain xmlns="http://schemas.openxmlformats.org/spreadsheetml/2006/main">
  <c r="C10" i="1" l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B9" i="1"/>
  <c r="C9" i="1" l="1"/>
</calcChain>
</file>

<file path=xl/sharedStrings.xml><?xml version="1.0" encoding="utf-8"?>
<sst xmlns="http://schemas.openxmlformats.org/spreadsheetml/2006/main" count="106" uniqueCount="106">
  <si>
    <t>NAME</t>
  </si>
  <si>
    <t>PX_LAST</t>
  </si>
  <si>
    <t>PE_RATIO</t>
  </si>
  <si>
    <t>BEST_EPS</t>
  </si>
  <si>
    <t>Securities down</t>
  </si>
  <si>
    <t>Fields across</t>
  </si>
  <si>
    <t>AI FP</t>
  </si>
  <si>
    <t>ALV GY</t>
  </si>
  <si>
    <t>BAS GY</t>
  </si>
  <si>
    <t>BAYN GY</t>
  </si>
  <si>
    <t>BBVA SQ</t>
  </si>
  <si>
    <t>BN FP</t>
  </si>
  <si>
    <t>BNP FP</t>
  </si>
  <si>
    <t>CA FP</t>
  </si>
  <si>
    <t>CRH ID</t>
  </si>
  <si>
    <t>CS FP</t>
  </si>
  <si>
    <t>DAI GY</t>
  </si>
  <si>
    <t>DBK GY</t>
  </si>
  <si>
    <t>DG FP</t>
  </si>
  <si>
    <t>DTE GY</t>
  </si>
  <si>
    <t>ENEL IM</t>
  </si>
  <si>
    <t>ENI IM</t>
  </si>
  <si>
    <t>EOAN GY</t>
  </si>
  <si>
    <t>FP FP</t>
  </si>
  <si>
    <t>FTE FP</t>
  </si>
  <si>
    <t>G IM</t>
  </si>
  <si>
    <t>GLE FP</t>
  </si>
  <si>
    <t>GSZ FP</t>
  </si>
  <si>
    <t>IBE SQ</t>
  </si>
  <si>
    <t>INGA NA</t>
  </si>
  <si>
    <t>ISP IM</t>
  </si>
  <si>
    <t>MC FP</t>
  </si>
  <si>
    <t>MT NA</t>
  </si>
  <si>
    <t>MUV2 GY</t>
  </si>
  <si>
    <t>OR FP</t>
  </si>
  <si>
    <t>PHIA NA</t>
  </si>
  <si>
    <t>REP SQ</t>
  </si>
  <si>
    <t>RWE GY</t>
  </si>
  <si>
    <t>SAN FP</t>
  </si>
  <si>
    <t>SAN SQ</t>
  </si>
  <si>
    <t>SAP GY</t>
  </si>
  <si>
    <t>SGO FP</t>
  </si>
  <si>
    <t>SIE GY</t>
  </si>
  <si>
    <t>SU FP</t>
  </si>
  <si>
    <t>TEF SQ</t>
  </si>
  <si>
    <t>UCG IM</t>
  </si>
  <si>
    <t>UNA NA</t>
  </si>
  <si>
    <t>VIV FP</t>
  </si>
  <si>
    <t>BNP PARIBAS</t>
  </si>
  <si>
    <t>CARREFOUR SA</t>
  </si>
  <si>
    <t>CRH PLC</t>
  </si>
  <si>
    <t>AXA SA</t>
  </si>
  <si>
    <t>DAIMLER AG-REGISTERED SHARES</t>
  </si>
  <si>
    <t>DEUTSCHE BANK AG-REGISTERED</t>
  </si>
  <si>
    <t>VINCI SA</t>
  </si>
  <si>
    <t>DEUTSCHE TELEKOM AG-REG</t>
  </si>
  <si>
    <t>ENEL SPA</t>
  </si>
  <si>
    <t>ENI SPA</t>
  </si>
  <si>
    <t>TOTAL SA</t>
  </si>
  <si>
    <t>FRANCE TELECOM SA</t>
  </si>
  <si>
    <t>ASSICURAZIONI GENERALI</t>
  </si>
  <si>
    <t>SOCIETE GENERALE</t>
  </si>
  <si>
    <t>GDF SUEZ</t>
  </si>
  <si>
    <t>IBERDROLA SA</t>
  </si>
  <si>
    <t>ING GROEP NV-CVA</t>
  </si>
  <si>
    <t>INTESA SANPAOLO</t>
  </si>
  <si>
    <t>SAP AG</t>
  </si>
  <si>
    <t>COMPAGNIE DE SAINT-GOBAIN</t>
  </si>
  <si>
    <t>SIEMENS AG-REG</t>
  </si>
  <si>
    <t>SCHNEIDER ELECTRIC SA</t>
  </si>
  <si>
    <t>TELEFONICA SA</t>
  </si>
  <si>
    <t>UNICREDIT SPA</t>
  </si>
  <si>
    <t>UNIBAIL-RODAMCO SE</t>
  </si>
  <si>
    <t>UNILEVER NV-CVA</t>
  </si>
  <si>
    <t>VIVENDI</t>
  </si>
  <si>
    <t>ANHEUSER-BUSCH INBEV NV</t>
  </si>
  <si>
    <t>AIR LIQUIDE SA</t>
  </si>
  <si>
    <t>ALLIANZ SE-REG</t>
  </si>
  <si>
    <t>BASF SE</t>
  </si>
  <si>
    <t>BANCO BILBAO VIZCAYA ARGENTA</t>
  </si>
  <si>
    <t>DANONE</t>
  </si>
  <si>
    <t>LVMH MOET HENNESSY LOUIS VUI</t>
  </si>
  <si>
    <t>ARCELORMITTAL</t>
  </si>
  <si>
    <t>MUENCHENER RUECKVER AG-REG</t>
  </si>
  <si>
    <t>L'OREAL</t>
  </si>
  <si>
    <t>RWE AG</t>
  </si>
  <si>
    <t>BANCO SANTANDER SA</t>
  </si>
  <si>
    <t>TRAIL_12M_EPS</t>
  </si>
  <si>
    <t>ASML NA</t>
  </si>
  <si>
    <t>BMW GY</t>
  </si>
  <si>
    <t>EAD FP</t>
  </si>
  <si>
    <t>EI FP</t>
  </si>
  <si>
    <t>ITX SQ</t>
  </si>
  <si>
    <t>UL NA</t>
  </si>
  <si>
    <t>VOW3 GY</t>
  </si>
  <si>
    <t>E.ON SE</t>
  </si>
  <si>
    <t>VOLKSWAGEN AG-PREF</t>
  </si>
  <si>
    <t>INDITEX</t>
  </si>
  <si>
    <t>KONINKLIJKE PHILIPS NV</t>
  </si>
  <si>
    <t>REPSOL SA</t>
  </si>
  <si>
    <t>SANOFI</t>
  </si>
  <si>
    <t>ASML HOLDING NV</t>
  </si>
  <si>
    <t>BAYER AG-REG</t>
  </si>
  <si>
    <t>BAYERISCHE MOTOREN WERKE AG</t>
  </si>
  <si>
    <t>EADS NV</t>
  </si>
  <si>
    <t>ESSILOR INTERNATIONAL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</si>
</sst>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ABI BB</v>
        <stp/>
        <stp>##V3_BDSV12</stp>
        <stp>SX5E INDEX</stp>
        <stp>INDX MEMBERS</stp>
        <stp>[Reference Data Request Synch.xlsm]referenceDataRequest!R9C2_x0000__x0000_</stp>
        <stp>cols=1;rows=50</stp>
        <tr r="B9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228600</xdr:colOff>
      <xdr:row>2</xdr:row>
      <xdr:rowOff>133351</xdr:rowOff>
    </xdr:to>
    <xdr:grpSp>
      <xdr:nvGrpSpPr>
        <xdr:cNvPr id="2" name="Group 1"/>
        <xdr:cNvGrpSpPr/>
      </xdr:nvGrpSpPr>
      <xdr:grpSpPr>
        <a:xfrm>
          <a:off x="0" y="0"/>
          <a:ext cx="9763125" cy="514351"/>
          <a:chOff x="0" y="0"/>
          <a:chExt cx="9134475" cy="514351"/>
        </a:xfrm>
      </xdr:grpSpPr>
      <xdr:sp macro="" textlink="">
        <xdr:nvSpPr>
          <xdr:cNvPr id="3" name="BannerTitle"/>
          <xdr:cNvSpPr>
            <a:spLocks noChangeArrowheads="1"/>
          </xdr:cNvSpPr>
        </xdr:nvSpPr>
        <xdr:spPr bwMode="auto">
          <a:xfrm>
            <a:off x="1" y="1"/>
            <a:ext cx="9134474" cy="514350"/>
          </a:xfrm>
          <a:prstGeom prst="rect">
            <a:avLst/>
          </a:prstGeom>
          <a:gradFill rotWithShape="1">
            <a:gsLst>
              <a:gs pos="0">
                <a:srgbClr val="477AB7"/>
              </a:gs>
              <a:gs pos="100000">
                <a:srgbClr val="B8CCE4">
                  <a:alpha val="74001"/>
                </a:srgbClr>
              </a:gs>
            </a:gsLst>
            <a:lin ang="0" scaled="1"/>
          </a:gradFill>
          <a:ln w="9525">
            <a:solidFill>
              <a:srgbClr val="99CCFF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ctr" upright="1"/>
          <a:lstStyle/>
          <a:p>
            <a:pPr algn="ctr" rtl="0">
              <a:defRPr sz="1000"/>
            </a:pPr>
            <a:r>
              <a:rPr lang="en-GB" sz="2600" b="1" i="0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V3 Reference Data Request Sample</a:t>
            </a:r>
            <a:endParaRPr lang="en-GB" sz="22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" name="Picture 3" descr="BLOOMBERG-logo-blk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</a:blip>
          <a:srcRect/>
          <a:stretch>
            <a:fillRect/>
          </a:stretch>
        </xdr:blipFill>
        <xdr:spPr bwMode="auto">
          <a:xfrm>
            <a:off x="0" y="0"/>
            <a:ext cx="1285875" cy="2667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3</xdr:row>
          <xdr:rowOff>85725</xdr:rowOff>
        </xdr:from>
        <xdr:to>
          <xdr:col>2</xdr:col>
          <xdr:colOff>561975</xdr:colOff>
          <xdr:row>6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Data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7:H508"/>
  <sheetViews>
    <sheetView tabSelected="1" workbookViewId="0">
      <selection activeCell="E24" sqref="E24"/>
    </sheetView>
  </sheetViews>
  <sheetFormatPr defaultRowHeight="15" x14ac:dyDescent="0.25"/>
  <cols>
    <col min="1" max="1" width="15.28515625" bestFit="1" customWidth="1"/>
    <col min="2" max="2" width="10" bestFit="1" customWidth="1"/>
    <col min="3" max="3" width="16.140625" bestFit="1" customWidth="1"/>
    <col min="4" max="4" width="31.85546875" bestFit="1" customWidth="1"/>
    <col min="5" max="5" width="8.42578125" bestFit="1" customWidth="1"/>
    <col min="6" max="6" width="9.5703125" bestFit="1" customWidth="1"/>
    <col min="7" max="7" width="15" bestFit="1" customWidth="1"/>
    <col min="8" max="8" width="9.28515625" bestFit="1" customWidth="1"/>
  </cols>
  <sheetData>
    <row r="7" spans="1:8" x14ac:dyDescent="0.25">
      <c r="D7" s="1" t="s">
        <v>5</v>
      </c>
    </row>
    <row r="8" spans="1:8" x14ac:dyDescent="0.25">
      <c r="D8" s="2" t="s">
        <v>0</v>
      </c>
      <c r="E8" s="2" t="s">
        <v>1</v>
      </c>
      <c r="F8" s="2" t="s">
        <v>2</v>
      </c>
      <c r="G8" s="2" t="s">
        <v>87</v>
      </c>
      <c r="H8" s="2" t="s">
        <v>3</v>
      </c>
    </row>
    <row r="9" spans="1:8" x14ac:dyDescent="0.25">
      <c r="A9" s="1" t="s">
        <v>4</v>
      </c>
      <c r="B9" t="str">
        <f>_xll.BDS("SX5E INDEX","INDX MEMBERS","cols=1;rows=50")</f>
        <v>ABI BB</v>
      </c>
      <c r="C9" s="2" t="str">
        <f>B9&amp;" Equity"</f>
        <v>ABI BB Equity</v>
      </c>
      <c r="D9" t="s">
        <v>75</v>
      </c>
      <c r="E9">
        <v>74.28</v>
      </c>
      <c r="F9">
        <v>21.0492791242789</v>
      </c>
      <c r="G9">
        <v>4.5299999999999994</v>
      </c>
      <c r="H9">
        <v>4.867</v>
      </c>
    </row>
    <row r="10" spans="1:8" x14ac:dyDescent="0.25">
      <c r="B10" t="s">
        <v>6</v>
      </c>
      <c r="C10" s="2" t="str">
        <f t="shared" ref="C10:C58" si="0">B10&amp;" Equity"</f>
        <v>AI FP Equity</v>
      </c>
      <c r="D10" t="s">
        <v>76</v>
      </c>
      <c r="E10">
        <v>97.26</v>
      </c>
      <c r="F10">
        <v>18.792935923013204</v>
      </c>
      <c r="G10">
        <v>5.1753490000000006</v>
      </c>
      <c r="H10">
        <v>5.4480000000000004</v>
      </c>
    </row>
    <row r="11" spans="1:8" x14ac:dyDescent="0.25">
      <c r="B11" t="s">
        <v>7</v>
      </c>
      <c r="C11" s="2" t="str">
        <f t="shared" si="0"/>
        <v>ALV GY Equity</v>
      </c>
      <c r="D11" t="s">
        <v>77</v>
      </c>
      <c r="E11">
        <v>121.8</v>
      </c>
      <c r="F11">
        <v>10.016447619387979</v>
      </c>
      <c r="G11">
        <v>12.16</v>
      </c>
      <c r="H11">
        <v>12.649000000000001</v>
      </c>
    </row>
    <row r="12" spans="1:8" x14ac:dyDescent="0.25">
      <c r="B12" t="s">
        <v>88</v>
      </c>
      <c r="C12" s="2" t="str">
        <f t="shared" si="0"/>
        <v>ASML NA Equity</v>
      </c>
      <c r="D12" t="s">
        <v>101</v>
      </c>
      <c r="E12">
        <v>62.52</v>
      </c>
      <c r="F12">
        <v>27.66371701670959</v>
      </c>
      <c r="G12">
        <v>2.2599999999999998</v>
      </c>
      <c r="H12">
        <v>2.3359999999999999</v>
      </c>
    </row>
    <row r="13" spans="1:8" x14ac:dyDescent="0.25">
      <c r="B13" t="s">
        <v>8</v>
      </c>
      <c r="C13" s="2" t="str">
        <f t="shared" si="0"/>
        <v>BAS GY Equity</v>
      </c>
      <c r="D13" t="s">
        <v>78</v>
      </c>
      <c r="E13">
        <v>75.41</v>
      </c>
      <c r="F13">
        <v>15.173038966219188</v>
      </c>
      <c r="G13">
        <v>4.9700000000000006</v>
      </c>
      <c r="H13">
        <v>5.79</v>
      </c>
    </row>
    <row r="14" spans="1:8" x14ac:dyDescent="0.25">
      <c r="B14" t="s">
        <v>9</v>
      </c>
      <c r="C14" s="2" t="str">
        <f t="shared" si="0"/>
        <v>BAYN GY Equity</v>
      </c>
      <c r="D14" t="s">
        <v>102</v>
      </c>
      <c r="E14">
        <v>85.5</v>
      </c>
      <c r="F14">
        <v>27.66990291262136</v>
      </c>
      <c r="G14">
        <v>3.09</v>
      </c>
      <c r="H14">
        <v>5.82</v>
      </c>
    </row>
    <row r="15" spans="1:8" x14ac:dyDescent="0.25">
      <c r="B15" t="s">
        <v>10</v>
      </c>
      <c r="C15" s="2" t="str">
        <f t="shared" si="0"/>
        <v>BBVA SQ Equity</v>
      </c>
      <c r="D15" t="s">
        <v>79</v>
      </c>
      <c r="E15">
        <v>7.2119999999999997</v>
      </c>
      <c r="F15">
        <v>33.5995075295532</v>
      </c>
      <c r="G15">
        <v>0.214646</v>
      </c>
      <c r="H15">
        <v>0.74</v>
      </c>
    </row>
    <row r="16" spans="1:8" x14ac:dyDescent="0.25">
      <c r="B16" t="s">
        <v>89</v>
      </c>
      <c r="C16" s="2" t="str">
        <f t="shared" si="0"/>
        <v>BMW GY Equity</v>
      </c>
      <c r="D16" t="s">
        <v>103</v>
      </c>
      <c r="E16">
        <v>73.349999999999994</v>
      </c>
      <c r="F16">
        <v>9.5136184791337346</v>
      </c>
      <c r="G16">
        <v>7.71</v>
      </c>
      <c r="H16">
        <v>7.8029999999999999</v>
      </c>
    </row>
    <row r="17" spans="2:8" x14ac:dyDescent="0.25">
      <c r="B17" t="s">
        <v>11</v>
      </c>
      <c r="C17" s="2" t="str">
        <f t="shared" si="0"/>
        <v>BN FP Equity</v>
      </c>
      <c r="D17" t="s">
        <v>80</v>
      </c>
      <c r="E17">
        <v>58.97</v>
      </c>
      <c r="F17">
        <v>21.128007425329358</v>
      </c>
      <c r="G17">
        <v>2.7910820000000003</v>
      </c>
      <c r="H17">
        <v>3.1720000000000002</v>
      </c>
    </row>
    <row r="18" spans="2:8" x14ac:dyDescent="0.25">
      <c r="B18" t="s">
        <v>12</v>
      </c>
      <c r="C18" s="2" t="str">
        <f t="shared" si="0"/>
        <v>BNP FP Equity</v>
      </c>
      <c r="D18" t="s">
        <v>48</v>
      </c>
      <c r="E18">
        <v>46.05</v>
      </c>
      <c r="F18">
        <v>8.6397747161464444</v>
      </c>
      <c r="G18">
        <v>5.33</v>
      </c>
      <c r="H18">
        <v>4.7460000000000004</v>
      </c>
    </row>
    <row r="19" spans="2:8" x14ac:dyDescent="0.25">
      <c r="B19" t="s">
        <v>13</v>
      </c>
      <c r="C19" s="2" t="str">
        <f t="shared" si="0"/>
        <v>CA FP Equity</v>
      </c>
      <c r="D19" t="s">
        <v>49</v>
      </c>
      <c r="E19">
        <v>24.414999999999999</v>
      </c>
      <c r="F19">
        <v>152.59375572204593</v>
      </c>
      <c r="G19">
        <v>0.15999999999999998</v>
      </c>
      <c r="H19">
        <v>1.4259999999999999</v>
      </c>
    </row>
    <row r="20" spans="2:8" x14ac:dyDescent="0.25">
      <c r="B20" t="s">
        <v>14</v>
      </c>
      <c r="C20" s="2" t="str">
        <f t="shared" si="0"/>
        <v>CRH ID Equity</v>
      </c>
      <c r="D20" t="s">
        <v>50</v>
      </c>
      <c r="E20">
        <v>16.524999999999999</v>
      </c>
      <c r="F20">
        <v>21.611222428238673</v>
      </c>
      <c r="G20">
        <v>0.76464900000000002</v>
      </c>
      <c r="H20">
        <v>0.76600000000000001</v>
      </c>
    </row>
    <row r="21" spans="2:8" x14ac:dyDescent="0.25">
      <c r="B21" t="s">
        <v>15</v>
      </c>
      <c r="C21" s="2" t="str">
        <f t="shared" si="0"/>
        <v>CS FP Equity</v>
      </c>
      <c r="D21" t="s">
        <v>51</v>
      </c>
      <c r="E21">
        <v>15.17</v>
      </c>
      <c r="F21">
        <v>9.2081087663343446</v>
      </c>
      <c r="G21">
        <v>1.6474609999999998</v>
      </c>
      <c r="H21">
        <v>1.9590000000000001</v>
      </c>
    </row>
    <row r="22" spans="2:8" x14ac:dyDescent="0.25">
      <c r="B22" t="s">
        <v>16</v>
      </c>
      <c r="C22" s="2" t="str">
        <f t="shared" si="0"/>
        <v>DAI GY Equity</v>
      </c>
      <c r="D22" t="s">
        <v>52</v>
      </c>
      <c r="E22">
        <v>49.695</v>
      </c>
      <c r="F22">
        <v>10.019153164279077</v>
      </c>
      <c r="G22">
        <v>4.96</v>
      </c>
      <c r="H22">
        <v>4.702</v>
      </c>
    </row>
    <row r="23" spans="2:8" x14ac:dyDescent="0.25">
      <c r="B23" t="s">
        <v>17</v>
      </c>
      <c r="C23" s="2" t="str">
        <f t="shared" si="0"/>
        <v>DBK GY Equity</v>
      </c>
      <c r="D23" t="s">
        <v>53</v>
      </c>
      <c r="E23">
        <v>37.185000000000002</v>
      </c>
      <c r="F23">
        <v>67.609093405983657</v>
      </c>
      <c r="G23">
        <v>0.55000000000000004</v>
      </c>
      <c r="H23">
        <v>3.944</v>
      </c>
    </row>
    <row r="24" spans="2:8" x14ac:dyDescent="0.25">
      <c r="B24" t="s">
        <v>18</v>
      </c>
      <c r="C24" s="2" t="str">
        <f t="shared" si="0"/>
        <v>DG FP Equity</v>
      </c>
      <c r="D24" t="s">
        <v>54</v>
      </c>
      <c r="E24">
        <v>38.015000000000001</v>
      </c>
      <c r="F24">
        <v>10.629816836536381</v>
      </c>
      <c r="G24">
        <v>3.5762610000000001</v>
      </c>
      <c r="H24">
        <v>3.5070000000000001</v>
      </c>
    </row>
    <row r="25" spans="2:8" x14ac:dyDescent="0.25">
      <c r="B25" t="s">
        <v>19</v>
      </c>
      <c r="C25" s="2" t="str">
        <f t="shared" si="0"/>
        <v>DTE GY Equity</v>
      </c>
      <c r="D25" t="s">
        <v>55</v>
      </c>
      <c r="E25">
        <v>9.4649999999999999</v>
      </c>
      <c r="F25">
        <v>6.8186400000000003</v>
      </c>
      <c r="G25">
        <v>-1.1600000000000001</v>
      </c>
      <c r="H25">
        <v>0.71799999999999997</v>
      </c>
    </row>
    <row r="26" spans="2:8" x14ac:dyDescent="0.25">
      <c r="B26" t="s">
        <v>90</v>
      </c>
      <c r="C26" s="2" t="str">
        <f t="shared" si="0"/>
        <v>EAD FP Equity</v>
      </c>
      <c r="D26" t="s">
        <v>104</v>
      </c>
      <c r="E26">
        <v>43.1</v>
      </c>
      <c r="F26">
        <v>26.519077723125495</v>
      </c>
      <c r="G26">
        <v>1.6252450000000001</v>
      </c>
      <c r="H26">
        <v>2.7269999999999999</v>
      </c>
    </row>
    <row r="27" spans="2:8" x14ac:dyDescent="0.25">
      <c r="B27" t="s">
        <v>91</v>
      </c>
      <c r="C27" s="2" t="str">
        <f t="shared" si="0"/>
        <v>EI FP Equity</v>
      </c>
      <c r="D27" t="s">
        <v>105</v>
      </c>
      <c r="E27">
        <v>89.7</v>
      </c>
      <c r="F27">
        <v>31.921707099018573</v>
      </c>
      <c r="G27">
        <v>2.81</v>
      </c>
      <c r="H27">
        <v>3.0590000000000002</v>
      </c>
    </row>
    <row r="28" spans="2:8" x14ac:dyDescent="0.25">
      <c r="B28" t="s">
        <v>20</v>
      </c>
      <c r="C28" s="2" t="str">
        <f t="shared" si="0"/>
        <v>ENEL IM Equity</v>
      </c>
      <c r="D28" t="s">
        <v>56</v>
      </c>
      <c r="E28">
        <v>2.9140000000000001</v>
      </c>
      <c r="F28">
        <v>56.051397136498331</v>
      </c>
      <c r="G28">
        <v>5.1988000000000006E-2</v>
      </c>
      <c r="H28">
        <v>0.32900000000000001</v>
      </c>
    </row>
    <row r="29" spans="2:8" x14ac:dyDescent="0.25">
      <c r="B29" t="s">
        <v>21</v>
      </c>
      <c r="C29" s="2" t="str">
        <f t="shared" si="0"/>
        <v>ENI IM Equity</v>
      </c>
      <c r="D29" t="s">
        <v>57</v>
      </c>
      <c r="E29">
        <v>18.489999999999998</v>
      </c>
      <c r="F29">
        <v>33.627780604860227</v>
      </c>
      <c r="G29">
        <v>0.54984300000000008</v>
      </c>
      <c r="H29">
        <v>1.8340000000000001</v>
      </c>
    </row>
    <row r="30" spans="2:8" x14ac:dyDescent="0.25">
      <c r="B30" t="s">
        <v>22</v>
      </c>
      <c r="C30" s="2" t="str">
        <f t="shared" si="0"/>
        <v>EOAN GY Equity</v>
      </c>
      <c r="D30" t="s">
        <v>95</v>
      </c>
      <c r="E30">
        <v>13.335000000000001</v>
      </c>
      <c r="F30">
        <v>11.697368454514887</v>
      </c>
      <c r="G30">
        <v>1.1400000000000001</v>
      </c>
      <c r="H30">
        <v>1.2829999999999999</v>
      </c>
    </row>
    <row r="31" spans="2:8" x14ac:dyDescent="0.25">
      <c r="B31" t="s">
        <v>23</v>
      </c>
      <c r="C31" s="2" t="str">
        <f t="shared" si="0"/>
        <v>FP FP Equity</v>
      </c>
      <c r="D31" t="s">
        <v>58</v>
      </c>
      <c r="E31">
        <v>39.674999999999997</v>
      </c>
      <c r="F31">
        <v>10.468337529567425</v>
      </c>
      <c r="G31">
        <v>3.7900000000000005</v>
      </c>
      <c r="H31">
        <v>5.1160000000000005</v>
      </c>
    </row>
    <row r="32" spans="2:8" x14ac:dyDescent="0.25">
      <c r="B32" t="s">
        <v>24</v>
      </c>
      <c r="C32" s="2" t="str">
        <f t="shared" si="0"/>
        <v>FTE FP Equity</v>
      </c>
      <c r="D32" t="s">
        <v>59</v>
      </c>
      <c r="E32">
        <v>8.3030000000000008</v>
      </c>
      <c r="F32">
        <v>26.783872419787986</v>
      </c>
      <c r="G32">
        <v>0.31000000000000005</v>
      </c>
      <c r="H32">
        <v>1.069</v>
      </c>
    </row>
    <row r="33" spans="2:8" x14ac:dyDescent="0.25">
      <c r="B33" t="s">
        <v>25</v>
      </c>
      <c r="C33" s="2" t="str">
        <f t="shared" si="0"/>
        <v>G IM Equity</v>
      </c>
      <c r="D33" t="s">
        <v>60</v>
      </c>
      <c r="E33">
        <v>14.64</v>
      </c>
      <c r="F33">
        <v>124.20674265553627</v>
      </c>
      <c r="G33">
        <v>0.11786800000000003</v>
      </c>
      <c r="H33">
        <v>1.335</v>
      </c>
    </row>
    <row r="34" spans="2:8" x14ac:dyDescent="0.25">
      <c r="B34" t="s">
        <v>26</v>
      </c>
      <c r="C34" s="2" t="str">
        <f t="shared" si="0"/>
        <v>GLE FP Equity</v>
      </c>
      <c r="D34" t="s">
        <v>61</v>
      </c>
      <c r="E34">
        <v>32.130000000000003</v>
      </c>
      <c r="F34">
        <v>65.564071518738189</v>
      </c>
      <c r="G34">
        <v>0.49005499999999991</v>
      </c>
      <c r="H34">
        <v>3.1480000000000001</v>
      </c>
    </row>
    <row r="35" spans="2:8" x14ac:dyDescent="0.25">
      <c r="B35" t="s">
        <v>27</v>
      </c>
      <c r="C35" s="2" t="str">
        <f t="shared" si="0"/>
        <v>GSZ FP Equity</v>
      </c>
      <c r="D35" t="s">
        <v>62</v>
      </c>
      <c r="E35">
        <v>16.5</v>
      </c>
      <c r="F35">
        <v>23.148765188746609</v>
      </c>
      <c r="G35">
        <v>0.71278100000000011</v>
      </c>
      <c r="H35">
        <v>1.36</v>
      </c>
    </row>
    <row r="36" spans="2:8" x14ac:dyDescent="0.25">
      <c r="B36" t="s">
        <v>28</v>
      </c>
      <c r="C36" s="2" t="str">
        <f t="shared" si="0"/>
        <v>IBE SQ Equity</v>
      </c>
      <c r="D36" t="s">
        <v>63</v>
      </c>
      <c r="E36">
        <v>4.2039999999999997</v>
      </c>
      <c r="F36">
        <v>9.5690730385797131</v>
      </c>
      <c r="G36">
        <v>0.439332</v>
      </c>
      <c r="H36">
        <v>0.40300000000000002</v>
      </c>
    </row>
    <row r="37" spans="2:8" x14ac:dyDescent="0.25">
      <c r="B37" t="s">
        <v>29</v>
      </c>
      <c r="C37" s="2" t="str">
        <f t="shared" si="0"/>
        <v>INGA NA Equity</v>
      </c>
      <c r="D37" t="s">
        <v>64</v>
      </c>
      <c r="E37">
        <v>7.32</v>
      </c>
      <c r="F37">
        <v>9.4649707796981275</v>
      </c>
      <c r="G37">
        <v>0.7733779999999999</v>
      </c>
      <c r="H37">
        <v>0.97499999999999998</v>
      </c>
    </row>
    <row r="38" spans="2:8" x14ac:dyDescent="0.25">
      <c r="B38" t="s">
        <v>30</v>
      </c>
      <c r="C38" s="2" t="str">
        <f t="shared" si="0"/>
        <v>ISP IM Equity</v>
      </c>
      <c r="D38" t="s">
        <v>65</v>
      </c>
      <c r="E38">
        <v>1.4610000000000001</v>
      </c>
      <c r="F38">
        <v>14.572257509727052</v>
      </c>
      <c r="G38">
        <v>0.100259</v>
      </c>
      <c r="H38">
        <v>0.10400000000000001</v>
      </c>
    </row>
    <row r="39" spans="2:8" x14ac:dyDescent="0.25">
      <c r="B39" t="s">
        <v>92</v>
      </c>
      <c r="C39" s="2" t="str">
        <f t="shared" si="0"/>
        <v>ITX SQ Equity</v>
      </c>
      <c r="D39" t="s">
        <v>97</v>
      </c>
      <c r="E39">
        <v>100.9</v>
      </c>
      <c r="F39">
        <v>26.649228420564146</v>
      </c>
      <c r="G39">
        <v>3.7862260000000001</v>
      </c>
      <c r="H39">
        <v>4.234</v>
      </c>
    </row>
    <row r="40" spans="2:8" x14ac:dyDescent="0.25">
      <c r="B40" t="s">
        <v>31</v>
      </c>
      <c r="C40" s="2" t="str">
        <f t="shared" si="0"/>
        <v>MC FP Equity</v>
      </c>
      <c r="D40" t="s">
        <v>81</v>
      </c>
      <c r="E40">
        <v>141.80000000000001</v>
      </c>
      <c r="F40">
        <v>20.670554380722713</v>
      </c>
      <c r="G40">
        <v>6.86</v>
      </c>
      <c r="H40">
        <v>7.5019999999999998</v>
      </c>
    </row>
    <row r="41" spans="2:8" x14ac:dyDescent="0.25">
      <c r="B41" t="s">
        <v>32</v>
      </c>
      <c r="C41" s="2" t="str">
        <f t="shared" si="0"/>
        <v>MT NA Equity</v>
      </c>
      <c r="D41" t="s">
        <v>82</v>
      </c>
      <c r="E41">
        <v>10.244999999999999</v>
      </c>
      <c r="F41">
        <v>9.0479880000000001</v>
      </c>
      <c r="G41">
        <v>-2.63</v>
      </c>
      <c r="H41">
        <v>0.36</v>
      </c>
    </row>
    <row r="42" spans="2:8" x14ac:dyDescent="0.25">
      <c r="B42" t="s">
        <v>33</v>
      </c>
      <c r="C42" s="2" t="str">
        <f t="shared" si="0"/>
        <v>MUV2 GY Equity</v>
      </c>
      <c r="D42" t="s">
        <v>83</v>
      </c>
      <c r="E42">
        <v>147.65</v>
      </c>
      <c r="F42">
        <v>7.7637547894578667</v>
      </c>
      <c r="G42">
        <v>19.017858999999998</v>
      </c>
      <c r="H42">
        <v>16.984000000000002</v>
      </c>
    </row>
    <row r="43" spans="2:8" x14ac:dyDescent="0.25">
      <c r="B43" t="s">
        <v>34</v>
      </c>
      <c r="C43" s="2" t="str">
        <f t="shared" si="0"/>
        <v>OR FP Equity</v>
      </c>
      <c r="D43" t="s">
        <v>84</v>
      </c>
      <c r="E43">
        <v>136.30000000000001</v>
      </c>
      <c r="F43">
        <v>28.455115459657161</v>
      </c>
      <c r="G43">
        <v>4.79</v>
      </c>
      <c r="H43">
        <v>5.141</v>
      </c>
    </row>
    <row r="44" spans="2:8" x14ac:dyDescent="0.25">
      <c r="B44" t="s">
        <v>35</v>
      </c>
      <c r="C44" s="2" t="str">
        <f t="shared" si="0"/>
        <v>PHIA NA Equity</v>
      </c>
      <c r="D44" t="s">
        <v>98</v>
      </c>
      <c r="E44">
        <v>22.9</v>
      </c>
      <c r="F44">
        <v>164.6735624754987</v>
      </c>
      <c r="G44">
        <v>0.13906299999999999</v>
      </c>
      <c r="H44">
        <v>1.5529999999999999</v>
      </c>
    </row>
    <row r="45" spans="2:8" x14ac:dyDescent="0.25">
      <c r="B45" t="s">
        <v>36</v>
      </c>
      <c r="C45" s="2" t="str">
        <f t="shared" si="0"/>
        <v>REP SQ Equity</v>
      </c>
      <c r="D45" t="s">
        <v>99</v>
      </c>
      <c r="E45">
        <v>18.21</v>
      </c>
      <c r="F45">
        <v>11.551247696234936</v>
      </c>
      <c r="G45">
        <v>1.5764530000000001</v>
      </c>
      <c r="H45">
        <v>1.696</v>
      </c>
    </row>
    <row r="46" spans="2:8" x14ac:dyDescent="0.25">
      <c r="B46" t="s">
        <v>37</v>
      </c>
      <c r="C46" s="2" t="str">
        <f t="shared" si="0"/>
        <v>RWE GY Equity</v>
      </c>
      <c r="D46" t="s">
        <v>85</v>
      </c>
      <c r="E46">
        <v>27.81</v>
      </c>
      <c r="F46">
        <v>12.091304115627123</v>
      </c>
      <c r="G46">
        <v>2.2999999999999998</v>
      </c>
      <c r="H46">
        <v>3.895</v>
      </c>
    </row>
    <row r="47" spans="2:8" x14ac:dyDescent="0.25">
      <c r="B47" t="s">
        <v>38</v>
      </c>
      <c r="C47" s="2" t="str">
        <f t="shared" si="0"/>
        <v>SAN FP Equity</v>
      </c>
      <c r="D47" t="s">
        <v>100</v>
      </c>
      <c r="E47">
        <v>86.43</v>
      </c>
      <c r="F47">
        <v>22.986702208823349</v>
      </c>
      <c r="G47">
        <v>3.76</v>
      </c>
      <c r="H47">
        <v>5.8840000000000003</v>
      </c>
    </row>
    <row r="48" spans="2:8" x14ac:dyDescent="0.25">
      <c r="B48" t="s">
        <v>39</v>
      </c>
      <c r="C48" s="2" t="str">
        <f t="shared" si="0"/>
        <v>SAN SQ Equity</v>
      </c>
      <c r="D48" t="s">
        <v>86</v>
      </c>
      <c r="E48">
        <v>5.468</v>
      </c>
      <c r="F48">
        <v>30.106981841933642</v>
      </c>
      <c r="G48">
        <v>0.181619</v>
      </c>
      <c r="H48">
        <v>0.502</v>
      </c>
    </row>
    <row r="49" spans="2:8" x14ac:dyDescent="0.25">
      <c r="B49" t="s">
        <v>40</v>
      </c>
      <c r="C49" s="2" t="str">
        <f t="shared" si="0"/>
        <v>SAP GY Equity</v>
      </c>
      <c r="D49" t="s">
        <v>66</v>
      </c>
      <c r="E49">
        <v>62</v>
      </c>
      <c r="F49">
        <v>25.409836065573771</v>
      </c>
      <c r="G49">
        <v>2.44</v>
      </c>
      <c r="H49">
        <v>3.423</v>
      </c>
    </row>
    <row r="50" spans="2:8" x14ac:dyDescent="0.25">
      <c r="B50" t="s">
        <v>41</v>
      </c>
      <c r="C50" s="2" t="str">
        <f t="shared" si="0"/>
        <v>SGO FP Equity</v>
      </c>
      <c r="D50" t="s">
        <v>67</v>
      </c>
      <c r="E50">
        <v>32.534999999999997</v>
      </c>
      <c r="F50">
        <v>22.377419300919453</v>
      </c>
      <c r="G50">
        <v>1.453921</v>
      </c>
      <c r="H50">
        <v>2.258</v>
      </c>
    </row>
    <row r="51" spans="2:8" x14ac:dyDescent="0.25">
      <c r="B51" t="s">
        <v>42</v>
      </c>
      <c r="C51" s="2" t="str">
        <f t="shared" si="0"/>
        <v>SIE GY Equity</v>
      </c>
      <c r="D51" t="s">
        <v>68</v>
      </c>
      <c r="E51">
        <v>82.29</v>
      </c>
      <c r="F51">
        <v>14.538869419704479</v>
      </c>
      <c r="G51">
        <v>5.6599999999999993</v>
      </c>
      <c r="H51">
        <v>5.5659999999999998</v>
      </c>
    </row>
    <row r="52" spans="2:8" x14ac:dyDescent="0.25">
      <c r="B52" t="s">
        <v>43</v>
      </c>
      <c r="C52" s="2" t="str">
        <f t="shared" si="0"/>
        <v>SU FP Equity</v>
      </c>
      <c r="D52" t="s">
        <v>69</v>
      </c>
      <c r="E52">
        <v>62.81</v>
      </c>
      <c r="F52">
        <v>18.528024003920656</v>
      </c>
      <c r="G52">
        <v>3.3899999999999997</v>
      </c>
      <c r="H52">
        <v>4.1440000000000001</v>
      </c>
    </row>
    <row r="53" spans="2:8" x14ac:dyDescent="0.25">
      <c r="B53" t="s">
        <v>44</v>
      </c>
      <c r="C53" s="2" t="str">
        <f t="shared" si="0"/>
        <v>TEF SQ Equity</v>
      </c>
      <c r="D53" t="s">
        <v>70</v>
      </c>
      <c r="E53">
        <v>11.01</v>
      </c>
      <c r="F53">
        <v>12.10278488139253</v>
      </c>
      <c r="G53">
        <v>0.90970799999999996</v>
      </c>
      <c r="H53">
        <v>1.103</v>
      </c>
    </row>
    <row r="54" spans="2:8" x14ac:dyDescent="0.25">
      <c r="B54" t="s">
        <v>45</v>
      </c>
      <c r="C54" s="2" t="str">
        <f t="shared" si="0"/>
        <v>UCG IM Equity</v>
      </c>
      <c r="D54" t="s">
        <v>71</v>
      </c>
      <c r="E54">
        <v>4.33</v>
      </c>
      <c r="F54">
        <v>48.082260906856497</v>
      </c>
      <c r="G54">
        <v>9.0053999999999995E-2</v>
      </c>
      <c r="H54">
        <v>0.19</v>
      </c>
    </row>
    <row r="55" spans="2:8" x14ac:dyDescent="0.25">
      <c r="B55" t="s">
        <v>93</v>
      </c>
      <c r="C55" s="2" t="str">
        <f t="shared" si="0"/>
        <v>UL NA Equity</v>
      </c>
      <c r="D55" t="s">
        <v>72</v>
      </c>
      <c r="E55">
        <v>205.4</v>
      </c>
      <c r="F55">
        <v>12.953269464368063</v>
      </c>
      <c r="G55">
        <v>15.856999999999999</v>
      </c>
      <c r="H55">
        <v>10.104000000000001</v>
      </c>
    </row>
    <row r="56" spans="2:8" x14ac:dyDescent="0.25">
      <c r="B56" t="s">
        <v>46</v>
      </c>
      <c r="C56" s="2" t="str">
        <f t="shared" si="0"/>
        <v>UNA NA Equity</v>
      </c>
      <c r="D56" t="s">
        <v>73</v>
      </c>
      <c r="E56">
        <v>32.75</v>
      </c>
      <c r="F56">
        <v>20.72784810126582</v>
      </c>
      <c r="G56">
        <v>1.58</v>
      </c>
      <c r="H56">
        <v>1.6719999999999999</v>
      </c>
    </row>
    <row r="57" spans="2:8" x14ac:dyDescent="0.25">
      <c r="B57" t="s">
        <v>47</v>
      </c>
      <c r="C57" s="2" t="str">
        <f t="shared" si="0"/>
        <v>VIV FP Equity</v>
      </c>
      <c r="D57" t="s">
        <v>74</v>
      </c>
      <c r="E57">
        <v>15.605</v>
      </c>
      <c r="F57">
        <v>18.322310000000002</v>
      </c>
      <c r="G57">
        <v>-9.9999999999998979E-3</v>
      </c>
      <c r="H57">
        <v>1.75</v>
      </c>
    </row>
    <row r="58" spans="2:8" x14ac:dyDescent="0.25">
      <c r="B58" t="s">
        <v>94</v>
      </c>
      <c r="C58" s="2" t="str">
        <f t="shared" si="0"/>
        <v>VOW3 GY Equity</v>
      </c>
      <c r="D58" t="s">
        <v>96</v>
      </c>
      <c r="E58">
        <v>172.5</v>
      </c>
      <c r="F58">
        <v>3.9231294064134636</v>
      </c>
      <c r="G58">
        <v>43.97</v>
      </c>
      <c r="H58">
        <v>20.798000000000002</v>
      </c>
    </row>
    <row r="59" spans="2:8" x14ac:dyDescent="0.25">
      <c r="C59" s="2"/>
    </row>
    <row r="60" spans="2:8" x14ac:dyDescent="0.25">
      <c r="C60" s="2"/>
    </row>
    <row r="61" spans="2:8" x14ac:dyDescent="0.25">
      <c r="C61" s="2"/>
    </row>
    <row r="62" spans="2:8" x14ac:dyDescent="0.25">
      <c r="C62" s="2"/>
    </row>
    <row r="63" spans="2:8" x14ac:dyDescent="0.25">
      <c r="C63" s="2"/>
    </row>
    <row r="64" spans="2:8" x14ac:dyDescent="0.25">
      <c r="C64" s="2"/>
    </row>
    <row r="65" spans="3:3" x14ac:dyDescent="0.25">
      <c r="C65" s="2"/>
    </row>
    <row r="66" spans="3:3" x14ac:dyDescent="0.25">
      <c r="C66" s="2"/>
    </row>
    <row r="67" spans="3:3" x14ac:dyDescent="0.25">
      <c r="C67" s="2"/>
    </row>
    <row r="68" spans="3:3" x14ac:dyDescent="0.25">
      <c r="C68" s="2"/>
    </row>
    <row r="69" spans="3:3" x14ac:dyDescent="0.25">
      <c r="C69" s="2"/>
    </row>
    <row r="70" spans="3:3" x14ac:dyDescent="0.25">
      <c r="C70" s="2"/>
    </row>
    <row r="71" spans="3:3" x14ac:dyDescent="0.25">
      <c r="C71" s="2"/>
    </row>
    <row r="72" spans="3:3" x14ac:dyDescent="0.25">
      <c r="C72" s="2"/>
    </row>
    <row r="73" spans="3:3" x14ac:dyDescent="0.25">
      <c r="C73" s="2"/>
    </row>
    <row r="74" spans="3:3" x14ac:dyDescent="0.25">
      <c r="C74" s="2"/>
    </row>
    <row r="75" spans="3:3" x14ac:dyDescent="0.25">
      <c r="C75" s="2"/>
    </row>
    <row r="76" spans="3:3" x14ac:dyDescent="0.25">
      <c r="C76" s="2"/>
    </row>
    <row r="77" spans="3:3" x14ac:dyDescent="0.25">
      <c r="C77" s="2"/>
    </row>
    <row r="78" spans="3:3" x14ac:dyDescent="0.25">
      <c r="C78" s="2"/>
    </row>
    <row r="79" spans="3:3" x14ac:dyDescent="0.25">
      <c r="C79" s="2"/>
    </row>
    <row r="80" spans="3:3" x14ac:dyDescent="0.25">
      <c r="C80" s="2"/>
    </row>
    <row r="81" spans="3:3" x14ac:dyDescent="0.25">
      <c r="C81" s="2"/>
    </row>
    <row r="82" spans="3:3" x14ac:dyDescent="0.25">
      <c r="C82" s="2"/>
    </row>
    <row r="83" spans="3:3" x14ac:dyDescent="0.25">
      <c r="C83" s="2"/>
    </row>
    <row r="84" spans="3:3" x14ac:dyDescent="0.25">
      <c r="C84" s="2"/>
    </row>
    <row r="85" spans="3:3" x14ac:dyDescent="0.25">
      <c r="C85" s="2"/>
    </row>
    <row r="86" spans="3:3" x14ac:dyDescent="0.25">
      <c r="C86" s="2"/>
    </row>
    <row r="87" spans="3:3" x14ac:dyDescent="0.25">
      <c r="C87" s="2"/>
    </row>
    <row r="88" spans="3:3" x14ac:dyDescent="0.25">
      <c r="C88" s="2"/>
    </row>
    <row r="89" spans="3:3" x14ac:dyDescent="0.25">
      <c r="C89" s="2"/>
    </row>
    <row r="90" spans="3:3" x14ac:dyDescent="0.25">
      <c r="C90" s="2"/>
    </row>
    <row r="91" spans="3:3" x14ac:dyDescent="0.25">
      <c r="C91" s="2"/>
    </row>
    <row r="92" spans="3:3" x14ac:dyDescent="0.25">
      <c r="C92" s="2"/>
    </row>
    <row r="93" spans="3:3" x14ac:dyDescent="0.25">
      <c r="C93" s="2"/>
    </row>
    <row r="94" spans="3:3" x14ac:dyDescent="0.25">
      <c r="C94" s="2"/>
    </row>
    <row r="95" spans="3:3" x14ac:dyDescent="0.25">
      <c r="C95" s="2"/>
    </row>
    <row r="96" spans="3:3" x14ac:dyDescent="0.25">
      <c r="C96" s="2"/>
    </row>
    <row r="97" spans="3:3" x14ac:dyDescent="0.25">
      <c r="C97" s="2"/>
    </row>
    <row r="98" spans="3:3" x14ac:dyDescent="0.25">
      <c r="C98" s="2"/>
    </row>
    <row r="99" spans="3:3" x14ac:dyDescent="0.25">
      <c r="C99" s="2"/>
    </row>
    <row r="100" spans="3:3" x14ac:dyDescent="0.25">
      <c r="C100" s="2"/>
    </row>
    <row r="101" spans="3:3" x14ac:dyDescent="0.25">
      <c r="C101" s="2"/>
    </row>
    <row r="102" spans="3:3" x14ac:dyDescent="0.25">
      <c r="C102" s="2"/>
    </row>
    <row r="103" spans="3:3" x14ac:dyDescent="0.25">
      <c r="C103" s="2"/>
    </row>
    <row r="104" spans="3:3" x14ac:dyDescent="0.25">
      <c r="C104" s="2"/>
    </row>
    <row r="105" spans="3:3" x14ac:dyDescent="0.25">
      <c r="C105" s="2"/>
    </row>
    <row r="106" spans="3:3" x14ac:dyDescent="0.25">
      <c r="C106" s="2"/>
    </row>
    <row r="107" spans="3:3" x14ac:dyDescent="0.25">
      <c r="C107" s="2"/>
    </row>
    <row r="108" spans="3:3" x14ac:dyDescent="0.25">
      <c r="C108" s="2"/>
    </row>
    <row r="109" spans="3:3" x14ac:dyDescent="0.25">
      <c r="C109" s="2"/>
    </row>
    <row r="110" spans="3:3" x14ac:dyDescent="0.25">
      <c r="C110" s="2"/>
    </row>
    <row r="111" spans="3:3" x14ac:dyDescent="0.25">
      <c r="C111" s="2"/>
    </row>
    <row r="112" spans="3:3" x14ac:dyDescent="0.25">
      <c r="C112" s="2"/>
    </row>
    <row r="113" spans="3:3" x14ac:dyDescent="0.25">
      <c r="C113" s="2"/>
    </row>
    <row r="114" spans="3:3" x14ac:dyDescent="0.25">
      <c r="C114" s="2"/>
    </row>
    <row r="115" spans="3:3" x14ac:dyDescent="0.25">
      <c r="C115" s="2"/>
    </row>
    <row r="116" spans="3:3" x14ac:dyDescent="0.25">
      <c r="C116" s="2"/>
    </row>
    <row r="117" spans="3:3" x14ac:dyDescent="0.25">
      <c r="C117" s="2"/>
    </row>
    <row r="118" spans="3:3" x14ac:dyDescent="0.25">
      <c r="C118" s="2"/>
    </row>
    <row r="119" spans="3:3" x14ac:dyDescent="0.25">
      <c r="C119" s="2"/>
    </row>
    <row r="120" spans="3:3" x14ac:dyDescent="0.25">
      <c r="C120" s="2"/>
    </row>
    <row r="121" spans="3:3" x14ac:dyDescent="0.25">
      <c r="C121" s="2"/>
    </row>
    <row r="122" spans="3:3" x14ac:dyDescent="0.25">
      <c r="C122" s="2"/>
    </row>
    <row r="123" spans="3:3" x14ac:dyDescent="0.25">
      <c r="C123" s="2"/>
    </row>
    <row r="124" spans="3:3" x14ac:dyDescent="0.25">
      <c r="C124" s="2"/>
    </row>
    <row r="125" spans="3:3" x14ac:dyDescent="0.25">
      <c r="C125" s="2"/>
    </row>
    <row r="126" spans="3:3" x14ac:dyDescent="0.25">
      <c r="C126" s="2"/>
    </row>
    <row r="127" spans="3:3" x14ac:dyDescent="0.25">
      <c r="C127" s="2"/>
    </row>
    <row r="128" spans="3:3" x14ac:dyDescent="0.25">
      <c r="C128" s="2"/>
    </row>
    <row r="129" spans="3:3" x14ac:dyDescent="0.25">
      <c r="C129" s="2"/>
    </row>
    <row r="130" spans="3:3" x14ac:dyDescent="0.25">
      <c r="C130" s="2"/>
    </row>
    <row r="131" spans="3:3" x14ac:dyDescent="0.25">
      <c r="C131" s="2"/>
    </row>
    <row r="132" spans="3:3" x14ac:dyDescent="0.25">
      <c r="C132" s="2"/>
    </row>
    <row r="133" spans="3:3" x14ac:dyDescent="0.25">
      <c r="C133" s="2"/>
    </row>
    <row r="134" spans="3:3" x14ac:dyDescent="0.25">
      <c r="C134" s="2"/>
    </row>
    <row r="135" spans="3:3" x14ac:dyDescent="0.25">
      <c r="C135" s="2"/>
    </row>
    <row r="136" spans="3:3" x14ac:dyDescent="0.25">
      <c r="C136" s="2"/>
    </row>
    <row r="137" spans="3:3" x14ac:dyDescent="0.25">
      <c r="C137" s="2"/>
    </row>
    <row r="138" spans="3:3" x14ac:dyDescent="0.25">
      <c r="C138" s="2"/>
    </row>
    <row r="139" spans="3:3" x14ac:dyDescent="0.25">
      <c r="C139" s="2"/>
    </row>
    <row r="140" spans="3:3" x14ac:dyDescent="0.25">
      <c r="C140" s="2"/>
    </row>
    <row r="141" spans="3:3" x14ac:dyDescent="0.25">
      <c r="C141" s="2"/>
    </row>
    <row r="142" spans="3:3" x14ac:dyDescent="0.25">
      <c r="C142" s="2"/>
    </row>
    <row r="143" spans="3:3" x14ac:dyDescent="0.25">
      <c r="C143" s="2"/>
    </row>
    <row r="144" spans="3:3" x14ac:dyDescent="0.25">
      <c r="C144" s="2"/>
    </row>
    <row r="145" spans="3:3" x14ac:dyDescent="0.25">
      <c r="C145" s="2"/>
    </row>
    <row r="146" spans="3:3" x14ac:dyDescent="0.25">
      <c r="C146" s="2"/>
    </row>
    <row r="147" spans="3:3" x14ac:dyDescent="0.25">
      <c r="C147" s="2"/>
    </row>
    <row r="148" spans="3:3" x14ac:dyDescent="0.25">
      <c r="C148" s="2"/>
    </row>
    <row r="149" spans="3:3" x14ac:dyDescent="0.25">
      <c r="C149" s="2"/>
    </row>
    <row r="150" spans="3:3" x14ac:dyDescent="0.25">
      <c r="C150" s="2"/>
    </row>
    <row r="151" spans="3:3" x14ac:dyDescent="0.25">
      <c r="C151" s="2"/>
    </row>
    <row r="152" spans="3:3" x14ac:dyDescent="0.25">
      <c r="C152" s="2"/>
    </row>
    <row r="153" spans="3:3" x14ac:dyDescent="0.25">
      <c r="C153" s="2"/>
    </row>
    <row r="154" spans="3:3" x14ac:dyDescent="0.25">
      <c r="C154" s="2"/>
    </row>
    <row r="155" spans="3:3" x14ac:dyDescent="0.25">
      <c r="C155" s="2"/>
    </row>
    <row r="156" spans="3:3" x14ac:dyDescent="0.25">
      <c r="C156" s="2"/>
    </row>
    <row r="157" spans="3:3" x14ac:dyDescent="0.25">
      <c r="C157" s="2"/>
    </row>
    <row r="158" spans="3:3" x14ac:dyDescent="0.25">
      <c r="C158" s="2"/>
    </row>
    <row r="159" spans="3:3" x14ac:dyDescent="0.25">
      <c r="C159" s="2"/>
    </row>
    <row r="160" spans="3:3" x14ac:dyDescent="0.25">
      <c r="C160" s="2"/>
    </row>
    <row r="161" spans="3:3" x14ac:dyDescent="0.25">
      <c r="C161" s="2"/>
    </row>
    <row r="162" spans="3:3" x14ac:dyDescent="0.25">
      <c r="C162" s="2"/>
    </row>
    <row r="163" spans="3:3" x14ac:dyDescent="0.25">
      <c r="C163" s="2"/>
    </row>
    <row r="164" spans="3:3" x14ac:dyDescent="0.25">
      <c r="C164" s="2"/>
    </row>
    <row r="165" spans="3:3" x14ac:dyDescent="0.25">
      <c r="C165" s="2"/>
    </row>
    <row r="166" spans="3:3" x14ac:dyDescent="0.25">
      <c r="C166" s="2"/>
    </row>
    <row r="167" spans="3:3" x14ac:dyDescent="0.25">
      <c r="C167" s="2"/>
    </row>
    <row r="168" spans="3:3" x14ac:dyDescent="0.25">
      <c r="C168" s="2"/>
    </row>
    <row r="169" spans="3:3" x14ac:dyDescent="0.25">
      <c r="C169" s="2"/>
    </row>
    <row r="170" spans="3:3" x14ac:dyDescent="0.25">
      <c r="C170" s="2"/>
    </row>
    <row r="171" spans="3:3" x14ac:dyDescent="0.25">
      <c r="C171" s="2"/>
    </row>
    <row r="172" spans="3:3" x14ac:dyDescent="0.25">
      <c r="C172" s="2"/>
    </row>
    <row r="173" spans="3:3" x14ac:dyDescent="0.25">
      <c r="C173" s="2"/>
    </row>
    <row r="174" spans="3:3" x14ac:dyDescent="0.25">
      <c r="C174" s="2"/>
    </row>
    <row r="175" spans="3:3" x14ac:dyDescent="0.25">
      <c r="C175" s="2"/>
    </row>
    <row r="176" spans="3:3" x14ac:dyDescent="0.25">
      <c r="C176" s="2"/>
    </row>
    <row r="177" spans="3:3" x14ac:dyDescent="0.25">
      <c r="C177" s="2"/>
    </row>
    <row r="178" spans="3:3" x14ac:dyDescent="0.25">
      <c r="C178" s="2"/>
    </row>
    <row r="179" spans="3:3" x14ac:dyDescent="0.25">
      <c r="C179" s="2"/>
    </row>
    <row r="180" spans="3:3" x14ac:dyDescent="0.25">
      <c r="C180" s="2"/>
    </row>
    <row r="181" spans="3:3" x14ac:dyDescent="0.25">
      <c r="C181" s="2"/>
    </row>
    <row r="182" spans="3:3" x14ac:dyDescent="0.25">
      <c r="C182" s="2"/>
    </row>
    <row r="183" spans="3:3" x14ac:dyDescent="0.25">
      <c r="C183" s="2"/>
    </row>
    <row r="184" spans="3:3" x14ac:dyDescent="0.25">
      <c r="C184" s="2"/>
    </row>
    <row r="185" spans="3:3" x14ac:dyDescent="0.25">
      <c r="C185" s="2"/>
    </row>
    <row r="186" spans="3:3" x14ac:dyDescent="0.25">
      <c r="C186" s="2"/>
    </row>
    <row r="187" spans="3:3" x14ac:dyDescent="0.25">
      <c r="C187" s="2"/>
    </row>
    <row r="188" spans="3:3" x14ac:dyDescent="0.25">
      <c r="C188" s="2"/>
    </row>
    <row r="189" spans="3:3" x14ac:dyDescent="0.25">
      <c r="C189" s="2"/>
    </row>
    <row r="190" spans="3:3" x14ac:dyDescent="0.25">
      <c r="C190" s="2"/>
    </row>
    <row r="191" spans="3:3" x14ac:dyDescent="0.25">
      <c r="C191" s="2"/>
    </row>
    <row r="192" spans="3:3" x14ac:dyDescent="0.25">
      <c r="C192" s="2"/>
    </row>
    <row r="193" spans="3:3" x14ac:dyDescent="0.25">
      <c r="C193" s="2"/>
    </row>
    <row r="194" spans="3:3" x14ac:dyDescent="0.25">
      <c r="C194" s="2"/>
    </row>
    <row r="195" spans="3:3" x14ac:dyDescent="0.25">
      <c r="C195" s="2"/>
    </row>
    <row r="196" spans="3:3" x14ac:dyDescent="0.25">
      <c r="C196" s="2"/>
    </row>
    <row r="197" spans="3:3" x14ac:dyDescent="0.25">
      <c r="C197" s="2"/>
    </row>
    <row r="198" spans="3:3" x14ac:dyDescent="0.25">
      <c r="C198" s="2"/>
    </row>
    <row r="199" spans="3:3" x14ac:dyDescent="0.25">
      <c r="C199" s="2"/>
    </row>
    <row r="200" spans="3:3" x14ac:dyDescent="0.25">
      <c r="C200" s="2"/>
    </row>
    <row r="201" spans="3:3" x14ac:dyDescent="0.25">
      <c r="C201" s="2"/>
    </row>
    <row r="202" spans="3:3" x14ac:dyDescent="0.25">
      <c r="C202" s="2"/>
    </row>
    <row r="203" spans="3:3" x14ac:dyDescent="0.25">
      <c r="C203" s="2"/>
    </row>
    <row r="204" spans="3:3" x14ac:dyDescent="0.25">
      <c r="C204" s="2"/>
    </row>
    <row r="205" spans="3:3" x14ac:dyDescent="0.25">
      <c r="C205" s="2"/>
    </row>
    <row r="206" spans="3:3" x14ac:dyDescent="0.25">
      <c r="C206" s="2"/>
    </row>
    <row r="207" spans="3:3" x14ac:dyDescent="0.25">
      <c r="C207" s="2"/>
    </row>
    <row r="208" spans="3:3" x14ac:dyDescent="0.25">
      <c r="C208" s="2"/>
    </row>
    <row r="209" spans="3:3" x14ac:dyDescent="0.25">
      <c r="C209" s="2"/>
    </row>
    <row r="210" spans="3:3" x14ac:dyDescent="0.25">
      <c r="C210" s="2"/>
    </row>
    <row r="211" spans="3:3" x14ac:dyDescent="0.25">
      <c r="C211" s="2"/>
    </row>
    <row r="212" spans="3:3" x14ac:dyDescent="0.25">
      <c r="C212" s="2"/>
    </row>
    <row r="213" spans="3:3" x14ac:dyDescent="0.25">
      <c r="C213" s="2"/>
    </row>
    <row r="214" spans="3:3" x14ac:dyDescent="0.25">
      <c r="C214" s="2"/>
    </row>
    <row r="215" spans="3:3" x14ac:dyDescent="0.25">
      <c r="C215" s="2"/>
    </row>
    <row r="216" spans="3:3" x14ac:dyDescent="0.25">
      <c r="C216" s="2"/>
    </row>
    <row r="217" spans="3:3" x14ac:dyDescent="0.25">
      <c r="C217" s="2"/>
    </row>
    <row r="218" spans="3:3" x14ac:dyDescent="0.25">
      <c r="C218" s="2"/>
    </row>
    <row r="219" spans="3:3" x14ac:dyDescent="0.25">
      <c r="C219" s="2"/>
    </row>
    <row r="220" spans="3:3" x14ac:dyDescent="0.25">
      <c r="C220" s="2"/>
    </row>
    <row r="221" spans="3:3" x14ac:dyDescent="0.25">
      <c r="C221" s="2"/>
    </row>
    <row r="222" spans="3:3" x14ac:dyDescent="0.25">
      <c r="C222" s="2"/>
    </row>
    <row r="223" spans="3:3" x14ac:dyDescent="0.25">
      <c r="C223" s="2"/>
    </row>
    <row r="224" spans="3:3" x14ac:dyDescent="0.25">
      <c r="C224" s="2"/>
    </row>
    <row r="225" spans="3:3" x14ac:dyDescent="0.25">
      <c r="C225" s="2"/>
    </row>
    <row r="226" spans="3:3" x14ac:dyDescent="0.25">
      <c r="C226" s="2"/>
    </row>
    <row r="227" spans="3:3" x14ac:dyDescent="0.25">
      <c r="C227" s="2"/>
    </row>
    <row r="228" spans="3:3" x14ac:dyDescent="0.25">
      <c r="C228" s="2"/>
    </row>
    <row r="229" spans="3:3" x14ac:dyDescent="0.25">
      <c r="C229" s="2"/>
    </row>
    <row r="230" spans="3:3" x14ac:dyDescent="0.25">
      <c r="C230" s="2"/>
    </row>
    <row r="231" spans="3:3" x14ac:dyDescent="0.25">
      <c r="C231" s="2"/>
    </row>
    <row r="232" spans="3:3" x14ac:dyDescent="0.25">
      <c r="C232" s="2"/>
    </row>
    <row r="233" spans="3:3" x14ac:dyDescent="0.25">
      <c r="C233" s="2"/>
    </row>
    <row r="234" spans="3:3" x14ac:dyDescent="0.25">
      <c r="C234" s="2"/>
    </row>
    <row r="235" spans="3:3" x14ac:dyDescent="0.25">
      <c r="C235" s="2"/>
    </row>
    <row r="236" spans="3:3" x14ac:dyDescent="0.25">
      <c r="C236" s="2"/>
    </row>
    <row r="237" spans="3:3" x14ac:dyDescent="0.25">
      <c r="C237" s="2"/>
    </row>
    <row r="238" spans="3:3" x14ac:dyDescent="0.25">
      <c r="C238" s="2"/>
    </row>
    <row r="239" spans="3:3" x14ac:dyDescent="0.25">
      <c r="C239" s="2"/>
    </row>
    <row r="240" spans="3:3" x14ac:dyDescent="0.25">
      <c r="C240" s="2"/>
    </row>
    <row r="241" spans="3:3" x14ac:dyDescent="0.25">
      <c r="C241" s="2"/>
    </row>
    <row r="242" spans="3:3" x14ac:dyDescent="0.25">
      <c r="C242" s="2"/>
    </row>
    <row r="243" spans="3:3" x14ac:dyDescent="0.25">
      <c r="C243" s="2"/>
    </row>
    <row r="244" spans="3:3" x14ac:dyDescent="0.25">
      <c r="C244" s="2"/>
    </row>
    <row r="245" spans="3:3" x14ac:dyDescent="0.25">
      <c r="C245" s="2"/>
    </row>
    <row r="246" spans="3:3" x14ac:dyDescent="0.25">
      <c r="C246" s="2"/>
    </row>
    <row r="247" spans="3:3" x14ac:dyDescent="0.25">
      <c r="C247" s="2"/>
    </row>
    <row r="248" spans="3:3" x14ac:dyDescent="0.25">
      <c r="C248" s="2"/>
    </row>
    <row r="249" spans="3:3" x14ac:dyDescent="0.25">
      <c r="C249" s="2"/>
    </row>
    <row r="250" spans="3:3" x14ac:dyDescent="0.25">
      <c r="C250" s="2"/>
    </row>
    <row r="251" spans="3:3" x14ac:dyDescent="0.25">
      <c r="C251" s="2"/>
    </row>
    <row r="252" spans="3:3" x14ac:dyDescent="0.25">
      <c r="C252" s="2"/>
    </row>
    <row r="253" spans="3:3" x14ac:dyDescent="0.25">
      <c r="C253" s="2"/>
    </row>
    <row r="254" spans="3:3" x14ac:dyDescent="0.25">
      <c r="C254" s="2"/>
    </row>
    <row r="255" spans="3:3" x14ac:dyDescent="0.25">
      <c r="C255" s="2"/>
    </row>
    <row r="256" spans="3:3" x14ac:dyDescent="0.25">
      <c r="C256" s="2"/>
    </row>
    <row r="257" spans="3:3" x14ac:dyDescent="0.25">
      <c r="C257" s="2"/>
    </row>
    <row r="258" spans="3:3" x14ac:dyDescent="0.25">
      <c r="C258" s="2"/>
    </row>
    <row r="259" spans="3:3" x14ac:dyDescent="0.25">
      <c r="C259" s="2"/>
    </row>
    <row r="260" spans="3:3" x14ac:dyDescent="0.25">
      <c r="C260" s="2"/>
    </row>
    <row r="261" spans="3:3" x14ac:dyDescent="0.25">
      <c r="C261" s="2"/>
    </row>
    <row r="262" spans="3:3" x14ac:dyDescent="0.25">
      <c r="C262" s="2"/>
    </row>
    <row r="263" spans="3:3" x14ac:dyDescent="0.25">
      <c r="C263" s="2"/>
    </row>
    <row r="264" spans="3:3" x14ac:dyDescent="0.25">
      <c r="C264" s="2"/>
    </row>
    <row r="265" spans="3:3" x14ac:dyDescent="0.25">
      <c r="C265" s="2"/>
    </row>
    <row r="266" spans="3:3" x14ac:dyDescent="0.25">
      <c r="C266" s="2"/>
    </row>
    <row r="267" spans="3:3" x14ac:dyDescent="0.25">
      <c r="C267" s="2"/>
    </row>
    <row r="268" spans="3:3" x14ac:dyDescent="0.25">
      <c r="C268" s="2"/>
    </row>
    <row r="269" spans="3:3" x14ac:dyDescent="0.25">
      <c r="C269" s="2"/>
    </row>
    <row r="270" spans="3:3" x14ac:dyDescent="0.25">
      <c r="C270" s="2"/>
    </row>
    <row r="271" spans="3:3" x14ac:dyDescent="0.25">
      <c r="C271" s="2"/>
    </row>
    <row r="272" spans="3:3" x14ac:dyDescent="0.25">
      <c r="C272" s="2"/>
    </row>
    <row r="273" spans="3:3" x14ac:dyDescent="0.25">
      <c r="C273" s="2"/>
    </row>
    <row r="274" spans="3:3" x14ac:dyDescent="0.25">
      <c r="C274" s="2"/>
    </row>
    <row r="275" spans="3:3" x14ac:dyDescent="0.25">
      <c r="C275" s="2"/>
    </row>
    <row r="276" spans="3:3" x14ac:dyDescent="0.25">
      <c r="C276" s="2"/>
    </row>
    <row r="277" spans="3:3" x14ac:dyDescent="0.25">
      <c r="C277" s="2"/>
    </row>
    <row r="278" spans="3:3" x14ac:dyDescent="0.25">
      <c r="C278" s="2"/>
    </row>
    <row r="279" spans="3:3" x14ac:dyDescent="0.25">
      <c r="C279" s="2"/>
    </row>
    <row r="280" spans="3:3" x14ac:dyDescent="0.25">
      <c r="C280" s="2"/>
    </row>
    <row r="281" spans="3:3" x14ac:dyDescent="0.25">
      <c r="C281" s="2"/>
    </row>
    <row r="282" spans="3:3" x14ac:dyDescent="0.25">
      <c r="C282" s="2"/>
    </row>
    <row r="283" spans="3:3" x14ac:dyDescent="0.25">
      <c r="C283" s="2"/>
    </row>
    <row r="284" spans="3:3" x14ac:dyDescent="0.25">
      <c r="C284" s="2"/>
    </row>
    <row r="285" spans="3:3" x14ac:dyDescent="0.25">
      <c r="C285" s="2"/>
    </row>
    <row r="286" spans="3:3" x14ac:dyDescent="0.25">
      <c r="C286" s="2"/>
    </row>
    <row r="287" spans="3:3" x14ac:dyDescent="0.25">
      <c r="C287" s="2"/>
    </row>
    <row r="288" spans="3:3" x14ac:dyDescent="0.25">
      <c r="C288" s="2"/>
    </row>
    <row r="289" spans="3:3" x14ac:dyDescent="0.25">
      <c r="C289" s="2"/>
    </row>
    <row r="290" spans="3:3" x14ac:dyDescent="0.25">
      <c r="C290" s="2"/>
    </row>
    <row r="291" spans="3:3" x14ac:dyDescent="0.25">
      <c r="C291" s="2"/>
    </row>
    <row r="292" spans="3:3" x14ac:dyDescent="0.25">
      <c r="C292" s="2"/>
    </row>
    <row r="293" spans="3:3" x14ac:dyDescent="0.25">
      <c r="C293" s="2"/>
    </row>
    <row r="294" spans="3:3" x14ac:dyDescent="0.25">
      <c r="C294" s="2"/>
    </row>
    <row r="295" spans="3:3" x14ac:dyDescent="0.25">
      <c r="C295" s="2"/>
    </row>
    <row r="296" spans="3:3" x14ac:dyDescent="0.25">
      <c r="C296" s="2"/>
    </row>
    <row r="297" spans="3:3" x14ac:dyDescent="0.25">
      <c r="C297" s="2"/>
    </row>
    <row r="298" spans="3:3" x14ac:dyDescent="0.25">
      <c r="C298" s="2"/>
    </row>
    <row r="299" spans="3:3" x14ac:dyDescent="0.25">
      <c r="C299" s="2"/>
    </row>
    <row r="300" spans="3:3" x14ac:dyDescent="0.25">
      <c r="C300" s="2"/>
    </row>
    <row r="301" spans="3:3" x14ac:dyDescent="0.25">
      <c r="C301" s="2"/>
    </row>
    <row r="302" spans="3:3" x14ac:dyDescent="0.25">
      <c r="C302" s="2"/>
    </row>
    <row r="303" spans="3:3" x14ac:dyDescent="0.25">
      <c r="C303" s="2"/>
    </row>
    <row r="304" spans="3:3" x14ac:dyDescent="0.25">
      <c r="C304" s="2"/>
    </row>
    <row r="305" spans="3:3" x14ac:dyDescent="0.25">
      <c r="C305" s="2"/>
    </row>
    <row r="306" spans="3:3" x14ac:dyDescent="0.25">
      <c r="C306" s="2"/>
    </row>
    <row r="307" spans="3:3" x14ac:dyDescent="0.25">
      <c r="C307" s="2"/>
    </row>
    <row r="308" spans="3:3" x14ac:dyDescent="0.25">
      <c r="C308" s="2"/>
    </row>
    <row r="309" spans="3:3" x14ac:dyDescent="0.25">
      <c r="C309" s="2"/>
    </row>
    <row r="310" spans="3:3" x14ac:dyDescent="0.25">
      <c r="C310" s="2"/>
    </row>
    <row r="311" spans="3:3" x14ac:dyDescent="0.25">
      <c r="C311" s="2"/>
    </row>
    <row r="312" spans="3:3" x14ac:dyDescent="0.25">
      <c r="C312" s="2"/>
    </row>
    <row r="313" spans="3:3" x14ac:dyDescent="0.25">
      <c r="C313" s="2"/>
    </row>
    <row r="314" spans="3:3" x14ac:dyDescent="0.25">
      <c r="C314" s="2"/>
    </row>
    <row r="315" spans="3:3" x14ac:dyDescent="0.25">
      <c r="C315" s="2"/>
    </row>
    <row r="316" spans="3:3" x14ac:dyDescent="0.25">
      <c r="C316" s="2"/>
    </row>
    <row r="317" spans="3:3" x14ac:dyDescent="0.25">
      <c r="C317" s="2"/>
    </row>
    <row r="318" spans="3:3" x14ac:dyDescent="0.25">
      <c r="C318" s="2"/>
    </row>
    <row r="319" spans="3:3" x14ac:dyDescent="0.25">
      <c r="C319" s="2"/>
    </row>
    <row r="320" spans="3:3" x14ac:dyDescent="0.25">
      <c r="C320" s="2"/>
    </row>
    <row r="321" spans="3:3" x14ac:dyDescent="0.25">
      <c r="C321" s="2"/>
    </row>
    <row r="322" spans="3:3" x14ac:dyDescent="0.25">
      <c r="C322" s="2"/>
    </row>
    <row r="323" spans="3:3" x14ac:dyDescent="0.25">
      <c r="C323" s="2"/>
    </row>
    <row r="324" spans="3:3" x14ac:dyDescent="0.25">
      <c r="C324" s="2"/>
    </row>
    <row r="325" spans="3:3" x14ac:dyDescent="0.25">
      <c r="C325" s="2"/>
    </row>
    <row r="326" spans="3:3" x14ac:dyDescent="0.25">
      <c r="C326" s="2"/>
    </row>
    <row r="327" spans="3:3" x14ac:dyDescent="0.25">
      <c r="C327" s="2"/>
    </row>
    <row r="328" spans="3:3" x14ac:dyDescent="0.25">
      <c r="C328" s="2"/>
    </row>
    <row r="329" spans="3:3" x14ac:dyDescent="0.25">
      <c r="C329" s="2"/>
    </row>
    <row r="330" spans="3:3" x14ac:dyDescent="0.25">
      <c r="C330" s="2"/>
    </row>
    <row r="331" spans="3:3" x14ac:dyDescent="0.25">
      <c r="C331" s="2"/>
    </row>
    <row r="332" spans="3:3" x14ac:dyDescent="0.25">
      <c r="C332" s="2"/>
    </row>
    <row r="333" spans="3:3" x14ac:dyDescent="0.25">
      <c r="C333" s="2"/>
    </row>
    <row r="334" spans="3:3" x14ac:dyDescent="0.25">
      <c r="C334" s="2"/>
    </row>
    <row r="335" spans="3:3" x14ac:dyDescent="0.25">
      <c r="C335" s="2"/>
    </row>
    <row r="336" spans="3:3" x14ac:dyDescent="0.25">
      <c r="C336" s="2"/>
    </row>
    <row r="337" spans="3:3" x14ac:dyDescent="0.25">
      <c r="C337" s="2"/>
    </row>
    <row r="338" spans="3:3" x14ac:dyDescent="0.25">
      <c r="C338" s="2"/>
    </row>
    <row r="339" spans="3:3" x14ac:dyDescent="0.25">
      <c r="C339" s="2"/>
    </row>
    <row r="340" spans="3:3" x14ac:dyDescent="0.25">
      <c r="C340" s="2"/>
    </row>
    <row r="341" spans="3:3" x14ac:dyDescent="0.25">
      <c r="C341" s="2"/>
    </row>
    <row r="342" spans="3:3" x14ac:dyDescent="0.25">
      <c r="C342" s="2"/>
    </row>
    <row r="343" spans="3:3" x14ac:dyDescent="0.25">
      <c r="C343" s="2"/>
    </row>
    <row r="344" spans="3:3" x14ac:dyDescent="0.25">
      <c r="C344" s="2"/>
    </row>
    <row r="345" spans="3:3" x14ac:dyDescent="0.25">
      <c r="C345" s="2"/>
    </row>
    <row r="346" spans="3:3" x14ac:dyDescent="0.25">
      <c r="C346" s="2"/>
    </row>
    <row r="347" spans="3:3" x14ac:dyDescent="0.25">
      <c r="C347" s="2"/>
    </row>
    <row r="348" spans="3:3" x14ac:dyDescent="0.25">
      <c r="C348" s="2"/>
    </row>
    <row r="349" spans="3:3" x14ac:dyDescent="0.25">
      <c r="C349" s="2"/>
    </row>
    <row r="350" spans="3:3" x14ac:dyDescent="0.25">
      <c r="C350" s="2"/>
    </row>
    <row r="351" spans="3:3" x14ac:dyDescent="0.25">
      <c r="C351" s="2"/>
    </row>
    <row r="352" spans="3:3" x14ac:dyDescent="0.25">
      <c r="C352" s="2"/>
    </row>
    <row r="353" spans="3:3" x14ac:dyDescent="0.25">
      <c r="C353" s="2"/>
    </row>
    <row r="354" spans="3:3" x14ac:dyDescent="0.25">
      <c r="C354" s="2"/>
    </row>
    <row r="355" spans="3:3" x14ac:dyDescent="0.25">
      <c r="C355" s="2"/>
    </row>
    <row r="356" spans="3:3" x14ac:dyDescent="0.25">
      <c r="C356" s="2"/>
    </row>
    <row r="357" spans="3:3" x14ac:dyDescent="0.25">
      <c r="C357" s="2"/>
    </row>
    <row r="358" spans="3:3" x14ac:dyDescent="0.25">
      <c r="C358" s="2"/>
    </row>
    <row r="359" spans="3:3" x14ac:dyDescent="0.25">
      <c r="C359" s="2"/>
    </row>
    <row r="360" spans="3:3" x14ac:dyDescent="0.25">
      <c r="C360" s="2"/>
    </row>
    <row r="361" spans="3:3" x14ac:dyDescent="0.25">
      <c r="C361" s="2"/>
    </row>
    <row r="362" spans="3:3" x14ac:dyDescent="0.25">
      <c r="C362" s="2"/>
    </row>
    <row r="363" spans="3:3" x14ac:dyDescent="0.25">
      <c r="C363" s="2"/>
    </row>
    <row r="364" spans="3:3" x14ac:dyDescent="0.25">
      <c r="C364" s="2"/>
    </row>
    <row r="365" spans="3:3" x14ac:dyDescent="0.25">
      <c r="C365" s="2"/>
    </row>
    <row r="366" spans="3:3" x14ac:dyDescent="0.25">
      <c r="C366" s="2"/>
    </row>
    <row r="367" spans="3:3" x14ac:dyDescent="0.25">
      <c r="C367" s="2"/>
    </row>
    <row r="368" spans="3:3" x14ac:dyDescent="0.25">
      <c r="C368" s="2"/>
    </row>
    <row r="369" spans="3:3" x14ac:dyDescent="0.25">
      <c r="C369" s="2"/>
    </row>
    <row r="370" spans="3:3" x14ac:dyDescent="0.25">
      <c r="C370" s="2"/>
    </row>
    <row r="371" spans="3:3" x14ac:dyDescent="0.25">
      <c r="C371" s="2"/>
    </row>
    <row r="372" spans="3:3" x14ac:dyDescent="0.25">
      <c r="C372" s="2"/>
    </row>
    <row r="373" spans="3:3" x14ac:dyDescent="0.25">
      <c r="C373" s="2"/>
    </row>
    <row r="374" spans="3:3" x14ac:dyDescent="0.25">
      <c r="C374" s="2"/>
    </row>
    <row r="375" spans="3:3" x14ac:dyDescent="0.25">
      <c r="C375" s="2"/>
    </row>
    <row r="376" spans="3:3" x14ac:dyDescent="0.25">
      <c r="C376" s="2"/>
    </row>
    <row r="377" spans="3:3" x14ac:dyDescent="0.25">
      <c r="C377" s="2"/>
    </row>
    <row r="378" spans="3:3" x14ac:dyDescent="0.25">
      <c r="C378" s="2"/>
    </row>
    <row r="379" spans="3:3" x14ac:dyDescent="0.25">
      <c r="C379" s="2"/>
    </row>
    <row r="380" spans="3:3" x14ac:dyDescent="0.25">
      <c r="C380" s="2"/>
    </row>
    <row r="381" spans="3:3" x14ac:dyDescent="0.25">
      <c r="C381" s="2"/>
    </row>
    <row r="382" spans="3:3" x14ac:dyDescent="0.25">
      <c r="C382" s="2"/>
    </row>
    <row r="383" spans="3:3" x14ac:dyDescent="0.25">
      <c r="C383" s="2"/>
    </row>
    <row r="384" spans="3:3" x14ac:dyDescent="0.25">
      <c r="C384" s="2"/>
    </row>
    <row r="385" spans="3:3" x14ac:dyDescent="0.25">
      <c r="C385" s="2"/>
    </row>
    <row r="386" spans="3:3" x14ac:dyDescent="0.25">
      <c r="C386" s="2"/>
    </row>
    <row r="387" spans="3:3" x14ac:dyDescent="0.25">
      <c r="C387" s="2"/>
    </row>
    <row r="388" spans="3:3" x14ac:dyDescent="0.25">
      <c r="C388" s="2"/>
    </row>
    <row r="389" spans="3:3" x14ac:dyDescent="0.25">
      <c r="C389" s="2"/>
    </row>
    <row r="390" spans="3:3" x14ac:dyDescent="0.25">
      <c r="C390" s="2"/>
    </row>
    <row r="391" spans="3:3" x14ac:dyDescent="0.25">
      <c r="C391" s="2"/>
    </row>
    <row r="392" spans="3:3" x14ac:dyDescent="0.25">
      <c r="C392" s="2"/>
    </row>
    <row r="393" spans="3:3" x14ac:dyDescent="0.25">
      <c r="C393" s="2"/>
    </row>
    <row r="394" spans="3:3" x14ac:dyDescent="0.25">
      <c r="C394" s="2"/>
    </row>
    <row r="395" spans="3:3" x14ac:dyDescent="0.25">
      <c r="C395" s="2"/>
    </row>
    <row r="396" spans="3:3" x14ac:dyDescent="0.25">
      <c r="C396" s="2"/>
    </row>
    <row r="397" spans="3:3" x14ac:dyDescent="0.25">
      <c r="C397" s="2"/>
    </row>
    <row r="398" spans="3:3" x14ac:dyDescent="0.25">
      <c r="C398" s="2"/>
    </row>
    <row r="399" spans="3:3" x14ac:dyDescent="0.25">
      <c r="C399" s="2"/>
    </row>
    <row r="400" spans="3:3" x14ac:dyDescent="0.25">
      <c r="C400" s="2"/>
    </row>
    <row r="401" spans="3:3" x14ac:dyDescent="0.25">
      <c r="C401" s="2"/>
    </row>
    <row r="402" spans="3:3" x14ac:dyDescent="0.25">
      <c r="C402" s="2"/>
    </row>
    <row r="403" spans="3:3" x14ac:dyDescent="0.25">
      <c r="C403" s="2"/>
    </row>
    <row r="404" spans="3:3" x14ac:dyDescent="0.25">
      <c r="C404" s="2"/>
    </row>
    <row r="405" spans="3:3" x14ac:dyDescent="0.25">
      <c r="C405" s="2"/>
    </row>
    <row r="406" spans="3:3" x14ac:dyDescent="0.25">
      <c r="C406" s="2"/>
    </row>
    <row r="407" spans="3:3" x14ac:dyDescent="0.25">
      <c r="C407" s="2"/>
    </row>
    <row r="408" spans="3:3" x14ac:dyDescent="0.25">
      <c r="C408" s="2"/>
    </row>
    <row r="409" spans="3:3" x14ac:dyDescent="0.25">
      <c r="C409" s="2"/>
    </row>
    <row r="410" spans="3:3" x14ac:dyDescent="0.25">
      <c r="C410" s="2"/>
    </row>
    <row r="411" spans="3:3" x14ac:dyDescent="0.25">
      <c r="C411" s="2"/>
    </row>
    <row r="412" spans="3:3" x14ac:dyDescent="0.25">
      <c r="C412" s="2"/>
    </row>
    <row r="413" spans="3:3" x14ac:dyDescent="0.25">
      <c r="C413" s="2"/>
    </row>
    <row r="414" spans="3:3" x14ac:dyDescent="0.25">
      <c r="C414" s="2"/>
    </row>
    <row r="415" spans="3:3" x14ac:dyDescent="0.25">
      <c r="C415" s="2"/>
    </row>
    <row r="416" spans="3:3" x14ac:dyDescent="0.25">
      <c r="C416" s="2"/>
    </row>
    <row r="417" spans="3:3" x14ac:dyDescent="0.25">
      <c r="C417" s="2"/>
    </row>
    <row r="418" spans="3:3" x14ac:dyDescent="0.25">
      <c r="C418" s="2"/>
    </row>
    <row r="419" spans="3:3" x14ac:dyDescent="0.25">
      <c r="C419" s="2"/>
    </row>
    <row r="420" spans="3:3" x14ac:dyDescent="0.25">
      <c r="C420" s="2"/>
    </row>
    <row r="421" spans="3:3" x14ac:dyDescent="0.25">
      <c r="C421" s="2"/>
    </row>
    <row r="422" spans="3:3" x14ac:dyDescent="0.25">
      <c r="C422" s="2"/>
    </row>
    <row r="423" spans="3:3" x14ac:dyDescent="0.25">
      <c r="C423" s="2"/>
    </row>
    <row r="424" spans="3:3" x14ac:dyDescent="0.25">
      <c r="C424" s="2"/>
    </row>
    <row r="425" spans="3:3" x14ac:dyDescent="0.25">
      <c r="C425" s="2"/>
    </row>
    <row r="426" spans="3:3" x14ac:dyDescent="0.25">
      <c r="C426" s="2"/>
    </row>
    <row r="427" spans="3:3" x14ac:dyDescent="0.25">
      <c r="C427" s="2"/>
    </row>
    <row r="428" spans="3:3" x14ac:dyDescent="0.25">
      <c r="C428" s="2"/>
    </row>
    <row r="429" spans="3:3" x14ac:dyDescent="0.25">
      <c r="C429" s="2"/>
    </row>
    <row r="430" spans="3:3" x14ac:dyDescent="0.25">
      <c r="C430" s="2"/>
    </row>
    <row r="431" spans="3:3" x14ac:dyDescent="0.25">
      <c r="C431" s="2"/>
    </row>
    <row r="432" spans="3:3" x14ac:dyDescent="0.25">
      <c r="C432" s="2"/>
    </row>
    <row r="433" spans="3:3" x14ac:dyDescent="0.25">
      <c r="C433" s="2"/>
    </row>
    <row r="434" spans="3:3" x14ac:dyDescent="0.25">
      <c r="C434" s="2"/>
    </row>
    <row r="435" spans="3:3" x14ac:dyDescent="0.25">
      <c r="C435" s="2"/>
    </row>
    <row r="436" spans="3:3" x14ac:dyDescent="0.25">
      <c r="C436" s="2"/>
    </row>
    <row r="437" spans="3:3" x14ac:dyDescent="0.25">
      <c r="C437" s="2"/>
    </row>
    <row r="438" spans="3:3" x14ac:dyDescent="0.25">
      <c r="C438" s="2"/>
    </row>
    <row r="439" spans="3:3" x14ac:dyDescent="0.25">
      <c r="C439" s="2"/>
    </row>
    <row r="440" spans="3:3" x14ac:dyDescent="0.25">
      <c r="C440" s="2"/>
    </row>
    <row r="441" spans="3:3" x14ac:dyDescent="0.25">
      <c r="C441" s="2"/>
    </row>
    <row r="442" spans="3:3" x14ac:dyDescent="0.25">
      <c r="C442" s="2"/>
    </row>
    <row r="443" spans="3:3" x14ac:dyDescent="0.25">
      <c r="C443" s="2"/>
    </row>
    <row r="444" spans="3:3" x14ac:dyDescent="0.25">
      <c r="C444" s="2"/>
    </row>
    <row r="445" spans="3:3" x14ac:dyDescent="0.25">
      <c r="C445" s="2"/>
    </row>
    <row r="446" spans="3:3" x14ac:dyDescent="0.25">
      <c r="C446" s="2"/>
    </row>
    <row r="447" spans="3:3" x14ac:dyDescent="0.25">
      <c r="C447" s="2"/>
    </row>
    <row r="448" spans="3:3" x14ac:dyDescent="0.25">
      <c r="C448" s="2"/>
    </row>
    <row r="449" spans="3:3" x14ac:dyDescent="0.25">
      <c r="C449" s="2"/>
    </row>
    <row r="450" spans="3:3" x14ac:dyDescent="0.25">
      <c r="C450" s="2"/>
    </row>
    <row r="451" spans="3:3" x14ac:dyDescent="0.25">
      <c r="C451" s="2"/>
    </row>
    <row r="452" spans="3:3" x14ac:dyDescent="0.25">
      <c r="C452" s="2"/>
    </row>
    <row r="453" spans="3:3" x14ac:dyDescent="0.25">
      <c r="C453" s="2"/>
    </row>
    <row r="454" spans="3:3" x14ac:dyDescent="0.25">
      <c r="C454" s="2"/>
    </row>
    <row r="455" spans="3:3" x14ac:dyDescent="0.25">
      <c r="C455" s="2"/>
    </row>
    <row r="456" spans="3:3" x14ac:dyDescent="0.25">
      <c r="C456" s="2"/>
    </row>
    <row r="457" spans="3:3" x14ac:dyDescent="0.25">
      <c r="C457" s="2"/>
    </row>
    <row r="458" spans="3:3" x14ac:dyDescent="0.25">
      <c r="C458" s="2"/>
    </row>
    <row r="459" spans="3:3" x14ac:dyDescent="0.25">
      <c r="C459" s="2"/>
    </row>
    <row r="460" spans="3:3" x14ac:dyDescent="0.25">
      <c r="C460" s="2"/>
    </row>
    <row r="461" spans="3:3" x14ac:dyDescent="0.25">
      <c r="C461" s="2"/>
    </row>
    <row r="462" spans="3:3" x14ac:dyDescent="0.25">
      <c r="C462" s="2"/>
    </row>
    <row r="463" spans="3:3" x14ac:dyDescent="0.25">
      <c r="C463" s="2"/>
    </row>
    <row r="464" spans="3:3" x14ac:dyDescent="0.25">
      <c r="C464" s="2"/>
    </row>
    <row r="465" spans="3:3" x14ac:dyDescent="0.25">
      <c r="C465" s="2"/>
    </row>
    <row r="466" spans="3:3" x14ac:dyDescent="0.25">
      <c r="C466" s="2"/>
    </row>
    <row r="467" spans="3:3" x14ac:dyDescent="0.25">
      <c r="C467" s="2"/>
    </row>
    <row r="468" spans="3:3" x14ac:dyDescent="0.25">
      <c r="C468" s="2"/>
    </row>
    <row r="469" spans="3:3" x14ac:dyDescent="0.25">
      <c r="C469" s="2"/>
    </row>
    <row r="470" spans="3:3" x14ac:dyDescent="0.25">
      <c r="C470" s="2"/>
    </row>
    <row r="471" spans="3:3" x14ac:dyDescent="0.25">
      <c r="C471" s="2"/>
    </row>
    <row r="472" spans="3:3" x14ac:dyDescent="0.25">
      <c r="C472" s="2"/>
    </row>
    <row r="473" spans="3:3" x14ac:dyDescent="0.25">
      <c r="C473" s="2"/>
    </row>
    <row r="474" spans="3:3" x14ac:dyDescent="0.25">
      <c r="C474" s="2"/>
    </row>
    <row r="475" spans="3:3" x14ac:dyDescent="0.25">
      <c r="C475" s="2"/>
    </row>
    <row r="476" spans="3:3" x14ac:dyDescent="0.25">
      <c r="C476" s="2"/>
    </row>
    <row r="477" spans="3:3" x14ac:dyDescent="0.25">
      <c r="C477" s="2"/>
    </row>
    <row r="478" spans="3:3" x14ac:dyDescent="0.25">
      <c r="C478" s="2"/>
    </row>
    <row r="479" spans="3:3" x14ac:dyDescent="0.25">
      <c r="C479" s="2"/>
    </row>
    <row r="480" spans="3:3" x14ac:dyDescent="0.25">
      <c r="C480" s="2"/>
    </row>
    <row r="481" spans="3:3" x14ac:dyDescent="0.25">
      <c r="C481" s="2"/>
    </row>
    <row r="482" spans="3:3" x14ac:dyDescent="0.25">
      <c r="C482" s="2"/>
    </row>
    <row r="483" spans="3:3" x14ac:dyDescent="0.25">
      <c r="C483" s="2"/>
    </row>
    <row r="484" spans="3:3" x14ac:dyDescent="0.25">
      <c r="C484" s="2"/>
    </row>
    <row r="485" spans="3:3" x14ac:dyDescent="0.25">
      <c r="C485" s="2"/>
    </row>
    <row r="486" spans="3:3" x14ac:dyDescent="0.25">
      <c r="C486" s="2"/>
    </row>
    <row r="487" spans="3:3" x14ac:dyDescent="0.25">
      <c r="C487" s="2"/>
    </row>
    <row r="488" spans="3:3" x14ac:dyDescent="0.25">
      <c r="C488" s="2"/>
    </row>
    <row r="489" spans="3:3" x14ac:dyDescent="0.25">
      <c r="C489" s="2"/>
    </row>
    <row r="490" spans="3:3" x14ac:dyDescent="0.25">
      <c r="C490" s="2"/>
    </row>
    <row r="491" spans="3:3" x14ac:dyDescent="0.25">
      <c r="C491" s="2"/>
    </row>
    <row r="492" spans="3:3" x14ac:dyDescent="0.25">
      <c r="C492" s="2"/>
    </row>
    <row r="493" spans="3:3" x14ac:dyDescent="0.25">
      <c r="C493" s="2"/>
    </row>
    <row r="494" spans="3:3" x14ac:dyDescent="0.25">
      <c r="C494" s="2"/>
    </row>
    <row r="495" spans="3:3" x14ac:dyDescent="0.25">
      <c r="C495" s="2"/>
    </row>
    <row r="496" spans="3:3" x14ac:dyDescent="0.25">
      <c r="C496" s="2"/>
    </row>
    <row r="497" spans="3:3" x14ac:dyDescent="0.25">
      <c r="C497" s="2"/>
    </row>
    <row r="498" spans="3:3" x14ac:dyDescent="0.25">
      <c r="C498" s="2"/>
    </row>
    <row r="499" spans="3:3" x14ac:dyDescent="0.25">
      <c r="C499" s="2"/>
    </row>
    <row r="500" spans="3:3" x14ac:dyDescent="0.25">
      <c r="C500" s="2"/>
    </row>
    <row r="501" spans="3:3" x14ac:dyDescent="0.25">
      <c r="C501" s="2"/>
    </row>
    <row r="502" spans="3:3" x14ac:dyDescent="0.25">
      <c r="C502" s="2"/>
    </row>
    <row r="503" spans="3:3" x14ac:dyDescent="0.25">
      <c r="C503" s="2"/>
    </row>
    <row r="504" spans="3:3" x14ac:dyDescent="0.25">
      <c r="C504" s="2"/>
    </row>
    <row r="505" spans="3:3" x14ac:dyDescent="0.25">
      <c r="C505" s="2"/>
    </row>
    <row r="506" spans="3:3" x14ac:dyDescent="0.25">
      <c r="C506" s="2"/>
    </row>
    <row r="507" spans="3:3" x14ac:dyDescent="0.25">
      <c r="C507" s="2"/>
    </row>
    <row r="508" spans="3:3" x14ac:dyDescent="0.25">
      <c r="C508" s="2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Request">
                <anchor moveWithCells="1" sizeWithCells="1">
                  <from>
                    <xdr:col>0</xdr:col>
                    <xdr:colOff>447675</xdr:colOff>
                    <xdr:row>3</xdr:row>
                    <xdr:rowOff>85725</xdr:rowOff>
                  </from>
                  <to>
                    <xdr:col>2</xdr:col>
                    <xdr:colOff>561975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referenceDataRequest</vt:lpstr>
    </vt:vector>
  </TitlesOfParts>
  <Company>Grizli777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Morgan</dc:creator>
  <cp:lastModifiedBy>mwilliams59</cp:lastModifiedBy>
  <dcterms:created xsi:type="dcterms:W3CDTF">2009-10-14T16:48:14Z</dcterms:created>
  <dcterms:modified xsi:type="dcterms:W3CDTF">2013-05-23T06:17:41Z</dcterms:modified>
</cp:coreProperties>
</file>